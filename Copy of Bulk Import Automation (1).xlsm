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jnj-my.sharepoint.com/personal/dvenkat1_its_jnj_com/Documents/Polarion Implementation Project/POLARION_TCS-TEAM/19- Production/Chroma/import file/"/>
    </mc:Choice>
  </mc:AlternateContent>
  <xr:revisionPtr revIDLastSave="0" documentId="8_{08D5413B-CA5A-4273-9951-B86E986F6EB5}" xr6:coauthVersionLast="47" xr6:coauthVersionMax="47" xr10:uidLastSave="{00000000-0000-0000-0000-000000000000}"/>
  <bookViews>
    <workbookView xWindow="-120" yWindow="-120" windowWidth="20730" windowHeight="11310" xr2:uid="{AD973447-16D9-43AC-91A3-F68144955539}"/>
  </bookViews>
  <sheets>
    <sheet name="Sheet1" sheetId="1" r:id="rId1"/>
    <sheet name="Sheet2" sheetId="4" r:id="rId2"/>
    <sheet name="Risk Control" sheetId="16" r:id="rId3"/>
    <sheet name="Design Risk Assessment" sheetId="8" r:id="rId4"/>
    <sheet name="Sheet6" sheetId="11" r:id="rId5"/>
    <sheet name="Post-Market Surveillance data" sheetId="9" r:id="rId6"/>
    <sheet name="Non-medical Analysis" sheetId="10" r:id="rId7"/>
    <sheet name="Hazard" sheetId="24" r:id="rId8"/>
    <sheet name="Master" sheetId="17" r:id="rId9"/>
  </sheets>
  <definedNames>
    <definedName name="_xlnm._FilterDatabase" localSheetId="3" hidden="1">'Design Risk Assessment'!$A$1:$O$69</definedName>
    <definedName name="_xlnm._FilterDatabase" localSheetId="8" hidden="1">Master!$A$1:$H$205</definedName>
    <definedName name="_xlnm._FilterDatabase" localSheetId="6" hidden="1">'Non-medical Analysis'!$H$1:$L$205</definedName>
    <definedName name="_xlnm.Print_Area" localSheetId="3">'Design Risk Assessment'!$A$1:$O$69</definedName>
    <definedName name="_xlnm.Print_Area" localSheetId="8">Master!$A$1:$H$205</definedName>
    <definedName name="_xlnm.Print_Titles" localSheetId="3">'Design Risk Assessment'!$1:$1</definedName>
    <definedName name="_xlnm.Print_Titles" localSheetId="8">Master!$A:$A,Master!$1:$1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7" i="17" l="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3" i="11"/>
  <c r="M4" i="11"/>
  <c r="M5" i="11"/>
  <c r="M6" i="11"/>
  <c r="M7" i="11"/>
  <c r="M2" i="1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2" i="11"/>
  <c r="J205" i="10"/>
  <c r="K205" i="10" s="1"/>
  <c r="K204" i="10"/>
  <c r="J204" i="10"/>
  <c r="J203" i="10"/>
  <c r="K203" i="10" s="1"/>
  <c r="J202" i="10"/>
  <c r="K202" i="10" s="1"/>
  <c r="J201" i="10"/>
  <c r="K201" i="10" s="1"/>
  <c r="J200" i="10"/>
  <c r="K200" i="10" s="1"/>
  <c r="J199" i="10"/>
  <c r="K199" i="10" s="1"/>
  <c r="K198" i="10"/>
  <c r="J198" i="10"/>
  <c r="J197" i="10"/>
  <c r="K197" i="10" s="1"/>
  <c r="J196" i="10"/>
  <c r="K196" i="10" s="1"/>
  <c r="J195" i="10"/>
  <c r="K195" i="10" s="1"/>
  <c r="K194" i="10"/>
  <c r="J194" i="10"/>
  <c r="J193" i="10"/>
  <c r="K193" i="10" s="1"/>
  <c r="J192" i="10"/>
  <c r="K192" i="10" s="1"/>
  <c r="J191" i="10"/>
  <c r="K191" i="10" s="1"/>
  <c r="K190" i="10"/>
  <c r="J190" i="10"/>
  <c r="J189" i="10"/>
  <c r="K189" i="10" s="1"/>
  <c r="J188" i="10"/>
  <c r="K188" i="10" s="1"/>
  <c r="J187" i="10"/>
  <c r="K187" i="10" s="1"/>
  <c r="K186" i="10"/>
  <c r="J186" i="10"/>
  <c r="J185" i="10"/>
  <c r="K185" i="10" s="1"/>
  <c r="J184" i="10"/>
  <c r="K184" i="10" s="1"/>
  <c r="J183" i="10"/>
  <c r="K183" i="10" s="1"/>
  <c r="K182" i="10"/>
  <c r="J182" i="10"/>
  <c r="J181" i="10"/>
  <c r="K181" i="10" s="1"/>
  <c r="J180" i="10"/>
  <c r="K180" i="10" s="1"/>
  <c r="J179" i="10"/>
  <c r="K179" i="10" s="1"/>
  <c r="K178" i="10"/>
  <c r="J178" i="10"/>
  <c r="J177" i="10"/>
  <c r="K177" i="10" s="1"/>
  <c r="J176" i="10"/>
  <c r="K176" i="10" s="1"/>
  <c r="J175" i="10"/>
  <c r="K175" i="10" s="1"/>
  <c r="K174" i="10"/>
  <c r="J174" i="10"/>
  <c r="J173" i="10"/>
  <c r="K173" i="10" s="1"/>
  <c r="J172" i="10"/>
  <c r="K172" i="10" s="1"/>
  <c r="J171" i="10"/>
  <c r="K171" i="10" s="1"/>
  <c r="K170" i="10"/>
  <c r="J170" i="10"/>
  <c r="J169" i="10"/>
  <c r="K169" i="10" s="1"/>
  <c r="J168" i="10"/>
  <c r="K168" i="10" s="1"/>
  <c r="J167" i="10"/>
  <c r="K167" i="10" s="1"/>
  <c r="K166" i="10"/>
  <c r="J166" i="10"/>
  <c r="J165" i="10"/>
  <c r="K165" i="10" s="1"/>
  <c r="J164" i="10"/>
  <c r="K164" i="10" s="1"/>
  <c r="J163" i="10"/>
  <c r="K163" i="10" s="1"/>
  <c r="K162" i="10"/>
  <c r="J162" i="10"/>
  <c r="J161" i="10"/>
  <c r="K161" i="10" s="1"/>
  <c r="J160" i="10"/>
  <c r="K160" i="10" s="1"/>
  <c r="J159" i="10"/>
  <c r="K159" i="10" s="1"/>
  <c r="K158" i="10"/>
  <c r="J158" i="10"/>
  <c r="J157" i="10"/>
  <c r="K157" i="10" s="1"/>
  <c r="J156" i="10"/>
  <c r="K156" i="10" s="1"/>
  <c r="J155" i="10"/>
  <c r="K155" i="10" s="1"/>
  <c r="K154" i="10"/>
  <c r="J154" i="10"/>
  <c r="J153" i="10"/>
  <c r="K153" i="10" s="1"/>
  <c r="J152" i="10"/>
  <c r="K152" i="10" s="1"/>
  <c r="J151" i="10"/>
  <c r="K151" i="10" s="1"/>
  <c r="K150" i="10"/>
  <c r="J150" i="10"/>
  <c r="J149" i="10"/>
  <c r="K149" i="10" s="1"/>
  <c r="J148" i="10"/>
  <c r="K148" i="10" s="1"/>
  <c r="J147" i="10"/>
  <c r="K147" i="10" s="1"/>
  <c r="K146" i="10"/>
  <c r="J146" i="10"/>
  <c r="J145" i="10"/>
  <c r="K145" i="10" s="1"/>
  <c r="J144" i="10"/>
  <c r="K144" i="10" s="1"/>
  <c r="J143" i="10"/>
  <c r="K143" i="10" s="1"/>
  <c r="K142" i="10"/>
  <c r="J142" i="10"/>
  <c r="J141" i="10"/>
  <c r="K141" i="10" s="1"/>
  <c r="J140" i="10"/>
  <c r="K140" i="10" s="1"/>
  <c r="J139" i="10"/>
  <c r="K139" i="10" s="1"/>
  <c r="K138" i="10"/>
  <c r="J138" i="10"/>
  <c r="J137" i="10"/>
  <c r="K137" i="10" s="1"/>
  <c r="J136" i="10"/>
  <c r="K136" i="10" s="1"/>
  <c r="J135" i="10"/>
  <c r="K135" i="10" s="1"/>
  <c r="K134" i="10"/>
  <c r="J134" i="10"/>
  <c r="J133" i="10"/>
  <c r="K133" i="10" s="1"/>
  <c r="J132" i="10"/>
  <c r="K132" i="10" s="1"/>
  <c r="J131" i="10"/>
  <c r="K131" i="10" s="1"/>
  <c r="K130" i="10"/>
  <c r="J130" i="10"/>
  <c r="J129" i="10"/>
  <c r="K129" i="10" s="1"/>
  <c r="J128" i="10"/>
  <c r="K128" i="10" s="1"/>
  <c r="J127" i="10"/>
  <c r="K127" i="10" s="1"/>
  <c r="K126" i="10"/>
  <c r="J126" i="10"/>
  <c r="J125" i="10"/>
  <c r="K125" i="10" s="1"/>
  <c r="J124" i="10"/>
  <c r="K124" i="10" s="1"/>
  <c r="J123" i="10"/>
  <c r="K123" i="10" s="1"/>
  <c r="K122" i="10"/>
  <c r="J122" i="10"/>
  <c r="J121" i="10"/>
  <c r="K121" i="10" s="1"/>
  <c r="J120" i="10"/>
  <c r="K120" i="10" s="1"/>
  <c r="J119" i="10"/>
  <c r="K119" i="10" s="1"/>
  <c r="K118" i="10"/>
  <c r="J118" i="10"/>
  <c r="J117" i="10"/>
  <c r="K117" i="10" s="1"/>
  <c r="J116" i="10"/>
  <c r="K116" i="10" s="1"/>
  <c r="J115" i="10"/>
  <c r="K115" i="10" s="1"/>
  <c r="K114" i="10"/>
  <c r="J114" i="10"/>
  <c r="J113" i="10"/>
  <c r="K113" i="10" s="1"/>
  <c r="J112" i="10"/>
  <c r="K112" i="10" s="1"/>
  <c r="J111" i="10"/>
  <c r="K111" i="10" s="1"/>
  <c r="K110" i="10"/>
  <c r="J110" i="10"/>
  <c r="J109" i="10"/>
  <c r="K109" i="10" s="1"/>
  <c r="J108" i="10"/>
  <c r="K108" i="10" s="1"/>
  <c r="J107" i="10"/>
  <c r="K107" i="10" s="1"/>
  <c r="K106" i="10"/>
  <c r="J106" i="10"/>
  <c r="J105" i="10"/>
  <c r="K105" i="10" s="1"/>
  <c r="J104" i="10"/>
  <c r="K104" i="10" s="1"/>
  <c r="J103" i="10"/>
  <c r="K103" i="10" s="1"/>
  <c r="K102" i="10"/>
  <c r="J102" i="10"/>
  <c r="J101" i="10"/>
  <c r="K101" i="10" s="1"/>
  <c r="J100" i="10"/>
  <c r="K100" i="10" s="1"/>
  <c r="J99" i="10"/>
  <c r="K99" i="10" s="1"/>
  <c r="K98" i="10"/>
  <c r="J98" i="10"/>
  <c r="J97" i="10"/>
  <c r="K97" i="10" s="1"/>
  <c r="J96" i="10"/>
  <c r="K96" i="10" s="1"/>
  <c r="J95" i="10"/>
  <c r="K95" i="10" s="1"/>
  <c r="K94" i="10"/>
  <c r="J94" i="10"/>
  <c r="J93" i="10"/>
  <c r="K93" i="10" s="1"/>
  <c r="J92" i="10"/>
  <c r="K92" i="10" s="1"/>
  <c r="J91" i="10"/>
  <c r="K91" i="10" s="1"/>
  <c r="K90" i="10"/>
  <c r="J90" i="10"/>
  <c r="J89" i="10"/>
  <c r="K89" i="10" s="1"/>
  <c r="J88" i="10"/>
  <c r="K88" i="10" s="1"/>
  <c r="J87" i="10"/>
  <c r="K87" i="10" s="1"/>
  <c r="K86" i="10"/>
  <c r="J86" i="10"/>
  <c r="J85" i="10"/>
  <c r="K85" i="10" s="1"/>
  <c r="J84" i="10"/>
  <c r="K84" i="10" s="1"/>
  <c r="J83" i="10"/>
  <c r="K83" i="10" s="1"/>
  <c r="K82" i="10"/>
  <c r="J82" i="10"/>
  <c r="J81" i="10"/>
  <c r="K81" i="10" s="1"/>
  <c r="J80" i="10"/>
  <c r="K80" i="10" s="1"/>
  <c r="J79" i="10"/>
  <c r="K79" i="10" s="1"/>
  <c r="K78" i="10"/>
  <c r="J78" i="10"/>
  <c r="J77" i="10"/>
  <c r="K77" i="10" s="1"/>
  <c r="J76" i="10"/>
  <c r="K76" i="10" s="1"/>
  <c r="J75" i="10"/>
  <c r="K75" i="10" s="1"/>
  <c r="K74" i="10"/>
  <c r="J74" i="10"/>
  <c r="J73" i="10"/>
  <c r="K73" i="10" s="1"/>
  <c r="J72" i="10"/>
  <c r="K72" i="10" s="1"/>
  <c r="J71" i="10"/>
  <c r="K71" i="10" s="1"/>
  <c r="K70" i="10"/>
  <c r="J70" i="10"/>
  <c r="J69" i="10"/>
  <c r="K69" i="10" s="1"/>
  <c r="J68" i="10"/>
  <c r="K68" i="10" s="1"/>
  <c r="J67" i="10"/>
  <c r="K67" i="10" s="1"/>
  <c r="K66" i="10"/>
  <c r="J66" i="10"/>
  <c r="J65" i="10"/>
  <c r="K65" i="10" s="1"/>
  <c r="J64" i="10"/>
  <c r="K64" i="10" s="1"/>
  <c r="J63" i="10"/>
  <c r="K63" i="10" s="1"/>
  <c r="K62" i="10"/>
  <c r="J62" i="10"/>
  <c r="J61" i="10"/>
  <c r="K61" i="10" s="1"/>
  <c r="J60" i="10"/>
  <c r="K60" i="10" s="1"/>
  <c r="J59" i="10"/>
  <c r="K59" i="10" s="1"/>
  <c r="K58" i="10"/>
  <c r="J58" i="10"/>
  <c r="J57" i="10"/>
  <c r="K57" i="10" s="1"/>
  <c r="J56" i="10"/>
  <c r="K56" i="10" s="1"/>
  <c r="J55" i="10"/>
  <c r="K55" i="10" s="1"/>
  <c r="K54" i="10"/>
  <c r="J54" i="10"/>
  <c r="J53" i="10"/>
  <c r="K53" i="10" s="1"/>
  <c r="J52" i="10"/>
  <c r="K52" i="10" s="1"/>
  <c r="J51" i="10"/>
  <c r="K51" i="10" s="1"/>
  <c r="K50" i="10"/>
  <c r="J50" i="10"/>
  <c r="J49" i="10"/>
  <c r="K49" i="10" s="1"/>
  <c r="J48" i="10"/>
  <c r="K48" i="10" s="1"/>
  <c r="J47" i="10"/>
  <c r="K47" i="10" s="1"/>
  <c r="K46" i="10"/>
  <c r="J46" i="10"/>
  <c r="J45" i="10"/>
  <c r="K45" i="10" s="1"/>
  <c r="J44" i="10"/>
  <c r="K44" i="10" s="1"/>
  <c r="J43" i="10"/>
  <c r="K43" i="10" s="1"/>
  <c r="K42" i="10"/>
  <c r="J42" i="10"/>
  <c r="J41" i="10"/>
  <c r="K41" i="10" s="1"/>
  <c r="J40" i="10"/>
  <c r="K40" i="10" s="1"/>
  <c r="J39" i="10"/>
  <c r="K39" i="10" s="1"/>
  <c r="K38" i="10"/>
  <c r="J38" i="10"/>
  <c r="J37" i="10"/>
  <c r="K37" i="10" s="1"/>
  <c r="J36" i="10"/>
  <c r="K36" i="10" s="1"/>
  <c r="J35" i="10"/>
  <c r="K35" i="10" s="1"/>
  <c r="J34" i="10"/>
  <c r="K34" i="10" s="1"/>
  <c r="J33" i="10"/>
  <c r="K33" i="10" s="1"/>
  <c r="J32" i="10"/>
  <c r="K32" i="10" s="1"/>
  <c r="J31" i="10"/>
  <c r="K31" i="10" s="1"/>
  <c r="J30" i="10"/>
  <c r="K30" i="10" s="1"/>
  <c r="J29" i="10"/>
  <c r="K29" i="10" s="1"/>
  <c r="J28" i="10"/>
  <c r="K28" i="10" s="1"/>
  <c r="J27" i="10"/>
  <c r="K27" i="10" s="1"/>
  <c r="J26" i="10"/>
  <c r="K26" i="10" s="1"/>
  <c r="J25" i="10"/>
  <c r="K25" i="10" s="1"/>
  <c r="J24" i="10"/>
  <c r="K24" i="10" s="1"/>
  <c r="J23" i="10"/>
  <c r="K23" i="10" s="1"/>
  <c r="J22" i="10"/>
  <c r="K22" i="10" s="1"/>
  <c r="J21" i="10"/>
  <c r="K21" i="10" s="1"/>
  <c r="J20" i="10"/>
  <c r="K20" i="10" s="1"/>
  <c r="J19" i="10"/>
  <c r="K19" i="10" s="1"/>
  <c r="J18" i="10"/>
  <c r="K18" i="10" s="1"/>
  <c r="J17" i="10"/>
  <c r="K17" i="10" s="1"/>
  <c r="J16" i="10"/>
  <c r="K16" i="10" s="1"/>
  <c r="J15" i="10"/>
  <c r="K15" i="10" s="1"/>
  <c r="J14" i="10"/>
  <c r="K14" i="10" s="1"/>
  <c r="J13" i="10"/>
  <c r="K13" i="10" s="1"/>
  <c r="J12" i="10"/>
  <c r="K12" i="10" s="1"/>
  <c r="J11" i="10"/>
  <c r="K11" i="10" s="1"/>
  <c r="J10" i="10"/>
  <c r="K10" i="10" s="1"/>
  <c r="J9" i="10"/>
  <c r="K9" i="10" s="1"/>
  <c r="J8" i="10"/>
  <c r="K8" i="10" s="1"/>
  <c r="J7" i="10"/>
  <c r="K7" i="10" s="1"/>
  <c r="J6" i="10"/>
  <c r="K6" i="10" s="1"/>
  <c r="J5" i="10"/>
  <c r="K5" i="10" s="1"/>
  <c r="J4" i="10"/>
  <c r="K4" i="10" s="1"/>
  <c r="J3" i="10"/>
  <c r="K3" i="10" s="1"/>
  <c r="J2" i="10"/>
  <c r="K2" i="10" s="1"/>
</calcChain>
</file>

<file path=xl/sharedStrings.xml><?xml version="1.0" encoding="utf-8"?>
<sst xmlns="http://schemas.openxmlformats.org/spreadsheetml/2006/main" count="4416" uniqueCount="1527">
  <si>
    <t>Hazard Class</t>
  </si>
  <si>
    <t>Infectious agents</t>
  </si>
  <si>
    <r>
      <rPr>
        <sz val="10"/>
        <rFont val="Calibri"/>
        <family val="2"/>
      </rPr>
      <t>≤</t>
    </r>
    <r>
      <rPr>
        <sz val="10"/>
        <rFont val="Times New Roman"/>
        <family val="1"/>
      </rPr>
      <t xml:space="preserve"> 3</t>
    </r>
  </si>
  <si>
    <t>Animal derived components are utilized in manufacturing process materials for contact lenses. The manufacturing process materials (e.g. lens molds, hydration processing aid) contain small amounts of animal derived components (tallow or tallow derivatives) which contain an infectious agent. The patient receives a lens which contains contaminated animal derived components and inserts the lens into the eye and develops an infectious disease (e.g. Transmissible Spongiform Encephalopathy).</t>
  </si>
  <si>
    <t>Lenses are sterilized.  Secondary Carton and potentially the exterior of the primary package are exposed to biological or organic matter (e.g. mold or whey powder). An environment for microbial growth is created.  The product is shipped and the user handles the carton and primary package with an infectious agent or organic substance that may have an existing level of microbial bioburden on the surface.  The user proceeds to insert the lens on eye and develops a condition that requires medical intervention (e.g. eye infection).</t>
  </si>
  <si>
    <t>Lenses are sterilized.  Secondary Carton and potentially the exterior of the primary package are exposed to biological or organic matter (e.g. mold or whey powder). An environment for microbial growth is created.  The product is shipped and the user handles the carton and primary package with an infectious agent or organic substance that may have an existing level of microbial bioburden on the surface.  The user proceeds to insert the lens on eye and develops a condition that does not require medical intervention (e.g. eye inflammation).</t>
  </si>
  <si>
    <t>Lenses are sterilized.  Secondary Carton and potentially the exterior of the primary package are exposed to biological or organic matter (e.g. mold or whey powder). An environment for microbial growth is created.  The product is shipped and the user handles the carton and primary package with an infectious agent or organic substance that may have an existing level of microbial bioburden on the surface.  The user proceeds to insert the lens on eye, which does not impact health &amp; safety (e.g. ocular discomfort).</t>
  </si>
  <si>
    <t>Substandard materials</t>
  </si>
  <si>
    <t>C-1</t>
  </si>
  <si>
    <t>Non-conforming levels of extractable substances (manufacturing materials/process aids) in lens</t>
  </si>
  <si>
    <t>Lenses are released with a non-conforming level of butylated hydroxytoluene (BHT).
User receives the lenses with a non-conforming level of BHT.
User unknowingly inserts a lens into their eye that has the non-conforming level of BHT and experiences discomfort prompting removal of the lens from their eye.</t>
  </si>
  <si>
    <t>Lenses are released with a non-conforming level of 3-7-dimethyl-3-octanol (D3O).
User receives the lenses with a non-conforming level of D3O.
User unknowingly inserts a lens into their eye that has the non-conforming level of D3O and experiences discomfort prompting removal of the lens from their eye.</t>
  </si>
  <si>
    <t>Lenses are released with a non-conforming level of isopropyl alcohol (IPA).
User receives the lenses with a non-conforming level of IPA.
User unknowingly inserts a lens into their eye with a non-conforming level of IPA and experiences burning or stinging prompting removal of the lens from their eye.</t>
  </si>
  <si>
    <t>Non-conforming levels of extractable substances (raw materials)</t>
  </si>
  <si>
    <t>Lenses are released with a non-conforming level of refined hydroxyethyl methacrylate (HEMA).
User receives the lenses with a non-conforming level of refined hydroxyethyl methacrylate and inserts a lens into their eye; experiences discomfort prompting removal of the lens from their eye.</t>
  </si>
  <si>
    <t>Lenses are released with an out of specification level of tetra ethylene glycol dimethacrylate (TEGDMA).
User receives the lenses with an out of specification level of tetra ethylene glycol dimethacrylate and inserts the lenses into their eye; user experiences discomfort prompting removal of the lens from their eye.</t>
  </si>
  <si>
    <t>Lenses are released with a non-conforming level of sodium (di) ethylenediamine tetraacetate (EDTA)
User receives the lenses with a non-conforming level of EDTA.
User unknowingly inserts a lens into their eye that has the non-conforming level of EDTA and experiences discomfort prompting removal of the lens from their eye.</t>
  </si>
  <si>
    <t>Lenses are released with a non-conforming level of Irgacure/OmniRad 1870 (Combination of OmniRad 184 (1-hydroxy-cyclohexyl-phenyl-ketone) and CGI 403 (bis(2,6-dimethoxybenzoyl)-2,4,4-trimethyl-pentylphosphineoxide)).
User receives the lenses with a non-conforming level of Irgacure/OmniRad 1870.
User unknowingly inserts a lens into their eye that has the non-conforming level of Irgacure/OmniRad 1870; user experiences discomfort prompting removal of the lens from their eye.</t>
  </si>
  <si>
    <t>Lenses are released with a non-conforming level Boric acid
User receives the lenses with a non-conforming level of Boric acid and inserts a lens into their eye.
The non-conforming level of Boric acid may cause the user to experience discomfort prompting removal of the lens from their eye.</t>
  </si>
  <si>
    <t>Lenses are released with a non-conforming level of sodium chloride. 
User receives the lenses with a non-conforming level of sodium chloride and inserts a lens into their eye.
The non-conforming level of sodium chloride may cause the user to experience discomfort prompting removal of the lens from their eye.</t>
  </si>
  <si>
    <t>Lenses are released with a non-conforming level of Norbloc 7966.
User receives the lenses with a non-conforming level of Norbloc 7966 and inserts a lens into their eye; user experiences discomfort prompting removal of the lens from their eye.</t>
  </si>
  <si>
    <t>Lenses are released with a non-conforming level of SiMAA2.
User receives the lenses with a non-conforming level of SiMAA2.
User unknowingly inserts a lens into their eye that has the non-conforming level of SiMAA2.</t>
  </si>
  <si>
    <t>Lenses are released with a non-conforming level of mPDMS.
User receives the lenses with a non-conforming level of mPDMS.
User unknowingly inserts a lens into their eye that has the non-conforming level of mPDMS; user experiences discomfort prompting removal of the lens from their eye.</t>
  </si>
  <si>
    <t>Lenses are released with a non-conforming level of methyl ether cellulose (USP grade).
User receives the lenses with a non-conforming level of methyl ether cellulose (MEC).
User unknowingly inserts a lens into their eye that has the non-conforming level of methyl ether cellulose and experiences discomfort prompting removal of the lens from their eye.</t>
  </si>
  <si>
    <t xml:space="preserve">Lenses are released with a non-conforming level of polyvinylpyrrolidone K-90 (polymer).
User receives the lenses with a non-conforming level of polyvinylpyrrolidone K-90.
User unknowingly inserts a lens into their eye that has the non-conforming level of polyvinylpyrrolidone K-90; user experiences discomfort prompting removal of the lens from their eye.                                     </t>
  </si>
  <si>
    <t>Lenses are released with a non-conforming level of N,N-dimethylacrylamide (DMA) (monomeric acrylamide).
User receives the lenses with a non-conforming level of DMA.
User unknowingly inserts a lens into their eye that has the non-conforming level of DMA; user experiences discomfort prompting removal of the lens from their eye.</t>
  </si>
  <si>
    <t>Lenses are released with a non-conforming level of sodium tetraborate decahydrate.
User receives the lenses with a non-conforming level of sodium tetraborate decahydrate.
User unknowingly inserts a lens into their eye that has the non-conforming level of sodium borate and experiences discomfort prompting removal of the lens from their eye.</t>
  </si>
  <si>
    <t xml:space="preserve">Packing solution pH is out of specification </t>
  </si>
  <si>
    <t>C-41</t>
  </si>
  <si>
    <t>Lenses are released with the pH level out of specification.
Packing solution pH is low (acidic) or high (Base).
User receives the lenses with the packing solution pH out of specification.
User unknowingly inserts a lens into their eye and experiences discomfort prompting removal of the lens from their eye.</t>
  </si>
  <si>
    <t>The reactive monomer mixture contains a component (e.g. mPDMS or SiMAA2) with an elevated level of residual solvent (e.g. toluene, hexane, xylene, or DMF).
Lenses are released with a non-conforming level of the residual solvent.
The user receives the lenses with a non-conforming level of the residual solvent and places the lens on eye.
The user experiences discomfort prompting removal of the lens from the eye.</t>
  </si>
  <si>
    <t>A contact lens is released with a non-conforming level of 2-(2-cyano-2-(9H-thioxanthen-9-yildene)acetamido)ethyl methacrylate (RTY-1).  User receives the lens with a non-conforming level of RTY-1 and places the lens on eye. The user may experience discomfort prompting removal of the lens.</t>
  </si>
  <si>
    <t>A contact lens is released with a non-conforming level of  1,4-bis[(2-hydroxyethyl)amino]-9,10-anthracenedione-bis(2-methyl-2-propenoic) ester (RB247).  User receives the lens with a non-conforming level of RB247 and places the lens on eye.  The user may experience discomfort prompting removal of the lens.</t>
  </si>
  <si>
    <t>Lens geometry is incorrect</t>
  </si>
  <si>
    <t>Contact lenses with an incorrect Base Curve are shipped to a user.
User receives and inserts the lens with a BASE CURVE that is either TOO STEEP or TOO FLAT.
A steep base curve may impact the ability to remove a lens from the eye or may cause diminished lens movement and a flat base curve may lead to excessive lens movement prompting removal of the lens from their eye.</t>
  </si>
  <si>
    <t>Contact lenses with an incorrect Center Thickness (CT) are shipped to a user.
User receives and inserts the lens with a CENTER THICKNESS that is either TOO THIN or TOO THICK into their eye.
A thinner CT may cause under-correction or impact handling and a thicker CT may cause over- correction or reduce user comfort prompting removal of the lens from their eye.</t>
  </si>
  <si>
    <t>Contact lenses with an incorrect lens diameter are shipped to a user.
User receives and inserts the lens with a DIAMETER that is either TOO LARGE or TOO SMALL.
The incorrect lens diameter may affect lens movement (i.e. reduced or excessive lens movement), prompting lens removal from the eye.</t>
  </si>
  <si>
    <t>Lens optical parameters are incorrect</t>
  </si>
  <si>
    <t>P-10</t>
  </si>
  <si>
    <t xml:space="preserve">The corrective axis is incorrect on lenses and are shipped to a user.
A user receives and inserts the lens into their eye and the lens may not provide the user with the needed visual correction prompting removal of the lens from their eye. </t>
  </si>
  <si>
    <t>P-22</t>
  </si>
  <si>
    <t>Lenses with an incorrect dynamic contact angle (DCA) are shipped to a user.
User receives and inserts the lens into their eye and may experiences discomfort during regular wear prompting removal of the lens from their eye.</t>
  </si>
  <si>
    <t>Incorrect lens optical parameters</t>
  </si>
  <si>
    <t>Contact lenses with an incorrect spherical correction (power) are shipped to a user.
User receives lenses with the incorrect spherical correction (power).
The user inserts the lens with the incorrect spherical correction into their eye and the lens may not provide the user with the needed visual correction prompting removal of the lens from their eye.</t>
  </si>
  <si>
    <t>Lenses with an incorrect cylindrical correction are shipped to a user.
A user receives and inserts the lens into their eye and the lens may not provide the user with the needed visual correction prompting removal of the lens from their eye.</t>
  </si>
  <si>
    <t>Contact lenses with an incorrect optic zone diameter are shipped to a user.
The optic zone diameter is smaller than the design intent.
The user receives and inserts a lens with an optic zone diameter smaller than design intent into their eye and may experience diminished subjective vision quality prompting removal of the lens from their eye.</t>
  </si>
  <si>
    <t>Lens Defects</t>
  </si>
  <si>
    <t xml:space="preserve">Contact lenses containing micro bubbles (voids) are shipped to a user. 
The user receives and inserts the lens on to the eye.
The user or ECP may reject the lens due to aesthetic appearance (may lead to a customer complaint).
This hazard is only known to exist in lenses formulated with mPDMS. 
</t>
  </si>
  <si>
    <t xml:space="preserve">Missing or incorrectly positioned axis orientation marks on an Astigmatic lens
</t>
  </si>
  <si>
    <t>The axis orientation marks (scribe marks) are missing or incorrectly positioned on the lens during manufacturing.
The lenses are shipped to an Eye Care Professional (ECP) and the ECP is unable to properly fit the patient.
If they are incorrectly positioned the patient may experience suboptimal visual acuity.</t>
  </si>
  <si>
    <t>Incorrect Lens OPTICAL parameters</t>
  </si>
  <si>
    <t>A contact lens with an out of specification value for wavefront deviation is placed on a patient’s eye.  The lens may not provide sufficient vision performance (visual acuity and/or subjective vision), prompting lens removal from the eye.</t>
  </si>
  <si>
    <t>Ingestion of a contact lens</t>
  </si>
  <si>
    <t>UM-15</t>
  </si>
  <si>
    <t>Choking on a contact lens</t>
  </si>
  <si>
    <t>UM-17</t>
  </si>
  <si>
    <t>Choking on a lens.
User or other individual may place a lens in their mouth and inadvertently choke on the lens.</t>
  </si>
  <si>
    <t>Mis-Use</t>
  </si>
  <si>
    <t>User with underlying health condition wears contact lens.
User’s underlying condition may worsen due to continued use of the contact lens causing discomfort prompting the user to remove the lens from their eye.</t>
  </si>
  <si>
    <t>User “loans” a used lens(s) to another individual to whom the lenses were not prescribed. 
Unaware individual inserts a potentially contaminated/non sterile lens(s) into their eye and develops an infection</t>
  </si>
  <si>
    <t>User does not follow the prescription for a daily disposable contact lens.
User wears a daily disposable lens as a daily wear lens.  User cleans the lens with a non-tested cleaning solution.
The user may experience signs or symptoms due to an interaction between the lens and the cleaning solution.</t>
  </si>
  <si>
    <t xml:space="preserve">User does not follow prescription.
User treats daily disposable lens as an extended wear lens and wears the lens during sleep.
The user may experience discomfort or visual acuity issues. </t>
  </si>
  <si>
    <t>User does not follow prescription.
User wears the lens during sporting activities, especially during swimming or other water sports and may develop an infection.</t>
  </si>
  <si>
    <t xml:space="preserve">Exposure to UV Rays. 
User does not follow instructions and wears contact lenses outdoors without sunglasses or additional eye protection. 
The area of the eye not covered by the contact lens is exposed to UV radiation. 
There is no harm from the contact lens.
</t>
  </si>
  <si>
    <t xml:space="preserve">User applies makeup before handling contact lenses. 
User transfers makeup onto contact lens during handling and insertion. 
Eye (s) may become irritated and the user may experience discomfort. </t>
  </si>
  <si>
    <t xml:space="preserve">Exposure to harmful vapors, hairspray.
User is exposed to harmful vapors while wearing contact lenses. 
Eye (s) may become irritated, user may experience discomfort. </t>
  </si>
  <si>
    <t>Package Handling</t>
  </si>
  <si>
    <t>UM-29</t>
  </si>
  <si>
    <t xml:space="preserve">Improper handling of the primary package. 
The primary packaging or lidstock causes finger laceration during handling or opening of the package and the user may develop a minor infection. </t>
  </si>
  <si>
    <t>Interaction with drugs</t>
  </si>
  <si>
    <t>UM-32</t>
  </si>
  <si>
    <t>User wears the lens while taking over the counter (OTC) or prescription medication.
User may experience discomfort due to reduced lens tolerance caused by use of medications prompting removal of the lens from their eye.</t>
  </si>
  <si>
    <t>Non-tested lens care products</t>
  </si>
  <si>
    <t>UM-33</t>
  </si>
  <si>
    <t>User treats the lens with non-tested lens care product, or re-wetting agent containing a non tested preservative.
User inserts treated lens in their eye and may experience an adverse reaction or discomfort prompting removal of the lens from their eye.</t>
  </si>
  <si>
    <t>Misuse</t>
  </si>
  <si>
    <t>Broken tamper evident seal on the primary package</t>
  </si>
  <si>
    <t>Tamper Evident Seal on the primary package is broken and the lens becomes non-sterile and is colonized with pathogenic microbes. The user overlooks the broken seal and inserts the non-sterile colonized lens into their eye and develops an infection.</t>
  </si>
  <si>
    <t>Tamper Evident Seal on the primary package is broken and the lens may become non-sterile. The user overlooks the broken seal and inserts the non-colonized lens into their eye but does not develop an infection, but may experience signs and / or symptoms of a non-serious injury or illness.</t>
  </si>
  <si>
    <t>Tamper Evident Seal on the primary package is broken and the lens becomes non-sterile. The user notices the broken seal and does not use the lens</t>
  </si>
  <si>
    <t>Appearance</t>
  </si>
  <si>
    <t>User is unable to locate the lens in the package. The user is not able to use the contact lens.</t>
  </si>
  <si>
    <t>During lens insertion or removal, the patient may experience an adverse event (e.g. corneal abrasion) arising from improper lens insertion or removal technique.</t>
  </si>
  <si>
    <t>The patient does not properly wash hands or inadvertently exposes the lens to a chemical irritant (e.g. hand sanitizer) prior to insertion, while in use, or during removal of the lens.  The patient may experience an adverse event (e.g. serious eye injury: corneal opacity or eye infection).</t>
  </si>
  <si>
    <t>The patient does not properly clean, disinfect, and/or store the contact lens (e.g. utilizes lens care products that are not recommended by the Eye Care Professional, uses tap water and/or does not follow the cleaning, disinfection and storage directions for use) which leads to contamination of the contact lens.  The patient inserts the contaminated lens on eye and may experience an eye injury.</t>
  </si>
  <si>
    <t>The patient does not properly clean, disinfect, and/or store the contact lens (e.g. utilizes lens care products that are not recommended by the Eye Care Professional, uses tap water and/or does not follow the cleaning, disinfection and storage directions for use) which leads to contamination of the contact lens.  The patient inserts the contaminated lens on eye and may experience an adverse event (e.g. eye infection) arising from contamination of the ocular environment.</t>
  </si>
  <si>
    <t>The patient does not properly clean, disinfect, and/or store the contact lens (e.g. utilizes lens care products that are not recommended by the Eye Care Professional, uses tap water and/or does not follow the cleaning, disinfection and storage directions for use) which leads to contamination of the contact lens.  The patient inserts the contaminated lens on eye and may experience eye irritation prompting removal of the lens.</t>
  </si>
  <si>
    <t>≤ 3</t>
  </si>
  <si>
    <t>A patient does not follow proper technique for lens removal from the primary package (e.g. using tweezers or long fingernails) and the lens is damaged.  The patient inserts the lens on eye and experiences discomfort. The patient removes the lens.</t>
  </si>
  <si>
    <t>The patient does not properly wash hands or inadvertently exposes the lens to a chemical irritant (e.g. hand sanitizer) prior to insertion, while in use, or during removal of the lens.  The patient may experience an adverse event (e.g. chemical eye injury).</t>
  </si>
  <si>
    <t>FUNCTION</t>
  </si>
  <si>
    <t>F-4</t>
  </si>
  <si>
    <t>A contact lens with a non-conforming % Transmission is produced and shipped to a user.  The user inserts the lens with a non-conforming % Transmission on eye and the lens may not provide the user subjective vision benefit.</t>
  </si>
  <si>
    <t>EG-1</t>
  </si>
  <si>
    <t>N/A</t>
  </si>
  <si>
    <t>Disposal of contact lens (Blister, lidstock, packing solution, or carton)</t>
  </si>
  <si>
    <t>E-1</t>
  </si>
  <si>
    <t>Disposal of contact lens, primary/secondary packaging, and packing solution poses a threat to the environment.  There is no harm to the user.</t>
  </si>
  <si>
    <t>Temperature and Environmental Exposure Post-release (Shipping and Storage) of contact lenses</t>
  </si>
  <si>
    <t>During storage and shipping of contact lenses they are exposed to extreme temperature conditions prior to receipt by the user.  There is no harm to the user.</t>
  </si>
  <si>
    <t>USE/MISUSE
(Human Factor)</t>
  </si>
  <si>
    <t>High Energy Visible (HEV) Light Filtering Performance</t>
  </si>
  <si>
    <t>Design Element</t>
  </si>
  <si>
    <r>
      <t xml:space="preserve">Hazard
</t>
    </r>
    <r>
      <rPr>
        <sz val="10"/>
        <rFont val="Times New Roman"/>
        <family val="1"/>
      </rPr>
      <t>(potential source of harm)</t>
    </r>
  </si>
  <si>
    <t>Hazard ID</t>
  </si>
  <si>
    <r>
      <t xml:space="preserve">Hazardous Situation
</t>
    </r>
    <r>
      <rPr>
        <sz val="10"/>
        <rFont val="Times New Roman"/>
        <family val="1"/>
      </rPr>
      <t>(circumstance in which people, property or the environment
is/are exposed to one or more hazards)</t>
    </r>
  </si>
  <si>
    <t>Severity</t>
  </si>
  <si>
    <t>Probability of Occurrence of Hazard/Hazardous Situation</t>
  </si>
  <si>
    <t>Risk Acceptability</t>
  </si>
  <si>
    <r>
      <t xml:space="preserve">Risk Control Measure
</t>
    </r>
    <r>
      <rPr>
        <sz val="10"/>
        <rFont val="Times New Roman"/>
        <family val="1"/>
      </rPr>
      <t>(All risk control options are implemented in the priority order aligned with ISO 14971 and EU MDR 2017/745)</t>
    </r>
  </si>
  <si>
    <t>Source Document(s)</t>
  </si>
  <si>
    <t>Comments</t>
  </si>
  <si>
    <t>Primary Package Design</t>
  </si>
  <si>
    <t>Biological</t>
  </si>
  <si>
    <t>B-7</t>
  </si>
  <si>
    <t xml:space="preserve">Packaging Failure
Packaging does not protect the product during the entire shelf life. 
Protective sterile barrier becomes compromised over time and the lens becomes colonized with pathogenic microbes. 
The user inserts the non-sterile colonized lens into their eye and develops an infection. </t>
  </si>
  <si>
    <t>L</t>
  </si>
  <si>
    <t xml:space="preserve">Lidstock Raw Material Requirements
Blister Raw Material Requirements
Information for Safety 
(Lens Handing and Insertion)
</t>
  </si>
  <si>
    <r>
      <rPr>
        <b/>
        <sz val="10"/>
        <color rgb="FF000000"/>
        <rFont val="Times New Roman"/>
        <family val="1"/>
      </rPr>
      <t xml:space="preserve">Raw Material Specification - Lidstock:
</t>
    </r>
    <r>
      <rPr>
        <b/>
        <sz val="10"/>
        <color rgb="FF0000FF"/>
        <rFont val="Times New Roman"/>
        <family val="1"/>
      </rPr>
      <t>R-3445:</t>
    </r>
    <r>
      <rPr>
        <b/>
        <sz val="10"/>
        <color rgb="FFFF0000"/>
        <rFont val="Times New Roman"/>
        <family val="1"/>
      </rPr>
      <t xml:space="preserve"> </t>
    </r>
    <r>
      <rPr>
        <sz val="10"/>
        <color rgb="FFFF0000"/>
        <rFont val="Times New Roman"/>
        <family val="1"/>
      </rPr>
      <t xml:space="preserve"> </t>
    </r>
    <r>
      <rPr>
        <sz val="10"/>
        <rFont val="Times New Roman"/>
        <family val="1"/>
      </rPr>
      <t>Lidstock</t>
    </r>
    <r>
      <rPr>
        <b/>
        <sz val="10"/>
        <rFont val="Times New Roman"/>
        <family val="1"/>
      </rPr>
      <t xml:space="preserve"> - </t>
    </r>
    <r>
      <rPr>
        <sz val="10"/>
        <rFont val="Times New Roman"/>
        <family val="1"/>
      </rPr>
      <t xml:space="preserve">45 </t>
    </r>
    <r>
      <rPr>
        <sz val="10"/>
        <color rgb="FF000000"/>
        <rFont val="Times New Roman"/>
        <family val="1"/>
      </rPr>
      <t xml:space="preserve">mm Preprinted Laminated Peelable (eDMS)
</t>
    </r>
    <r>
      <rPr>
        <b/>
        <sz val="10"/>
        <color rgb="FF0000FF"/>
        <rFont val="Times New Roman"/>
        <family val="1"/>
      </rPr>
      <t>R-3234:</t>
    </r>
    <r>
      <rPr>
        <sz val="10"/>
        <color rgb="FFFF0000"/>
        <rFont val="Times New Roman"/>
        <family val="1"/>
      </rPr>
      <t xml:space="preserve"> </t>
    </r>
    <r>
      <rPr>
        <sz val="10"/>
        <rFont val="Times New Roman"/>
        <family val="1"/>
      </rPr>
      <t xml:space="preserve">45 mm Preprinted Laminated Foil Lidstock (eDMS) </t>
    </r>
    <r>
      <rPr>
        <sz val="10"/>
        <color rgb="FFFF0000"/>
        <rFont val="Times New Roman"/>
        <family val="1"/>
      </rPr>
      <t xml:space="preserve">
</t>
    </r>
    <r>
      <rPr>
        <sz val="10"/>
        <color rgb="FF000000"/>
        <rFont val="Times New Roman"/>
        <family val="1"/>
      </rPr>
      <t xml:space="preserve">
</t>
    </r>
    <r>
      <rPr>
        <b/>
        <sz val="10"/>
        <color rgb="FF0000FF"/>
        <rFont val="Times New Roman"/>
        <family val="1"/>
      </rPr>
      <t>R-3443:</t>
    </r>
    <r>
      <rPr>
        <sz val="10"/>
        <color rgb="FF0000FF"/>
        <rFont val="Times New Roman"/>
        <family val="1"/>
      </rPr>
      <t xml:space="preserve"> </t>
    </r>
    <r>
      <rPr>
        <sz val="10"/>
        <color rgb="FFFF0000"/>
        <rFont val="Times New Roman"/>
        <family val="1"/>
      </rPr>
      <t xml:space="preserve">  </t>
    </r>
    <r>
      <rPr>
        <sz val="10"/>
        <rFont val="Times New Roman"/>
        <family val="1"/>
      </rPr>
      <t>Lidstock - 8</t>
    </r>
    <r>
      <rPr>
        <sz val="10"/>
        <color rgb="FF000000"/>
        <rFont val="Times New Roman"/>
        <family val="1"/>
      </rPr>
      <t xml:space="preserve">6 mm Preprinted Laminated Peelable (eDMS) 
</t>
    </r>
    <r>
      <rPr>
        <b/>
        <sz val="10"/>
        <color rgb="FF0000FF"/>
        <rFont val="Times New Roman"/>
        <family val="1"/>
      </rPr>
      <t>R-3111:</t>
    </r>
    <r>
      <rPr>
        <sz val="10"/>
        <color rgb="FFFF0000"/>
        <rFont val="Times New Roman"/>
        <family val="1"/>
      </rPr>
      <t xml:space="preserve"> </t>
    </r>
    <r>
      <rPr>
        <sz val="10"/>
        <rFont val="Times New Roman"/>
        <family val="1"/>
      </rPr>
      <t>86 mm Preprinted Laminated Foil  Lidstock (eDMS)</t>
    </r>
    <r>
      <rPr>
        <sz val="10"/>
        <color rgb="FFFF0000"/>
        <rFont val="Times New Roman"/>
        <family val="1"/>
      </rPr>
      <t xml:space="preserve">
</t>
    </r>
    <r>
      <rPr>
        <sz val="10"/>
        <color rgb="FF000000"/>
        <rFont val="Times New Roman"/>
        <family val="1"/>
      </rPr>
      <t xml:space="preserve">
</t>
    </r>
    <r>
      <rPr>
        <b/>
        <sz val="10"/>
        <color rgb="FF000000"/>
        <rFont val="Times New Roman"/>
        <family val="1"/>
      </rPr>
      <t xml:space="preserve">Raw Material Specification - Blister:
</t>
    </r>
    <r>
      <rPr>
        <b/>
        <sz val="10"/>
        <color rgb="FF0000FF"/>
        <rFont val="Times New Roman"/>
        <family val="1"/>
      </rPr>
      <t>R-3281:</t>
    </r>
    <r>
      <rPr>
        <b/>
        <sz val="10"/>
        <color rgb="FF000000"/>
        <rFont val="Times New Roman"/>
        <family val="1"/>
      </rPr>
      <t xml:space="preserve"> </t>
    </r>
    <r>
      <rPr>
        <sz val="10"/>
        <color rgb="FF000000"/>
        <rFont val="Times New Roman"/>
        <family val="1"/>
      </rPr>
      <t xml:space="preserve">JJVC Injection Molded Primary Lens Package Bowl (eDMS)
</t>
    </r>
    <r>
      <rPr>
        <b/>
        <sz val="10"/>
        <color rgb="FF000000"/>
        <rFont val="Times New Roman"/>
        <family val="1"/>
      </rPr>
      <t xml:space="preserve">Patient Instruction Guide:
LB2022AVOM4031: </t>
    </r>
    <r>
      <rPr>
        <sz val="10"/>
        <color rgb="FF000000"/>
        <rFont val="Times New Roman"/>
        <family val="1"/>
      </rPr>
      <t xml:space="preserve">ACUVUE® OASYS MAX 1-Day; ASTIGMATISM; MULTIFOCAL (Veeva)
</t>
    </r>
    <r>
      <rPr>
        <b/>
        <sz val="10"/>
        <color rgb="FF000000"/>
        <rFont val="Times New Roman"/>
        <family val="1"/>
      </rPr>
      <t>Package Insert:
LB2022AVOM4030:</t>
    </r>
    <r>
      <rPr>
        <sz val="10"/>
        <color rgb="FF000000"/>
        <rFont val="Times New Roman"/>
        <family val="1"/>
      </rPr>
      <t xml:space="preserve"> ACUVUE® OASYS MAX 1-Day Contact Lenses, ASTIGMATISM, MULTIFOCAL (Veeva)
</t>
    </r>
    <r>
      <rPr>
        <b/>
        <sz val="10"/>
        <color rgb="FF000000"/>
        <rFont val="Times New Roman"/>
        <family val="1"/>
      </rPr>
      <t xml:space="preserve">LB2023MLT4008: </t>
    </r>
    <r>
      <rPr>
        <sz val="10"/>
        <color rgb="FF000000"/>
        <rFont val="Times New Roman"/>
        <family val="1"/>
      </rPr>
      <t>ACUVUE® OASYS MAX 1-Day Contact Lenses, ASTIGMATISM, MULTIFOCAL (Veeva)</t>
    </r>
  </si>
  <si>
    <t>None</t>
  </si>
  <si>
    <t>B-9</t>
  </si>
  <si>
    <t>The seal layer of the lidstock is delaminated or delaminates during opening of the package.
Lens remains sterile and hydrated. 
The user manages to open the seal layer and remove the lens.
The User inserts the sterile, hydrated lens into their eye.
There is no harm as the lens was sterile.</t>
  </si>
  <si>
    <r>
      <t xml:space="preserve"> </t>
    </r>
    <r>
      <rPr>
        <sz val="10"/>
        <rFont val="Calibri"/>
        <family val="2"/>
      </rPr>
      <t>≤</t>
    </r>
    <r>
      <rPr>
        <sz val="10"/>
        <rFont val="Times New Roman"/>
        <family val="1"/>
      </rPr>
      <t xml:space="preserve"> 3</t>
    </r>
  </si>
  <si>
    <t>Lidstock Raw Material Requirements</t>
  </si>
  <si>
    <r>
      <rPr>
        <b/>
        <sz val="10"/>
        <color rgb="FF000000"/>
        <rFont val="Times New Roman"/>
        <family val="1"/>
      </rPr>
      <t xml:space="preserve">Raw Material Specification - Lidstock:
</t>
    </r>
    <r>
      <rPr>
        <b/>
        <sz val="10"/>
        <color rgb="FF0000FF"/>
        <rFont val="Times New Roman"/>
        <family val="1"/>
      </rPr>
      <t>R-3445:</t>
    </r>
    <r>
      <rPr>
        <b/>
        <sz val="10"/>
        <rFont val="Times New Roman"/>
        <family val="1"/>
      </rPr>
      <t xml:space="preserve"> </t>
    </r>
    <r>
      <rPr>
        <sz val="10"/>
        <rFont val="Times New Roman"/>
        <family val="1"/>
      </rPr>
      <t>Lidstock -</t>
    </r>
    <r>
      <rPr>
        <b/>
        <sz val="10"/>
        <rFont val="Times New Roman"/>
        <family val="1"/>
      </rPr>
      <t xml:space="preserve"> </t>
    </r>
    <r>
      <rPr>
        <sz val="10"/>
        <rFont val="Times New Roman"/>
        <family val="1"/>
      </rPr>
      <t xml:space="preserve">45 mm Preprinted Laminated Peelable (eDMS)
</t>
    </r>
    <r>
      <rPr>
        <b/>
        <sz val="10"/>
        <color rgb="FF0000FF"/>
        <rFont val="Times New Roman"/>
        <family val="1"/>
      </rPr>
      <t>R-3234:</t>
    </r>
    <r>
      <rPr>
        <b/>
        <sz val="10"/>
        <rFont val="Times New Roman"/>
        <family val="1"/>
      </rPr>
      <t xml:space="preserve"> </t>
    </r>
    <r>
      <rPr>
        <sz val="10"/>
        <rFont val="Times New Roman"/>
        <family val="1"/>
      </rPr>
      <t xml:space="preserve">45 mm Preprinted Laminated Foil Lidstock (eDMS) 
</t>
    </r>
    <r>
      <rPr>
        <b/>
        <sz val="10"/>
        <rFont val="Times New Roman"/>
        <family val="1"/>
      </rPr>
      <t xml:space="preserve">
</t>
    </r>
    <r>
      <rPr>
        <b/>
        <sz val="10"/>
        <color rgb="FF0000FF"/>
        <rFont val="Times New Roman"/>
        <family val="1"/>
      </rPr>
      <t>R-3443:</t>
    </r>
    <r>
      <rPr>
        <b/>
        <sz val="10"/>
        <rFont val="Times New Roman"/>
        <family val="1"/>
      </rPr>
      <t xml:space="preserve"> </t>
    </r>
    <r>
      <rPr>
        <sz val="10"/>
        <rFont val="Times New Roman"/>
        <family val="1"/>
      </rPr>
      <t xml:space="preserve">  Lidstock - 86 mm Preprinted Laminated Peelable (eDMS) 
</t>
    </r>
    <r>
      <rPr>
        <b/>
        <sz val="10"/>
        <color rgb="FF0000FF"/>
        <rFont val="Times New Roman"/>
        <family val="1"/>
      </rPr>
      <t>R-3111:</t>
    </r>
    <r>
      <rPr>
        <b/>
        <sz val="10"/>
        <rFont val="Times New Roman"/>
        <family val="1"/>
      </rPr>
      <t xml:space="preserve"> </t>
    </r>
    <r>
      <rPr>
        <sz val="10"/>
        <rFont val="Times New Roman"/>
        <family val="1"/>
      </rPr>
      <t>86 mm Preprinted Laminated Foil  Lidstock (eDMS)</t>
    </r>
  </si>
  <si>
    <t>Contact Lens Material/
Manufacturing Materials/Process Aids</t>
  </si>
  <si>
    <t>B-25</t>
  </si>
  <si>
    <t>Raw Material Supplier Assessment
Raw Material Certification</t>
  </si>
  <si>
    <r>
      <rPr>
        <b/>
        <sz val="10"/>
        <rFont val="Times New Roman"/>
        <family val="1"/>
      </rPr>
      <t>Raw Material Supplier Assessment:</t>
    </r>
    <r>
      <rPr>
        <sz val="10"/>
        <rFont val="Times New Roman"/>
        <family val="1"/>
      </rPr>
      <t xml:space="preserve">
</t>
    </r>
    <r>
      <rPr>
        <b/>
        <sz val="10"/>
        <rFont val="Times New Roman"/>
        <family val="1"/>
      </rPr>
      <t xml:space="preserve">VIS-TD-106367: </t>
    </r>
    <r>
      <rPr>
        <sz val="10"/>
        <rFont val="Times New Roman"/>
        <family val="1"/>
      </rPr>
      <t xml:space="preserve">Assessment of Animal Tissues and Derivatives and BSE/TSE in JJVCI Products (PLM)
</t>
    </r>
    <r>
      <rPr>
        <b/>
        <sz val="10"/>
        <rFont val="Times New Roman"/>
        <family val="1"/>
      </rPr>
      <t>Raw Material Certifications:</t>
    </r>
    <r>
      <rPr>
        <sz val="10"/>
        <rFont val="Times New Roman"/>
        <family val="1"/>
      </rPr>
      <t xml:space="preserve">
</t>
    </r>
    <r>
      <rPr>
        <b/>
        <sz val="10"/>
        <rFont val="Times New Roman"/>
        <family val="1"/>
      </rPr>
      <t xml:space="preserve">VIS-PROJECT-000101: </t>
    </r>
    <r>
      <rPr>
        <sz val="10"/>
        <rFont val="Times New Roman"/>
        <family val="1"/>
      </rPr>
      <t xml:space="preserve">Materials &amp; Supplier Engineering (PLM)
</t>
    </r>
    <r>
      <rPr>
        <b/>
        <sz val="10"/>
        <rFont val="Times New Roman"/>
        <family val="1"/>
      </rPr>
      <t xml:space="preserve">VIS-FOLDER-000861: </t>
    </r>
    <r>
      <rPr>
        <sz val="10"/>
        <rFont val="Times New Roman"/>
        <family val="1"/>
      </rPr>
      <t>PC-0013 (MSE Documentation) - senofilcon A with RTY-1  (PLM)</t>
    </r>
  </si>
  <si>
    <t>Secondary Package Design</t>
  </si>
  <si>
    <t>B-26</t>
  </si>
  <si>
    <t>Information for Safety
(Lens Handling and Insertion)
Quality System Procedure</t>
  </si>
  <si>
    <r>
      <rPr>
        <b/>
        <sz val="10"/>
        <color theme="1"/>
        <rFont val="Times New Roman"/>
        <family val="1"/>
      </rPr>
      <t>Product Labeling Specification:</t>
    </r>
    <r>
      <rPr>
        <sz val="10"/>
        <color theme="1"/>
        <rFont val="Times New Roman"/>
        <family val="1"/>
      </rPr>
      <t xml:space="preserve">
</t>
    </r>
    <r>
      <rPr>
        <b/>
        <sz val="10"/>
        <color rgb="FF0000FF"/>
        <rFont val="Times New Roman"/>
        <family val="1"/>
      </rPr>
      <t xml:space="preserve">L-5000: </t>
    </r>
    <r>
      <rPr>
        <sz val="10"/>
        <rFont val="Times New Roman"/>
        <family val="1"/>
      </rPr>
      <t>Copy Clearance: Packaging, Labeling and Printed Material Change Control Process (eDMS)</t>
    </r>
    <r>
      <rPr>
        <sz val="10"/>
        <color theme="1"/>
        <rFont val="Times New Roman"/>
        <family val="1"/>
      </rPr>
      <t xml:space="preserve">
</t>
    </r>
    <r>
      <rPr>
        <b/>
        <sz val="10"/>
        <color theme="1"/>
        <rFont val="Times New Roman"/>
        <family val="1"/>
      </rPr>
      <t>Package Insert:</t>
    </r>
    <r>
      <rPr>
        <sz val="10"/>
        <color theme="1"/>
        <rFont val="Times New Roman"/>
        <family val="1"/>
      </rPr>
      <t xml:space="preserve">
</t>
    </r>
    <r>
      <rPr>
        <b/>
        <sz val="10"/>
        <color theme="1"/>
        <rFont val="Times New Roman"/>
        <family val="1"/>
      </rPr>
      <t>LB2022AVOM4030:</t>
    </r>
    <r>
      <rPr>
        <sz val="10"/>
        <color theme="1"/>
        <rFont val="Times New Roman"/>
        <family val="1"/>
      </rPr>
      <t xml:space="preserve"> ACUVUE® OASYS MAX 1-Day Contact Lenses, ASTIGMATISM, MULTIFOCAL (Veeva)
</t>
    </r>
    <r>
      <rPr>
        <b/>
        <sz val="10"/>
        <color theme="1"/>
        <rFont val="Times New Roman"/>
        <family val="1"/>
      </rPr>
      <t>Patient Instruction Guide:</t>
    </r>
    <r>
      <rPr>
        <sz val="10"/>
        <color theme="1"/>
        <rFont val="Times New Roman"/>
        <family val="1"/>
      </rPr>
      <t xml:space="preserve">
</t>
    </r>
    <r>
      <rPr>
        <b/>
        <sz val="10"/>
        <rFont val="Times New Roman"/>
        <family val="1"/>
      </rPr>
      <t>LB2022AVOM4031:</t>
    </r>
    <r>
      <rPr>
        <b/>
        <sz val="10"/>
        <color rgb="FF0000FF"/>
        <rFont val="Times New Roman"/>
        <family val="1"/>
      </rPr>
      <t xml:space="preserve"> </t>
    </r>
    <r>
      <rPr>
        <sz val="10"/>
        <rFont val="Times New Roman"/>
        <family val="1"/>
      </rPr>
      <t xml:space="preserve">ACUVUE® OASYS MAX 1-Day; ASTIGMATISM; MULTIFOCAL (Veeva)
</t>
    </r>
    <r>
      <rPr>
        <b/>
        <sz val="10"/>
        <rFont val="Times New Roman"/>
        <family val="1"/>
      </rPr>
      <t>LB2023MLT4008:</t>
    </r>
    <r>
      <rPr>
        <sz val="10"/>
        <rFont val="Times New Roman"/>
        <family val="1"/>
      </rPr>
      <t xml:space="preserve"> ACUVUE® OASYS MAX 1-Day Contact Lenses, ASTIGMATISM, MULTIFOCAL (Veeva)</t>
    </r>
    <r>
      <rPr>
        <sz val="10"/>
        <color theme="1"/>
        <rFont val="Times New Roman"/>
        <family val="1"/>
      </rPr>
      <t xml:space="preserve">
</t>
    </r>
    <r>
      <rPr>
        <b/>
        <sz val="10"/>
        <color theme="1"/>
        <rFont val="Times New Roman"/>
        <family val="1"/>
      </rPr>
      <t>Quality System Procedure:</t>
    </r>
    <r>
      <rPr>
        <sz val="10"/>
        <color theme="1"/>
        <rFont val="Times New Roman"/>
        <family val="1"/>
      </rPr>
      <t xml:space="preserve">
</t>
    </r>
    <r>
      <rPr>
        <b/>
        <sz val="10"/>
        <color theme="1"/>
        <rFont val="Times New Roman"/>
        <family val="1"/>
      </rPr>
      <t>JJV-11-S010:</t>
    </r>
    <r>
      <rPr>
        <sz val="10"/>
        <color theme="1"/>
        <rFont val="Times New Roman"/>
        <family val="1"/>
      </rPr>
      <t xml:space="preserve"> JJV External Manufacturer &amp; Supplier Performance Monitoring (</t>
    </r>
    <r>
      <rPr>
        <sz val="10"/>
        <rFont val="Times New Roman"/>
        <family val="1"/>
      </rPr>
      <t>Vision Shared)</t>
    </r>
    <r>
      <rPr>
        <sz val="10"/>
        <color theme="1"/>
        <rFont val="Times New Roman"/>
        <family val="1"/>
      </rPr>
      <t xml:space="preserve"> (TruVault)</t>
    </r>
  </si>
  <si>
    <t>B-27</t>
  </si>
  <si>
    <t>B-28</t>
  </si>
  <si>
    <t>Contact Lens Material/
Primary Package Materials/
Packing Solution</t>
  </si>
  <si>
    <t>Chemical</t>
  </si>
  <si>
    <t>Materials used to manufacture contact lens, packaging, solutions, adhesives and labels, do not meet the requirements for safety, performance, manufacture, handling, and compatibility with other materials with which they come into contact.
There is an unanticipated interaction between the components.
User receives and wears a lens that was produced from substandard or incompatible materials and may experience an adverse reaction to the lens or experience discomfort prompting removal of the lens from their eye.</t>
  </si>
  <si>
    <r>
      <t>Reactive Monomer Mix Formulation</t>
    </r>
    <r>
      <rPr>
        <b/>
        <sz val="10"/>
        <rFont val="Times New Roman"/>
        <family val="1"/>
      </rPr>
      <t xml:space="preserve">
</t>
    </r>
    <r>
      <rPr>
        <sz val="10"/>
        <rFont val="Times New Roman"/>
        <family val="1"/>
      </rPr>
      <t xml:space="preserve">
Packing Solution Formulation
Lidstock Raw Material Requirements
Blister Raw Material Requirements</t>
    </r>
  </si>
  <si>
    <r>
      <rPr>
        <b/>
        <sz val="10"/>
        <color rgb="FF000000"/>
        <rFont val="Times New Roman"/>
        <family val="1"/>
      </rPr>
      <t xml:space="preserve">Raw Material Specification - Reactive Monomer Mix: 
</t>
    </r>
    <r>
      <rPr>
        <b/>
        <sz val="10"/>
        <color rgb="FF0000FF"/>
        <rFont val="Times New Roman"/>
        <family val="1"/>
      </rPr>
      <t>R-3434:</t>
    </r>
    <r>
      <rPr>
        <sz val="10"/>
        <color rgb="FF000000"/>
        <rFont val="Times New Roman"/>
        <family val="1"/>
      </rPr>
      <t xml:space="preserve"> Senofilcon A (C3) with RTY-1 Reactive Monomer Mix (eDMS)
</t>
    </r>
    <r>
      <rPr>
        <b/>
        <sz val="10"/>
        <color rgb="FF000000"/>
        <rFont val="Times New Roman"/>
        <family val="1"/>
      </rPr>
      <t xml:space="preserve">Raw Material Specification - Packing Solution:
</t>
    </r>
    <r>
      <rPr>
        <b/>
        <sz val="10"/>
        <color rgb="FF0000FF"/>
        <rFont val="Times New Roman"/>
        <family val="1"/>
      </rPr>
      <t>R-3356:</t>
    </r>
    <r>
      <rPr>
        <sz val="10"/>
        <color rgb="FF000000"/>
        <rFont val="Times New Roman"/>
        <family val="1"/>
      </rPr>
      <t xml:space="preserve"> Methyl Ether Cellulose Solutions Made with Optimized Borate Buffered (OBB) Packing Solution (eDMS)
</t>
    </r>
    <r>
      <rPr>
        <b/>
        <sz val="10"/>
        <color rgb="FF000000"/>
        <rFont val="Times New Roman"/>
        <family val="1"/>
      </rPr>
      <t xml:space="preserve">Raw Material Specification - Lidstock:
</t>
    </r>
    <r>
      <rPr>
        <b/>
        <sz val="10"/>
        <color rgb="FF0000FF"/>
        <rFont val="Times New Roman"/>
        <family val="1"/>
      </rPr>
      <t xml:space="preserve">R-3445: </t>
    </r>
    <r>
      <rPr>
        <sz val="10"/>
        <rFont val="Times New Roman"/>
        <family val="1"/>
      </rPr>
      <t xml:space="preserve"> Lidstock -</t>
    </r>
    <r>
      <rPr>
        <b/>
        <sz val="10"/>
        <rFont val="Times New Roman"/>
        <family val="1"/>
      </rPr>
      <t xml:space="preserve"> </t>
    </r>
    <r>
      <rPr>
        <sz val="10"/>
        <rFont val="Times New Roman"/>
        <family val="1"/>
      </rPr>
      <t>45 mm Preprinted Laminated Peelable (eDMS)</t>
    </r>
    <r>
      <rPr>
        <sz val="10"/>
        <color rgb="FF0000FF"/>
        <rFont val="Times New Roman"/>
        <family val="1"/>
      </rPr>
      <t xml:space="preserve">
</t>
    </r>
    <r>
      <rPr>
        <b/>
        <sz val="10"/>
        <color rgb="FF0000FF"/>
        <rFont val="Times New Roman"/>
        <family val="1"/>
      </rPr>
      <t xml:space="preserve">R-3234: </t>
    </r>
    <r>
      <rPr>
        <sz val="10"/>
        <rFont val="Times New Roman"/>
        <family val="1"/>
      </rPr>
      <t>45 mm Preprinted Laminated Foil Lidstock (eDMS)</t>
    </r>
    <r>
      <rPr>
        <b/>
        <sz val="10"/>
        <rFont val="Times New Roman"/>
        <family val="1"/>
      </rPr>
      <t xml:space="preserve"> </t>
    </r>
    <r>
      <rPr>
        <b/>
        <sz val="10"/>
        <color rgb="FF0000FF"/>
        <rFont val="Times New Roman"/>
        <family val="1"/>
      </rPr>
      <t xml:space="preserve">
R-3443:  </t>
    </r>
    <r>
      <rPr>
        <b/>
        <sz val="10"/>
        <rFont val="Times New Roman"/>
        <family val="1"/>
      </rPr>
      <t xml:space="preserve"> </t>
    </r>
    <r>
      <rPr>
        <sz val="10"/>
        <rFont val="Times New Roman"/>
        <family val="1"/>
      </rPr>
      <t xml:space="preserve">Lidstock </t>
    </r>
    <r>
      <rPr>
        <b/>
        <sz val="10"/>
        <rFont val="Times New Roman"/>
        <family val="1"/>
      </rPr>
      <t xml:space="preserve">- </t>
    </r>
    <r>
      <rPr>
        <sz val="10"/>
        <rFont val="Times New Roman"/>
        <family val="1"/>
      </rPr>
      <t xml:space="preserve">86 mm Preprinted Laminated Peelable (eDMS) </t>
    </r>
    <r>
      <rPr>
        <sz val="10"/>
        <color rgb="FF0000FF"/>
        <rFont val="Times New Roman"/>
        <family val="1"/>
      </rPr>
      <t xml:space="preserve">
</t>
    </r>
    <r>
      <rPr>
        <b/>
        <sz val="10"/>
        <color rgb="FF0000FF"/>
        <rFont val="Times New Roman"/>
        <family val="1"/>
      </rPr>
      <t>R-3111:</t>
    </r>
    <r>
      <rPr>
        <sz val="10"/>
        <color rgb="FF0000FF"/>
        <rFont val="Times New Roman"/>
        <family val="1"/>
      </rPr>
      <t xml:space="preserve"> </t>
    </r>
    <r>
      <rPr>
        <sz val="10"/>
        <rFont val="Times New Roman"/>
        <family val="1"/>
      </rPr>
      <t>86 mm Preprinted Laminated Foil  Lidstock (eDMS)</t>
    </r>
    <r>
      <rPr>
        <sz val="10"/>
        <color rgb="FF0000FF"/>
        <rFont val="Times New Roman"/>
        <family val="1"/>
      </rPr>
      <t xml:space="preserve">
</t>
    </r>
    <r>
      <rPr>
        <b/>
        <sz val="10"/>
        <color rgb="FFFF0000"/>
        <rFont val="Times New Roman"/>
        <family val="1"/>
      </rPr>
      <t xml:space="preserve">
</t>
    </r>
    <r>
      <rPr>
        <b/>
        <sz val="10"/>
        <color rgb="FF000000"/>
        <rFont val="Times New Roman"/>
        <family val="1"/>
      </rPr>
      <t xml:space="preserve">Raw Material Specification - Blister:
</t>
    </r>
    <r>
      <rPr>
        <b/>
        <sz val="10"/>
        <color rgb="FF0000FF"/>
        <rFont val="Times New Roman"/>
        <family val="1"/>
      </rPr>
      <t>R-3281:</t>
    </r>
    <r>
      <rPr>
        <sz val="10"/>
        <color rgb="FF000000"/>
        <rFont val="Times New Roman"/>
        <family val="1"/>
      </rPr>
      <t xml:space="preserve"> JJVC Injection Molded Primary Lens Package Bowl (eDMS)</t>
    </r>
  </si>
  <si>
    <t>Manufacturing Materials/Process Aids</t>
  </si>
  <si>
    <t>C-3</t>
  </si>
  <si>
    <t xml:space="preserve">Lenses are released with a non-conforming level of dimethylsiloxane-ethylene oxide block copolymer (DBE-821).
User receives the lenses with a non-conforming level of DBE-821.
User unknowingly inserts a lens into their eye that has the a non-conforming level of DBE-821 and experiences discomfort prompting removal of the lens from their eye.                                           </t>
  </si>
  <si>
    <t>Hydrated Lens Manufacturing Requirements
Raw Material Specification</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</si>
  <si>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t>
    </r>
    <r>
      <rPr>
        <sz val="10"/>
        <rFont val="Times New Roman"/>
        <family val="1"/>
      </rPr>
      <t xml:space="preserve">
</t>
    </r>
    <r>
      <rPr>
        <b/>
        <sz val="10"/>
        <color rgb="FF0000FF"/>
        <rFont val="Times New Roman"/>
        <family val="1"/>
      </rPr>
      <t>R-3313:</t>
    </r>
    <r>
      <rPr>
        <sz val="10"/>
        <rFont val="Times New Roman"/>
        <family val="1"/>
      </rPr>
      <t xml:space="preserve"> Dimethylsiloxane-ethylene Oxide Block Copolymer (eDMS)</t>
    </r>
  </si>
  <si>
    <t>C-8</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</si>
  <si>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t>
    </r>
  </si>
  <si>
    <t>C-11</t>
  </si>
  <si>
    <t>Hydrated Lens Manufacturing Requirements
Reactive Monomer Mix Formulation</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</si>
  <si>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color rgb="FF0000FF"/>
        <rFont val="Times New Roman"/>
        <family val="1"/>
      </rPr>
      <t xml:space="preserve"> </t>
    </r>
    <r>
      <rPr>
        <sz val="10"/>
        <rFont val="Times New Roman"/>
        <family val="1"/>
      </rPr>
      <t xml:space="preserve">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R-3265:</t>
    </r>
    <r>
      <rPr>
        <sz val="10"/>
        <rFont val="Times New Roman"/>
        <family val="1"/>
      </rPr>
      <t xml:space="preserve"> 3-7-Dimethyl-3-Octanol (D3O) (eDMS)</t>
    </r>
    <r>
      <rPr>
        <b/>
        <sz val="10"/>
        <color rgb="FF0000FF"/>
        <rFont val="Times New Roman"/>
        <family val="1"/>
      </rPr>
      <t xml:space="preserve">
R-3434:</t>
    </r>
    <r>
      <rPr>
        <b/>
        <sz val="10"/>
        <color rgb="FFFF0000"/>
        <rFont val="Times New Roman"/>
        <family val="1"/>
      </rPr>
      <t xml:space="preserve"> </t>
    </r>
    <r>
      <rPr>
        <sz val="10"/>
        <rFont val="Times New Roman"/>
        <family val="1"/>
      </rPr>
      <t>Senofilcon A (C3) with RTY-1 Reactive Monomer Mix (eDMS)</t>
    </r>
  </si>
  <si>
    <t>C-17</t>
  </si>
  <si>
    <t xml:space="preserve"> ≤ 3</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</si>
  <si>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t>
    </r>
    <r>
      <rPr>
        <sz val="10"/>
        <rFont val="Times New Roman"/>
        <family val="1"/>
      </rPr>
      <t xml:space="preserve">
</t>
    </r>
    <r>
      <rPr>
        <b/>
        <sz val="10"/>
        <color rgb="FF0000FF"/>
        <rFont val="Times New Roman"/>
        <family val="1"/>
      </rPr>
      <t xml:space="preserve">R-3274: </t>
    </r>
    <r>
      <rPr>
        <sz val="10"/>
        <rFont val="Times New Roman"/>
        <family val="1"/>
      </rPr>
      <t>Isopropyl Alcohol (70%) (eDMS)</t>
    </r>
  </si>
  <si>
    <t>Contact Lens Material</t>
  </si>
  <si>
    <t>C-18</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</si>
  <si>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 xml:space="preserve">R-1002: </t>
    </r>
    <r>
      <rPr>
        <sz val="10"/>
        <rFont val="Times New Roman"/>
        <family val="1"/>
      </rPr>
      <t xml:space="preserve">Hydroxyethyl Methacrylate (HEMA) (eDMS)
</t>
    </r>
    <r>
      <rPr>
        <b/>
        <sz val="10"/>
        <color rgb="FF0000FF"/>
        <rFont val="Times New Roman"/>
        <family val="1"/>
      </rPr>
      <t>R-3434:</t>
    </r>
    <r>
      <rPr>
        <sz val="10"/>
        <rFont val="Times New Roman"/>
        <family val="1"/>
      </rPr>
      <t xml:space="preserve"> Senofilcon A (C3) with RTY-1 Reactive Monomer Mix (eDMS)</t>
    </r>
  </si>
  <si>
    <t>C-22</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</si>
  <si>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R-3192:</t>
    </r>
    <r>
      <rPr>
        <sz val="10"/>
        <rFont val="Times New Roman"/>
        <family val="1"/>
      </rPr>
      <t xml:space="preserve"> Tetraethylene Glycol Dimethacrylate (TEGDMA) (eDMS)
</t>
    </r>
    <r>
      <rPr>
        <b/>
        <sz val="10"/>
        <color rgb="FF0000FF"/>
        <rFont val="Times New Roman"/>
        <family val="1"/>
      </rPr>
      <t>R-3434:</t>
    </r>
    <r>
      <rPr>
        <sz val="10"/>
        <rFont val="Times New Roman"/>
        <family val="1"/>
      </rPr>
      <t xml:space="preserve"> Senofilcon A (C3) with RTY-1 Reactive Monomer Mix (eDMS)</t>
    </r>
  </si>
  <si>
    <t>Packing Solution Material</t>
  </si>
  <si>
    <t>C-23</t>
  </si>
  <si>
    <r>
      <rPr>
        <b/>
        <sz val="10"/>
        <color theme="1"/>
        <rFont val="Times New Roman"/>
        <family val="1"/>
      </rPr>
      <t>Raw Material Specification - Packing Solution:</t>
    </r>
    <r>
      <rPr>
        <sz val="10"/>
        <color theme="1"/>
        <rFont val="Times New Roman"/>
        <family val="1"/>
      </rPr>
      <t xml:space="preserve">
</t>
    </r>
    <r>
      <rPr>
        <b/>
        <sz val="10"/>
        <color rgb="FF0000FF"/>
        <rFont val="Times New Roman"/>
        <family val="1"/>
      </rPr>
      <t xml:space="preserve">R-3356: </t>
    </r>
    <r>
      <rPr>
        <sz val="10"/>
        <rFont val="Times New Roman"/>
        <family val="1"/>
      </rPr>
      <t>Methyl Ether Cellulose Solution Made With Optimized Borate Buffered (OBB) Packing Solution (eDMS)</t>
    </r>
    <r>
      <rPr>
        <b/>
        <sz val="10"/>
        <color rgb="FF0000FF"/>
        <rFont val="Times New Roman"/>
        <family val="1"/>
      </rPr>
      <t xml:space="preserve">
R-1012: </t>
    </r>
    <r>
      <rPr>
        <sz val="10"/>
        <rFont val="Times New Roman"/>
        <family val="1"/>
      </rPr>
      <t>Sodium (Di) Ethylenediamine Tetraacetate - Certified</t>
    </r>
    <r>
      <rPr>
        <sz val="10"/>
        <color rgb="FFFF0000"/>
        <rFont val="Times New Roman"/>
        <family val="1"/>
      </rPr>
      <t xml:space="preserve"> </t>
    </r>
    <r>
      <rPr>
        <sz val="10"/>
        <rFont val="Times New Roman"/>
        <family val="1"/>
      </rPr>
      <t>ACS Grade (eDMS)</t>
    </r>
  </si>
  <si>
    <t>C-28</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</si>
  <si>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R-3285:</t>
    </r>
    <r>
      <rPr>
        <sz val="10"/>
        <rFont val="Times New Roman"/>
        <family val="1"/>
      </rPr>
      <t xml:space="preserve"> Omnirad</t>
    </r>
    <r>
      <rPr>
        <sz val="10"/>
        <color rgb="FFFF0000"/>
        <rFont val="Times New Roman"/>
        <family val="1"/>
      </rPr>
      <t xml:space="preserve"> </t>
    </r>
    <r>
      <rPr>
        <sz val="10"/>
        <rFont val="Times New Roman"/>
        <family val="1"/>
      </rPr>
      <t xml:space="preserve">1870 (Formerly known as Irgacure 1870) (eDMS)
</t>
    </r>
    <r>
      <rPr>
        <b/>
        <sz val="10"/>
        <color rgb="FF0000FF"/>
        <rFont val="Times New Roman"/>
        <family val="1"/>
      </rPr>
      <t>R-3434:</t>
    </r>
    <r>
      <rPr>
        <sz val="10"/>
        <rFont val="Times New Roman"/>
        <family val="1"/>
      </rPr>
      <t xml:space="preserve"> Senofilcon A (C3) with RTY-1 Reactive Monomer Mix (eDMS)</t>
    </r>
  </si>
  <si>
    <t>C-29</t>
  </si>
  <si>
    <t>Packing Solution Formulation</t>
  </si>
  <si>
    <r>
      <rPr>
        <b/>
        <sz val="10"/>
        <color theme="1"/>
        <rFont val="Times New Roman"/>
        <family val="1"/>
      </rPr>
      <t>Raw Material Specification - Packing Solution:</t>
    </r>
    <r>
      <rPr>
        <sz val="10"/>
        <color theme="1"/>
        <rFont val="Times New Roman"/>
        <family val="1"/>
      </rPr>
      <t xml:space="preserve">
</t>
    </r>
    <r>
      <rPr>
        <b/>
        <sz val="10"/>
        <color rgb="FF0000FF"/>
        <rFont val="Times New Roman"/>
        <family val="1"/>
      </rPr>
      <t>R-2020:</t>
    </r>
    <r>
      <rPr>
        <sz val="10"/>
        <color theme="1"/>
        <rFont val="Times New Roman"/>
        <family val="1"/>
      </rPr>
      <t xml:space="preserve"> Boric Acid - (Certified ACS Grade) (eDMS)
</t>
    </r>
    <r>
      <rPr>
        <b/>
        <sz val="10"/>
        <color rgb="FF0000FF"/>
        <rFont val="Times New Roman"/>
        <family val="1"/>
      </rPr>
      <t>R-3356:</t>
    </r>
    <r>
      <rPr>
        <sz val="10"/>
        <color theme="1"/>
        <rFont val="Times New Roman"/>
        <family val="1"/>
      </rPr>
      <t xml:space="preserve"> Methyl Ether Cellulose Solution Made With Optimized Borate Buffered (OBB) Packing Solution (eDMS)</t>
    </r>
  </si>
  <si>
    <t>C-30</t>
  </si>
  <si>
    <r>
      <rPr>
        <b/>
        <sz val="10"/>
        <color theme="1"/>
        <rFont val="Times New Roman"/>
        <family val="1"/>
      </rPr>
      <t>Raw Material Specification - Packing Solution:</t>
    </r>
    <r>
      <rPr>
        <sz val="10"/>
        <color theme="1"/>
        <rFont val="Times New Roman"/>
        <family val="1"/>
      </rPr>
      <t xml:space="preserve">
</t>
    </r>
    <r>
      <rPr>
        <b/>
        <sz val="10"/>
        <color rgb="FF0000FF"/>
        <rFont val="Times New Roman"/>
        <family val="1"/>
      </rPr>
      <t>R-2023:</t>
    </r>
    <r>
      <rPr>
        <sz val="10"/>
        <color theme="1"/>
        <rFont val="Times New Roman"/>
        <family val="1"/>
      </rPr>
      <t xml:space="preserve"> Sodium Chloride - (Certified ACS Grade) (eDMS)
</t>
    </r>
    <r>
      <rPr>
        <b/>
        <sz val="10"/>
        <color rgb="FF0000FF"/>
        <rFont val="Times New Roman"/>
        <family val="1"/>
      </rPr>
      <t>R-3356:</t>
    </r>
    <r>
      <rPr>
        <sz val="10"/>
        <color theme="1"/>
        <rFont val="Times New Roman"/>
        <family val="1"/>
      </rPr>
      <t xml:space="preserve"> Methyl Ether Cellulose Solution Made With Optimized Borate Buffered (OBB) Packing Solution (eDMS)</t>
    </r>
  </si>
  <si>
    <t>C-32</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</si>
  <si>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R-3190:</t>
    </r>
    <r>
      <rPr>
        <sz val="10"/>
        <rFont val="Times New Roman"/>
        <family val="1"/>
      </rPr>
      <t xml:space="preserve"> Norbloc 7966 (eDMS)
</t>
    </r>
    <r>
      <rPr>
        <b/>
        <sz val="10"/>
        <color rgb="FF0000FF"/>
        <rFont val="Times New Roman"/>
        <family val="1"/>
      </rPr>
      <t>R-3434:</t>
    </r>
    <r>
      <rPr>
        <sz val="10"/>
        <rFont val="Times New Roman"/>
        <family val="1"/>
      </rPr>
      <t xml:space="preserve"> Senofilcon A (C3) with RTY-1 Reactive Monomer Mix (eDMS)</t>
    </r>
  </si>
  <si>
    <t>C-33</t>
  </si>
  <si>
    <r>
      <rPr>
        <b/>
        <sz val="10"/>
        <rFont val="Times New Roman"/>
        <family val="1"/>
      </rPr>
      <t>Product Characteristic Procedure:</t>
    </r>
    <r>
      <rPr>
        <sz val="10"/>
        <rFont val="Times New Roman"/>
        <family val="1"/>
      </rPr>
      <t xml:space="preserve">
</t>
    </r>
    <r>
      <rPr>
        <b/>
        <sz val="10"/>
        <color rgb="FF0000FF"/>
        <rFont val="Times New Roman"/>
        <family val="1"/>
      </rPr>
      <t xml:space="preserve">PC-0013: </t>
    </r>
    <r>
      <rPr>
        <b/>
        <sz val="10"/>
        <rFont val="Times New Roman"/>
        <family val="1"/>
      </rPr>
      <t>s</t>
    </r>
    <r>
      <rPr>
        <sz val="10"/>
        <rFont val="Times New Roman"/>
        <family val="1"/>
      </rPr>
      <t xml:space="preserve">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R-3251:</t>
    </r>
    <r>
      <rPr>
        <sz val="10"/>
        <rFont val="Times New Roman"/>
        <family val="1"/>
      </rPr>
      <t xml:space="preserve"> Bis(trimethylsiloxy)methylsilylpropylglycerol methacrylate (SiMAA2) (eDMS)
</t>
    </r>
    <r>
      <rPr>
        <b/>
        <sz val="10"/>
        <color rgb="FF0000FF"/>
        <rFont val="Times New Roman"/>
        <family val="1"/>
      </rPr>
      <t>R-3434:</t>
    </r>
    <r>
      <rPr>
        <sz val="10"/>
        <rFont val="Times New Roman"/>
        <family val="1"/>
      </rPr>
      <t xml:space="preserve"> Senofilcon A (C3) with RTY-1 Reactive Monomer Mix (eDMS)</t>
    </r>
  </si>
  <si>
    <t>C-34</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</si>
  <si>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R-3258:</t>
    </r>
    <r>
      <rPr>
        <sz val="10"/>
        <rFont val="Times New Roman"/>
        <family val="1"/>
      </rPr>
      <t xml:space="preserve"> monoMethacryloxypropyl Terminated Polydimethylsiloxane (eDMS)
</t>
    </r>
    <r>
      <rPr>
        <b/>
        <sz val="10"/>
        <color rgb="FF0000FF"/>
        <rFont val="Times New Roman"/>
        <family val="1"/>
      </rPr>
      <t>R-3434:</t>
    </r>
    <r>
      <rPr>
        <sz val="10"/>
        <rFont val="Times New Roman"/>
        <family val="1"/>
      </rPr>
      <t xml:space="preserve"> Senofilcon A (C3) with RTY-1 Reactive Monomer Mix (eDMS)</t>
    </r>
  </si>
  <si>
    <t>C-36</t>
  </si>
  <si>
    <r>
      <rPr>
        <b/>
        <sz val="10"/>
        <color theme="1"/>
        <rFont val="Times New Roman"/>
        <family val="1"/>
      </rPr>
      <t>Raw Material Specification - Packing Solution:</t>
    </r>
    <r>
      <rPr>
        <sz val="10"/>
        <color theme="1"/>
        <rFont val="Times New Roman"/>
        <family val="1"/>
      </rPr>
      <t xml:space="preserve">
</t>
    </r>
    <r>
      <rPr>
        <b/>
        <sz val="10"/>
        <color rgb="FF0000FF"/>
        <rFont val="Times New Roman"/>
        <family val="1"/>
      </rPr>
      <t>R-3253:</t>
    </r>
    <r>
      <rPr>
        <sz val="10"/>
        <color theme="1"/>
        <rFont val="Times New Roman"/>
        <family val="1"/>
      </rPr>
      <t xml:space="preserve"> Methyl Ether Cellulose USP Grade (eDMS)
</t>
    </r>
    <r>
      <rPr>
        <b/>
        <sz val="10"/>
        <color rgb="FF0000FF"/>
        <rFont val="Times New Roman"/>
        <family val="1"/>
      </rPr>
      <t>R-3356:</t>
    </r>
    <r>
      <rPr>
        <sz val="10"/>
        <color theme="1"/>
        <rFont val="Times New Roman"/>
        <family val="1"/>
      </rPr>
      <t xml:space="preserve"> Methyl Ether Cellulose Solution Made With Optimized Borate Buffered (OBB) Packing Solution (eDMS)</t>
    </r>
  </si>
  <si>
    <t>C-37</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</si>
  <si>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 xml:space="preserve">R-3256: </t>
    </r>
    <r>
      <rPr>
        <sz val="10"/>
        <rFont val="Times New Roman"/>
        <family val="1"/>
      </rPr>
      <t xml:space="preserve">Polyvinylpyrrolidone K-90 (eDMS)
</t>
    </r>
    <r>
      <rPr>
        <b/>
        <sz val="10"/>
        <color rgb="FF0000FF"/>
        <rFont val="Times New Roman"/>
        <family val="1"/>
      </rPr>
      <t>R-3434:</t>
    </r>
    <r>
      <rPr>
        <sz val="10"/>
        <rFont val="Times New Roman"/>
        <family val="1"/>
      </rPr>
      <t xml:space="preserve"> Senofilcon A (C3) with RTY-1 Reactive Monomer Mix (eDMS)</t>
    </r>
  </si>
  <si>
    <t>C-38</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</si>
  <si>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R-3257:</t>
    </r>
    <r>
      <rPr>
        <sz val="10"/>
        <rFont val="Times New Roman"/>
        <family val="1"/>
      </rPr>
      <t xml:space="preserve"> N,N-Dimethylacrylamide (DMA) (eDMS)
</t>
    </r>
    <r>
      <rPr>
        <b/>
        <sz val="10"/>
        <color rgb="FF0000FF"/>
        <rFont val="Times New Roman"/>
        <family val="1"/>
      </rPr>
      <t xml:space="preserve">R-3434: </t>
    </r>
    <r>
      <rPr>
        <sz val="10"/>
        <rFont val="Times New Roman"/>
        <family val="1"/>
      </rPr>
      <t>Senofilcon A (C3) with RTY-1 Reactive Monomer Mix (eDMS)</t>
    </r>
  </si>
  <si>
    <t>C-39</t>
  </si>
  <si>
    <r>
      <rPr>
        <b/>
        <sz val="10"/>
        <color theme="1"/>
        <rFont val="Times New Roman"/>
        <family val="1"/>
      </rPr>
      <t>Raw Material Specification - Packing Solution:</t>
    </r>
    <r>
      <rPr>
        <sz val="10"/>
        <color theme="1"/>
        <rFont val="Times New Roman"/>
        <family val="1"/>
      </rPr>
      <t xml:space="preserve">
</t>
    </r>
    <r>
      <rPr>
        <b/>
        <sz val="10"/>
        <color rgb="FF0000FF"/>
        <rFont val="Times New Roman"/>
        <family val="1"/>
      </rPr>
      <t xml:space="preserve">R-1009: </t>
    </r>
    <r>
      <rPr>
        <sz val="10"/>
        <color theme="1"/>
        <rFont val="Times New Roman"/>
        <family val="1"/>
      </rPr>
      <t xml:space="preserve">Sodium Borate Decahydrate - ACS Grade (eDMS)
</t>
    </r>
    <r>
      <rPr>
        <b/>
        <sz val="10"/>
        <color rgb="FF0000FF"/>
        <rFont val="Times New Roman"/>
        <family val="1"/>
      </rPr>
      <t>R-3356:</t>
    </r>
    <r>
      <rPr>
        <sz val="10"/>
        <color theme="1"/>
        <rFont val="Times New Roman"/>
        <family val="1"/>
      </rPr>
      <t xml:space="preserve"> Methyl Ether Cellulose Solution Made With Optimized Borate Buffered (OBB) Packing Solution (eDMS)</t>
    </r>
  </si>
  <si>
    <t xml:space="preserve">Hydrated Lens Manufacturing Requirements
Packing Solution Formulation
</t>
  </si>
  <si>
    <r>
      <rPr>
        <b/>
        <sz val="10"/>
        <color theme="1"/>
        <rFont val="Times New Roman"/>
        <family val="1"/>
      </rPr>
      <t>Product Characteristic Procedure:</t>
    </r>
    <r>
      <rPr>
        <sz val="10"/>
        <color theme="1"/>
        <rFont val="Times New Roman"/>
        <family val="1"/>
      </rPr>
      <t xml:space="preserve">
</t>
    </r>
    <r>
      <rPr>
        <b/>
        <sz val="10"/>
        <color rgb="FF0000FF"/>
        <rFont val="Times New Roman"/>
        <family val="1"/>
      </rPr>
      <t>PC-0013:</t>
    </r>
    <r>
      <rPr>
        <sz val="10"/>
        <color theme="1"/>
        <rFont val="Times New Roman"/>
        <family val="1"/>
      </rPr>
      <t xml:space="preserve"> senofilcon A (C3) with RTY-1 Contact Lens Manufacturing Requirements (eDMS)
</t>
    </r>
    <r>
      <rPr>
        <b/>
        <sz val="10"/>
        <color theme="1"/>
        <rFont val="Times New Roman"/>
        <family val="1"/>
      </rPr>
      <t>Raw Material Specification - Packing Solution:</t>
    </r>
    <r>
      <rPr>
        <sz val="10"/>
        <color theme="1"/>
        <rFont val="Times New Roman"/>
        <family val="1"/>
      </rPr>
      <t xml:space="preserve">
</t>
    </r>
    <r>
      <rPr>
        <b/>
        <sz val="10"/>
        <color rgb="FF0000FF"/>
        <rFont val="Times New Roman"/>
        <family val="1"/>
      </rPr>
      <t>R-3356:</t>
    </r>
    <r>
      <rPr>
        <sz val="10"/>
        <color theme="1"/>
        <rFont val="Times New Roman"/>
        <family val="1"/>
      </rPr>
      <t xml:space="preserve"> Methyl Ether Cellulose Solution Made With Optimized Borate Buffered (OBB) Packing Solution (eDMS)</t>
    </r>
  </si>
  <si>
    <t>C-65</t>
  </si>
  <si>
    <t>Reactive Monomer Mix Formulation</t>
  </si>
  <si>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R-3434:</t>
    </r>
    <r>
      <rPr>
        <sz val="10"/>
        <rFont val="Times New Roman"/>
        <family val="1"/>
      </rPr>
      <t xml:space="preserve"> Senofilcon A (C3) with RTY-1 Reactive Monomer Mix (eDMS)
</t>
    </r>
    <r>
      <rPr>
        <b/>
        <sz val="10"/>
        <color rgb="FF0000FF"/>
        <rFont val="Times New Roman"/>
        <family val="1"/>
      </rPr>
      <t>R-3251:</t>
    </r>
    <r>
      <rPr>
        <sz val="10"/>
        <rFont val="Times New Roman"/>
        <family val="1"/>
      </rPr>
      <t xml:space="preserve"> Bis(Trimethylsiloxy) Methylsilylpropylglycerol Methacrylate (SiMAA2) (eDMS)
</t>
    </r>
    <r>
      <rPr>
        <b/>
        <sz val="10"/>
        <color rgb="FF0000FF"/>
        <rFont val="Times New Roman"/>
        <family val="1"/>
      </rPr>
      <t>R-3258:</t>
    </r>
    <r>
      <rPr>
        <sz val="10"/>
        <rFont val="Times New Roman"/>
        <family val="1"/>
      </rPr>
      <t xml:space="preserve"> monoMethacryloxypropyl terminated polydimethylsiloxane (mPDMS) (eDMS)</t>
    </r>
  </si>
  <si>
    <t>C-67</t>
  </si>
  <si>
    <r>
      <rPr>
        <b/>
        <sz val="10"/>
        <rFont val="Times New Roman"/>
        <family val="1"/>
      </rPr>
      <t>Product Characteristic Procedure:</t>
    </r>
    <r>
      <rPr>
        <sz val="10"/>
        <rFont val="Times New Roman"/>
        <family val="1"/>
      </rPr>
      <t xml:space="preserve">
</t>
    </r>
    <r>
      <rPr>
        <b/>
        <sz val="10"/>
        <color rgb="FF0000FF"/>
        <rFont val="Times New Roman"/>
        <family val="1"/>
      </rPr>
      <t>PC-0013:</t>
    </r>
    <r>
      <rPr>
        <sz val="10"/>
        <rFont val="Times New Roman"/>
        <family val="1"/>
      </rPr>
      <t xml:space="preserve"> senofilcon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R-3458:</t>
    </r>
    <r>
      <rPr>
        <sz val="10"/>
        <rFont val="Times New Roman"/>
        <family val="1"/>
      </rPr>
      <t xml:space="preserve"> RTY-1 (2-(2-cyano-2-(9H-thioxanthen-9-yildene)acetamido)ethyl methacrylate) (eDMS)
</t>
    </r>
    <r>
      <rPr>
        <b/>
        <sz val="10"/>
        <color rgb="FF0000FF"/>
        <rFont val="Times New Roman"/>
        <family val="1"/>
      </rPr>
      <t>R-3434:</t>
    </r>
    <r>
      <rPr>
        <sz val="10"/>
        <rFont val="Times New Roman"/>
        <family val="1"/>
      </rPr>
      <t xml:space="preserve"> Senofilcon A (C3) with RTY-1 Reactive Monomer Mix (eDMS)</t>
    </r>
  </si>
  <si>
    <t>C-68</t>
  </si>
  <si>
    <r>
      <rPr>
        <b/>
        <sz val="10"/>
        <rFont val="Times New Roman"/>
        <family val="1"/>
      </rPr>
      <t>Product Characteristic Procedure:</t>
    </r>
    <r>
      <rPr>
        <sz val="10"/>
        <rFont val="Times New Roman"/>
        <family val="1"/>
      </rPr>
      <t xml:space="preserve">
</t>
    </r>
    <r>
      <rPr>
        <b/>
        <sz val="10"/>
        <color rgb="FF0000FF"/>
        <rFont val="Times New Roman"/>
        <family val="1"/>
      </rPr>
      <t xml:space="preserve">PC-0013: </t>
    </r>
    <r>
      <rPr>
        <b/>
        <sz val="10"/>
        <rFont val="Times New Roman"/>
        <family val="1"/>
      </rPr>
      <t>s</t>
    </r>
    <r>
      <rPr>
        <sz val="10"/>
        <rFont val="Times New Roman"/>
        <family val="1"/>
      </rPr>
      <t xml:space="preserve">enofilcon A (C3) with RTY-1 Contact Lens Manufacturing Requirements (eDMS)
</t>
    </r>
    <r>
      <rPr>
        <b/>
        <sz val="10"/>
        <rFont val="Times New Roman"/>
        <family val="1"/>
      </rPr>
      <t xml:space="preserve">Raw Material Specification - Reactive Monomer Mix: </t>
    </r>
    <r>
      <rPr>
        <sz val="10"/>
        <rFont val="Times New Roman"/>
        <family val="1"/>
      </rPr>
      <t xml:space="preserve">
</t>
    </r>
    <r>
      <rPr>
        <b/>
        <sz val="10"/>
        <color rgb="FF0000FF"/>
        <rFont val="Times New Roman"/>
        <family val="1"/>
      </rPr>
      <t xml:space="preserve">R-3459: </t>
    </r>
    <r>
      <rPr>
        <sz val="10"/>
        <rFont val="Times New Roman"/>
        <family val="1"/>
      </rPr>
      <t xml:space="preserve">RB247 (eDMS)
</t>
    </r>
    <r>
      <rPr>
        <b/>
        <sz val="10"/>
        <color rgb="FF0000FF"/>
        <rFont val="Times New Roman"/>
        <family val="1"/>
      </rPr>
      <t>R-3434:</t>
    </r>
    <r>
      <rPr>
        <sz val="10"/>
        <rFont val="Times New Roman"/>
        <family val="1"/>
      </rPr>
      <t xml:space="preserve"> Senofilcon A (C3) with RTY-1 Reactive Monomer Mix (eDMS)</t>
    </r>
  </si>
  <si>
    <t>Contact Lens Material/
Primary Package Materials/
Packing Solution Material</t>
  </si>
  <si>
    <t>Environmental</t>
  </si>
  <si>
    <t>Program Project Stewardship</t>
  </si>
  <si>
    <r>
      <rPr>
        <b/>
        <sz val="10"/>
        <color theme="1"/>
        <rFont val="Times New Roman"/>
        <family val="1"/>
      </rPr>
      <t>Project Stewardship: 
VIS-TD-106900:</t>
    </r>
    <r>
      <rPr>
        <sz val="10"/>
        <color theme="1"/>
        <rFont val="Times New Roman"/>
        <family val="1"/>
      </rPr>
      <t xml:space="preserve"> Environmental Product Compliance &amp; Sustainability Annual Analysis of the Global Waste Classification of CL Products (PLM)</t>
    </r>
  </si>
  <si>
    <t>E-3</t>
  </si>
  <si>
    <t>Storage and Shipping Temperature Range Assessment</t>
  </si>
  <si>
    <r>
      <rPr>
        <b/>
        <sz val="10"/>
        <color rgb="FF0000FF"/>
        <rFont val="Times New Roman"/>
        <family val="1"/>
      </rPr>
      <t xml:space="preserve">VWI-0101: </t>
    </r>
    <r>
      <rPr>
        <sz val="10"/>
        <rFont val="Times New Roman"/>
        <family val="1"/>
      </rPr>
      <t>Summary of JJVC Storage, Handling, and Distribution Requirements (eDMS)</t>
    </r>
    <r>
      <rPr>
        <b/>
        <sz val="10"/>
        <color rgb="FFFF0000"/>
        <rFont val="Times New Roman"/>
        <family val="1"/>
      </rPr>
      <t xml:space="preserve"> </t>
    </r>
    <r>
      <rPr>
        <b/>
        <sz val="10"/>
        <rFont val="Times New Roman"/>
        <family val="1"/>
      </rPr>
      <t xml:space="preserve">
Stability Report:</t>
    </r>
    <r>
      <rPr>
        <sz val="10"/>
        <rFont val="Times New Roman"/>
        <family val="1"/>
      </rPr>
      <t xml:space="preserve">
</t>
    </r>
    <r>
      <rPr>
        <b/>
        <sz val="10"/>
        <rFont val="Times New Roman"/>
        <family val="1"/>
      </rPr>
      <t xml:space="preserve">VIS-STBRPT-005215: </t>
    </r>
    <r>
      <rPr>
        <sz val="10"/>
        <rFont val="Times New Roman"/>
        <family val="1"/>
      </rPr>
      <t xml:space="preserve">Storage and Shipping Condition Evaluation for JJVC Contact Lens Products (PLM)
</t>
    </r>
    <r>
      <rPr>
        <b/>
        <sz val="10"/>
        <rFont val="Times New Roman"/>
        <family val="1"/>
      </rPr>
      <t xml:space="preserve">VIS-STBRPT-005421: </t>
    </r>
    <r>
      <rPr>
        <sz val="10"/>
        <rFont val="Times New Roman"/>
        <family val="1"/>
      </rPr>
      <t>Environmental Study Report for Aurora/Triumph (senofilcon A-C3 with RTY-1 family products) Contact Lens Product (PLM)</t>
    </r>
  </si>
  <si>
    <t>Contact Lens Design</t>
  </si>
  <si>
    <t>Physical</t>
  </si>
  <si>
    <t>P-1</t>
  </si>
  <si>
    <t>General / Finished product parameter requirements</t>
  </si>
  <si>
    <r>
      <rPr>
        <b/>
        <sz val="10"/>
        <color theme="1"/>
        <rFont val="Times New Roman"/>
        <family val="1"/>
      </rPr>
      <t>Product Specifications:</t>
    </r>
    <r>
      <rPr>
        <sz val="10"/>
        <color theme="1"/>
        <rFont val="Times New Roman"/>
        <family val="1"/>
      </rPr>
      <t xml:space="preserve">
</t>
    </r>
    <r>
      <rPr>
        <b/>
        <sz val="10"/>
        <color rgb="FF0000FF"/>
        <rFont val="Times New Roman"/>
        <family val="1"/>
      </rPr>
      <t xml:space="preserve">PR-2055: </t>
    </r>
    <r>
      <rPr>
        <sz val="10"/>
        <rFont val="Times New Roman"/>
        <family val="1"/>
      </rPr>
      <t>ACUVUE® OASYS MAX 1-Day for ASTIGMATISM Contact Lenses (senofilcon A (C3) with RTY-1) Product Requirements (</t>
    </r>
    <r>
      <rPr>
        <sz val="10"/>
        <color theme="1"/>
        <rFont val="Times New Roman"/>
        <family val="1"/>
      </rPr>
      <t>eDMS)</t>
    </r>
  </si>
  <si>
    <t>P-3</t>
  </si>
  <si>
    <t>P-5</t>
  </si>
  <si>
    <t>P-24</t>
  </si>
  <si>
    <t>M</t>
  </si>
  <si>
    <t>Hydrated Lens Manufacturing Requirements</t>
  </si>
  <si>
    <t>P-25</t>
  </si>
  <si>
    <t>P-26</t>
  </si>
  <si>
    <t>P-28</t>
  </si>
  <si>
    <t>Design Documentation</t>
  </si>
  <si>
    <r>
      <rPr>
        <b/>
        <sz val="10"/>
        <rFont val="Times New Roman"/>
        <family val="1"/>
      </rPr>
      <t>Tooling Requirements Work Aid:</t>
    </r>
    <r>
      <rPr>
        <sz val="10"/>
        <rFont val="Times New Roman"/>
        <family val="1"/>
      </rPr>
      <t xml:space="preserve">
</t>
    </r>
    <r>
      <rPr>
        <b/>
        <sz val="10"/>
        <color rgb="FF0000FF"/>
        <rFont val="Times New Roman"/>
        <family val="1"/>
      </rPr>
      <t>VWA-1607:</t>
    </r>
    <r>
      <rPr>
        <sz val="10"/>
        <color rgb="FF0000FF"/>
        <rFont val="Times New Roman"/>
        <family val="1"/>
      </rPr>
      <t xml:space="preserve"> </t>
    </r>
    <r>
      <rPr>
        <sz val="10"/>
        <rFont val="Times New Roman"/>
        <family val="1"/>
      </rPr>
      <t xml:space="preserve">FMP and 3GT ACUVUE OASYS MAX 1-Day for Astigmatism Front Back Plastic Targets </t>
    </r>
    <r>
      <rPr>
        <sz val="10"/>
        <color theme="1"/>
        <rFont val="Times New Roman"/>
        <family val="1"/>
      </rPr>
      <t>(eDMS)</t>
    </r>
  </si>
  <si>
    <t>P-29</t>
  </si>
  <si>
    <t>Astigmatism contact lenses are shipped to a user with an incorrect thickness differential.                                                                                                                                                                             The user receives and inserts the lens with a thickness differential that is too thin and may experience poor lens stability that may impact their visual acuity prompting removal of the lens.
The user receives and inserts the lens into their eye with a thickness differential that is too thick which may impact handling or reduce user comfort prompting removal of the lens from their eye.</t>
  </si>
  <si>
    <t>Design documentation</t>
  </si>
  <si>
    <r>
      <rPr>
        <b/>
        <sz val="10"/>
        <rFont val="Times New Roman"/>
        <family val="1"/>
      </rPr>
      <t>Tooling Requirements Work Aid:</t>
    </r>
    <r>
      <rPr>
        <sz val="10"/>
        <rFont val="Times New Roman"/>
        <family val="1"/>
      </rPr>
      <t xml:space="preserve">
</t>
    </r>
    <r>
      <rPr>
        <b/>
        <sz val="10"/>
        <color rgb="FF0000FF"/>
        <rFont val="Times New Roman"/>
        <family val="1"/>
      </rPr>
      <t>VWA-1607:</t>
    </r>
    <r>
      <rPr>
        <sz val="10"/>
        <color rgb="FFFF0000"/>
        <rFont val="Times New Roman"/>
        <family val="1"/>
      </rPr>
      <t xml:space="preserve"> </t>
    </r>
    <r>
      <rPr>
        <sz val="10"/>
        <rFont val="Times New Roman"/>
        <family val="1"/>
      </rPr>
      <t>FMP and 3GT ACUVUE OASYS MAX 1-Day for Astigmatism Front Back Plastic Targets (eD</t>
    </r>
    <r>
      <rPr>
        <sz val="10"/>
        <color theme="1"/>
        <rFont val="Times New Roman"/>
        <family val="1"/>
      </rPr>
      <t>MS)</t>
    </r>
  </si>
  <si>
    <t>P-33</t>
  </si>
  <si>
    <r>
      <rPr>
        <b/>
        <sz val="10"/>
        <color theme="1"/>
        <rFont val="Times New Roman"/>
        <family val="1"/>
      </rPr>
      <t xml:space="preserve">Raw Material Specification - Reactive Monomer Mix: </t>
    </r>
    <r>
      <rPr>
        <sz val="10"/>
        <color theme="1"/>
        <rFont val="Times New Roman"/>
        <family val="1"/>
      </rPr>
      <t xml:space="preserve">
</t>
    </r>
    <r>
      <rPr>
        <b/>
        <sz val="10"/>
        <color rgb="FF0000FF"/>
        <rFont val="Times New Roman"/>
        <family val="1"/>
      </rPr>
      <t>R-3434:</t>
    </r>
    <r>
      <rPr>
        <sz val="10"/>
        <color theme="1"/>
        <rFont val="Times New Roman"/>
        <family val="1"/>
      </rPr>
      <t xml:space="preserve"> Senofilcon A (C3) with RTY-1 Reactive Monomer Mix (eDMS)
</t>
    </r>
    <r>
      <rPr>
        <b/>
        <sz val="10"/>
        <color theme="1"/>
        <rFont val="Times New Roman"/>
        <family val="1"/>
      </rPr>
      <t>Raw Material Specification - mPDMS (monoMethacryloxypropyl terminated polydimethylsiloxane):</t>
    </r>
    <r>
      <rPr>
        <sz val="10"/>
        <color theme="1"/>
        <rFont val="Times New Roman"/>
        <family val="1"/>
      </rPr>
      <t xml:space="preserve">
</t>
    </r>
    <r>
      <rPr>
        <b/>
        <sz val="10"/>
        <color rgb="FF0000FF"/>
        <rFont val="Times New Roman"/>
        <family val="1"/>
      </rPr>
      <t>R-3258:</t>
    </r>
    <r>
      <rPr>
        <sz val="10"/>
        <color theme="1"/>
        <rFont val="Times New Roman"/>
        <family val="1"/>
      </rPr>
      <t xml:space="preserve"> monoMethacryloxypropyl Terminated Polydimethylsiloxane (mPDMS) (eDMS)</t>
    </r>
  </si>
  <si>
    <t>P-37</t>
  </si>
  <si>
    <t>User receives lenses and upon opening the package finds the lens is stuck to the primary package blister.
User removes the lens from the blister and inserts the lens into their eye.
The user experiences visual acuity issues or discomfort prompting the user to remove the lens from their eye.</t>
  </si>
  <si>
    <t>Packing Solution Formulation
Blister Raw Material Requirements</t>
  </si>
  <si>
    <r>
      <rPr>
        <b/>
        <sz val="10"/>
        <rFont val="Times New Roman"/>
        <family val="1"/>
      </rPr>
      <t>Raw Material Specification - Packing Solution:</t>
    </r>
    <r>
      <rPr>
        <sz val="10"/>
        <rFont val="Times New Roman"/>
        <family val="1"/>
      </rPr>
      <t xml:space="preserve">
</t>
    </r>
    <r>
      <rPr>
        <b/>
        <sz val="10"/>
        <color rgb="FF0000FF"/>
        <rFont val="Times New Roman"/>
        <family val="1"/>
      </rPr>
      <t xml:space="preserve">R-3356: </t>
    </r>
    <r>
      <rPr>
        <sz val="10"/>
        <rFont val="Times New Roman"/>
        <family val="1"/>
      </rPr>
      <t xml:space="preserve">Methyl Ether Cellulose Solution Made With Optimized Borate Buffered (OBB) Packing Solution (eDMS)
</t>
    </r>
    <r>
      <rPr>
        <b/>
        <sz val="10"/>
        <rFont val="Times New Roman"/>
        <family val="1"/>
      </rPr>
      <t xml:space="preserve">
Raw Material Specification - Blister:
</t>
    </r>
    <r>
      <rPr>
        <b/>
        <sz val="10"/>
        <color rgb="FF0000FF"/>
        <rFont val="Times New Roman"/>
        <family val="1"/>
      </rPr>
      <t>R-3281:</t>
    </r>
    <r>
      <rPr>
        <b/>
        <sz val="10"/>
        <rFont val="Times New Roman"/>
        <family val="1"/>
      </rPr>
      <t xml:space="preserve"> </t>
    </r>
    <r>
      <rPr>
        <sz val="10"/>
        <rFont val="Times New Roman"/>
        <family val="1"/>
      </rPr>
      <t>JJVC Injection Molded Primary Lens Package Bowl (eDMS)</t>
    </r>
  </si>
  <si>
    <t>P-48</t>
  </si>
  <si>
    <t>Tooling Requirements</t>
  </si>
  <si>
    <r>
      <rPr>
        <b/>
        <sz val="10"/>
        <rFont val="Times New Roman"/>
        <family val="1"/>
      </rPr>
      <t>Tooling Requirements Work Aid:</t>
    </r>
    <r>
      <rPr>
        <sz val="10"/>
        <rFont val="Times New Roman"/>
        <family val="1"/>
      </rPr>
      <t xml:space="preserve">
</t>
    </r>
    <r>
      <rPr>
        <b/>
        <sz val="10"/>
        <color rgb="FF0000FF"/>
        <rFont val="Times New Roman"/>
        <family val="1"/>
      </rPr>
      <t>VWA-1607:</t>
    </r>
    <r>
      <rPr>
        <sz val="10"/>
        <rFont val="Times New Roman"/>
        <family val="1"/>
      </rPr>
      <t xml:space="preserve"> FMP and 3GT ACUVUE OASYS MAX 1-Day for Astigmatism Front Back Plastic Targets (eD</t>
    </r>
    <r>
      <rPr>
        <sz val="10"/>
        <color theme="1"/>
        <rFont val="Times New Roman"/>
        <family val="1"/>
      </rPr>
      <t>MS)</t>
    </r>
  </si>
  <si>
    <t>P-64</t>
  </si>
  <si>
    <t>Labeling</t>
  </si>
  <si>
    <t>USE/MISUSE 
(Human Factor)</t>
  </si>
  <si>
    <t>Swallowing a lens or packing solution.
User or other individual may inadvertently ingest a lens or packing solution.
Ingestion will likely not result in any serious signs or symptoms.</t>
  </si>
  <si>
    <t>Information for Safety 
(Lens Handling and Insertion, Lens Wearing Precautions, Caring for Your Lenses)</t>
  </si>
  <si>
    <r>
      <rPr>
        <b/>
        <sz val="10"/>
        <color theme="1"/>
        <rFont val="Times New Roman"/>
        <family val="1"/>
      </rPr>
      <t>Product Labeling Specification:</t>
    </r>
    <r>
      <rPr>
        <sz val="10"/>
        <color theme="1"/>
        <rFont val="Times New Roman"/>
        <family val="1"/>
      </rPr>
      <t xml:space="preserve">
</t>
    </r>
    <r>
      <rPr>
        <b/>
        <sz val="10"/>
        <color rgb="FF0000FF"/>
        <rFont val="Times New Roman"/>
        <family val="1"/>
      </rPr>
      <t>L-5000:</t>
    </r>
    <r>
      <rPr>
        <sz val="10"/>
        <color theme="1"/>
        <rFont val="Times New Roman"/>
        <family val="1"/>
      </rPr>
      <t xml:space="preserve"> Copy Clearance: Packaging, Labeling and Printed Material Change Control Process (eDMS)
</t>
    </r>
    <r>
      <rPr>
        <b/>
        <sz val="10"/>
        <color theme="1"/>
        <rFont val="Times New Roman"/>
        <family val="1"/>
      </rPr>
      <t>Package Insert:
LB2022AVOM4030:</t>
    </r>
    <r>
      <rPr>
        <sz val="10"/>
        <color theme="1"/>
        <rFont val="Times New Roman"/>
        <family val="1"/>
      </rPr>
      <t xml:space="preserve"> ACUVUE® OASYS MAX 1-Day Contact Lenses, ASTIGMATISM, MULTIFOCAL (Veeva)
</t>
    </r>
    <r>
      <rPr>
        <b/>
        <sz val="10"/>
        <color theme="1"/>
        <rFont val="Times New Roman"/>
        <family val="1"/>
      </rPr>
      <t>Patient Instruction Guide:
LB2022AVOM4031:</t>
    </r>
    <r>
      <rPr>
        <sz val="10"/>
        <color theme="1"/>
        <rFont val="Times New Roman"/>
        <family val="1"/>
      </rPr>
      <t xml:space="preserve"> ACUVUE® OASYS MAX 1-Day; ASTIGMATISM; MULTIFOCAL (Veeva)
</t>
    </r>
    <r>
      <rPr>
        <b/>
        <sz val="10"/>
        <color theme="1"/>
        <rFont val="Times New Roman"/>
        <family val="1"/>
      </rPr>
      <t>LB2023MLT4008:</t>
    </r>
    <r>
      <rPr>
        <sz val="10"/>
        <color theme="1"/>
        <rFont val="Times New Roman"/>
        <family val="1"/>
      </rPr>
      <t xml:space="preserve"> ACUVUE® OASYS MAX 1-Day Contact Lenses, ASTIGMATISM, MULTIFOCAL (Veeva)</t>
    </r>
  </si>
  <si>
    <t xml:space="preserve">Information for Safety
(Lens Handling and Insertion, Lens Wearing Precautions, Caring for Your Lenses)
</t>
  </si>
  <si>
    <t>UM-18</t>
  </si>
  <si>
    <t>Information for Safety 
(Lens Wearing Precautions)</t>
  </si>
  <si>
    <t>UM-19</t>
  </si>
  <si>
    <t>UM-20</t>
  </si>
  <si>
    <t>Information for Safety 
(Wearing Restrictions and Indications, 
Warnings and Lens Wearing Precautions, Caring for Your Lenses)</t>
  </si>
  <si>
    <t>UM-22</t>
  </si>
  <si>
    <t>Information for Safety 
(Wearing Restrictions and Indications
Warnings and Lens Wearing Precautions)</t>
  </si>
  <si>
    <t>UM-23</t>
  </si>
  <si>
    <t>Information for Safety 
(Warnings and Lens Wearing Precautions)</t>
  </si>
  <si>
    <t>UM-26</t>
  </si>
  <si>
    <t>Information for Safety 
(Wearing Restrictions and Indications)</t>
  </si>
  <si>
    <t>UM-27</t>
  </si>
  <si>
    <t>UM-28</t>
  </si>
  <si>
    <t xml:space="preserve">Information for Safety 
(Lens Handling and Insertion)
</t>
  </si>
  <si>
    <t>Information for Safety 
(Precautions)</t>
  </si>
  <si>
    <t>Information for Safety 
(Caring for Your Lenses)</t>
  </si>
  <si>
    <t>UM-48</t>
  </si>
  <si>
    <t>Lidstock Raw Material Requirements
Blister Raw Material Requirements
Information for Safety 
(Lens Handling and Insertion)</t>
  </si>
  <si>
    <r>
      <rPr>
        <b/>
        <sz val="10"/>
        <color rgb="FF000000"/>
        <rFont val="Times New Roman"/>
        <family val="1"/>
      </rPr>
      <t xml:space="preserve">Raw Material Specification - Lidstock:
</t>
    </r>
    <r>
      <rPr>
        <b/>
        <sz val="10"/>
        <color rgb="FF0000FF"/>
        <rFont val="Times New Roman"/>
        <family val="1"/>
      </rPr>
      <t>R-3445</t>
    </r>
    <r>
      <rPr>
        <b/>
        <sz val="10"/>
        <rFont val="Times New Roman"/>
        <family val="1"/>
      </rPr>
      <t xml:space="preserve">: </t>
    </r>
    <r>
      <rPr>
        <sz val="10"/>
        <rFont val="Times New Roman"/>
        <family val="1"/>
      </rPr>
      <t xml:space="preserve"> Lidstock - 45 mm Preprinted Laminated Peelable (eDMS)</t>
    </r>
    <r>
      <rPr>
        <sz val="10"/>
        <color rgb="FF0000FF"/>
        <rFont val="Times New Roman"/>
        <family val="1"/>
      </rPr>
      <t xml:space="preserve">
</t>
    </r>
    <r>
      <rPr>
        <b/>
        <sz val="10"/>
        <color rgb="FF0000FF"/>
        <rFont val="Times New Roman"/>
        <family val="1"/>
      </rPr>
      <t>R-3234</t>
    </r>
    <r>
      <rPr>
        <b/>
        <sz val="10"/>
        <rFont val="Times New Roman"/>
        <family val="1"/>
      </rPr>
      <t xml:space="preserve">: </t>
    </r>
    <r>
      <rPr>
        <sz val="10"/>
        <rFont val="Times New Roman"/>
        <family val="1"/>
      </rPr>
      <t xml:space="preserve">45 mm Preprinted Laminated Foil Lidsctock (eDMS) </t>
    </r>
    <r>
      <rPr>
        <sz val="10"/>
        <color rgb="FF0000FF"/>
        <rFont val="Times New Roman"/>
        <family val="1"/>
      </rPr>
      <t xml:space="preserve">
</t>
    </r>
    <r>
      <rPr>
        <b/>
        <sz val="10"/>
        <color rgb="FF0000FF"/>
        <rFont val="Times New Roman"/>
        <family val="1"/>
      </rPr>
      <t xml:space="preserve">
R-3443</t>
    </r>
    <r>
      <rPr>
        <b/>
        <sz val="10"/>
        <rFont val="Times New Roman"/>
        <family val="1"/>
      </rPr>
      <t xml:space="preserve">:  </t>
    </r>
    <r>
      <rPr>
        <sz val="10"/>
        <rFont val="Times New Roman"/>
        <family val="1"/>
      </rPr>
      <t>Lidstock -</t>
    </r>
    <r>
      <rPr>
        <b/>
        <sz val="10"/>
        <rFont val="Times New Roman"/>
        <family val="1"/>
      </rPr>
      <t xml:space="preserve"> </t>
    </r>
    <r>
      <rPr>
        <sz val="10"/>
        <rFont val="Times New Roman"/>
        <family val="1"/>
      </rPr>
      <t xml:space="preserve">86 mm Preprinted Laminated Peelable (eDMS) </t>
    </r>
    <r>
      <rPr>
        <sz val="10"/>
        <color rgb="FF0000FF"/>
        <rFont val="Times New Roman"/>
        <family val="1"/>
      </rPr>
      <t xml:space="preserve">
</t>
    </r>
    <r>
      <rPr>
        <b/>
        <sz val="10"/>
        <color rgb="FF0000FF"/>
        <rFont val="Times New Roman"/>
        <family val="1"/>
      </rPr>
      <t>R-3111</t>
    </r>
    <r>
      <rPr>
        <b/>
        <sz val="10"/>
        <rFont val="Times New Roman"/>
        <family val="1"/>
      </rPr>
      <t xml:space="preserve">: </t>
    </r>
    <r>
      <rPr>
        <sz val="10"/>
        <rFont val="Times New Roman"/>
        <family val="1"/>
      </rPr>
      <t>86 mm Preprinted Laminated Foil</t>
    </r>
    <r>
      <rPr>
        <strike/>
        <sz val="10"/>
        <rFont val="Times New Roman"/>
        <family val="1"/>
      </rPr>
      <t xml:space="preserve"> </t>
    </r>
    <r>
      <rPr>
        <sz val="10"/>
        <rFont val="Times New Roman"/>
        <family val="1"/>
      </rPr>
      <t xml:space="preserve"> Lidstock (eDMS)</t>
    </r>
    <r>
      <rPr>
        <sz val="10"/>
        <color rgb="FF0000FF"/>
        <rFont val="Times New Roman"/>
        <family val="1"/>
      </rPr>
      <t xml:space="preserve">
</t>
    </r>
    <r>
      <rPr>
        <sz val="10"/>
        <color rgb="FF000000"/>
        <rFont val="Times New Roman"/>
        <family val="1"/>
      </rPr>
      <t xml:space="preserve">
</t>
    </r>
    <r>
      <rPr>
        <b/>
        <sz val="10"/>
        <color rgb="FF000000"/>
        <rFont val="Times New Roman"/>
        <family val="1"/>
      </rPr>
      <t xml:space="preserve">Raw Material Specification - Blister:
</t>
    </r>
    <r>
      <rPr>
        <b/>
        <sz val="10"/>
        <color rgb="FF0000FF"/>
        <rFont val="Times New Roman"/>
        <family val="1"/>
      </rPr>
      <t>R-3281:</t>
    </r>
    <r>
      <rPr>
        <b/>
        <sz val="10"/>
        <color rgb="FF000000"/>
        <rFont val="Times New Roman"/>
        <family val="1"/>
      </rPr>
      <t xml:space="preserve"> </t>
    </r>
    <r>
      <rPr>
        <sz val="10"/>
        <color rgb="FF000000"/>
        <rFont val="Times New Roman"/>
        <family val="1"/>
      </rPr>
      <t xml:space="preserve">JJVC Injection Molded Primary Lens Package Bowl (eDMS)
</t>
    </r>
    <r>
      <rPr>
        <b/>
        <sz val="10"/>
        <color rgb="FF000000"/>
        <rFont val="Times New Roman"/>
        <family val="1"/>
      </rPr>
      <t>Patient Instruction Guide:
LB2022AVOM4031:</t>
    </r>
    <r>
      <rPr>
        <sz val="10"/>
        <color rgb="FF000000"/>
        <rFont val="Times New Roman"/>
        <family val="1"/>
      </rPr>
      <t xml:space="preserve"> ACUVUE® OASYS MAX 1-Day; ASTIGMATISM; MULTIFOCAL (Veeva)
</t>
    </r>
    <r>
      <rPr>
        <b/>
        <sz val="10"/>
        <color rgb="FF000000"/>
        <rFont val="Times New Roman"/>
        <family val="1"/>
      </rPr>
      <t>Package Insert:
LB2022AVOM4030</t>
    </r>
    <r>
      <rPr>
        <b/>
        <sz val="10"/>
        <color theme="1"/>
        <rFont val="Times New Roman"/>
        <family val="1"/>
      </rPr>
      <t>:</t>
    </r>
    <r>
      <rPr>
        <sz val="10"/>
        <color theme="1"/>
        <rFont val="Times New Roman"/>
        <family val="1"/>
      </rPr>
      <t xml:space="preserve"> ACUVUE® OASYS MAX 1-Day Contact Lenses, ASTIGMATISM, MULTIFOCAL (Veeva)
</t>
    </r>
    <r>
      <rPr>
        <b/>
        <sz val="10"/>
        <color theme="1"/>
        <rFont val="Times New Roman"/>
        <family val="1"/>
      </rPr>
      <t>LB2023MLT4008:</t>
    </r>
    <r>
      <rPr>
        <sz val="10"/>
        <color theme="1"/>
        <rFont val="Times New Roman"/>
        <family val="1"/>
      </rPr>
      <t xml:space="preserve"> ACUVUE® OASYS MAX 1-Day Contact Lenses, ASTIGMATISM, MULTIFOCAL (Veeva)</t>
    </r>
  </si>
  <si>
    <t>UM-49</t>
  </si>
  <si>
    <t>UM-50</t>
  </si>
  <si>
    <t>UM-51</t>
  </si>
  <si>
    <r>
      <rPr>
        <b/>
        <sz val="10"/>
        <color rgb="FF000000"/>
        <rFont val="Times New Roman"/>
        <family val="1"/>
      </rPr>
      <t>Raw Material Specification - Reactive Monomer Mix:</t>
    </r>
    <r>
      <rPr>
        <sz val="10"/>
        <color rgb="FF000000"/>
        <rFont val="Times New Roman"/>
        <family val="1"/>
      </rPr>
      <t xml:space="preserve">
</t>
    </r>
    <r>
      <rPr>
        <b/>
        <sz val="10"/>
        <color rgb="FF0000FF"/>
        <rFont val="Times New Roman"/>
        <family val="1"/>
      </rPr>
      <t>R-3434:</t>
    </r>
    <r>
      <rPr>
        <sz val="10"/>
        <color rgb="FF0000FF"/>
        <rFont val="Times New Roman"/>
        <family val="1"/>
      </rPr>
      <t xml:space="preserve"> </t>
    </r>
    <r>
      <rPr>
        <sz val="10"/>
        <rFont val="Times New Roman"/>
        <family val="1"/>
      </rPr>
      <t>S</t>
    </r>
    <r>
      <rPr>
        <sz val="10"/>
        <color rgb="FF000000"/>
        <rFont val="Times New Roman"/>
        <family val="1"/>
      </rPr>
      <t xml:space="preserve">enofilcon A (C3) with RTY-1 Reactive Monomer Mix (eDMS)
</t>
    </r>
    <r>
      <rPr>
        <b/>
        <sz val="10"/>
        <color rgb="FF000000"/>
        <rFont val="Times New Roman"/>
        <family val="1"/>
      </rPr>
      <t>Raw Material Specification - RB247:</t>
    </r>
    <r>
      <rPr>
        <sz val="10"/>
        <color rgb="FF000000"/>
        <rFont val="Times New Roman"/>
        <family val="1"/>
      </rPr>
      <t xml:space="preserve">
</t>
    </r>
    <r>
      <rPr>
        <b/>
        <sz val="10"/>
        <color rgb="FF0000FF"/>
        <rFont val="Times New Roman"/>
        <family val="1"/>
      </rPr>
      <t>R-3459:</t>
    </r>
    <r>
      <rPr>
        <sz val="10"/>
        <color rgb="FF000000"/>
        <rFont val="Times New Roman"/>
        <family val="1"/>
      </rPr>
      <t xml:space="preserve"> RB247 (eDMS)</t>
    </r>
  </si>
  <si>
    <t>UM-56</t>
  </si>
  <si>
    <r>
      <rPr>
        <b/>
        <sz val="10"/>
        <color theme="1"/>
        <rFont val="Times New Roman"/>
        <family val="1"/>
      </rPr>
      <t>Product Labeling Specification:</t>
    </r>
    <r>
      <rPr>
        <sz val="10"/>
        <color theme="1"/>
        <rFont val="Times New Roman"/>
        <family val="1"/>
      </rPr>
      <t xml:space="preserve">
</t>
    </r>
    <r>
      <rPr>
        <b/>
        <sz val="10"/>
        <color rgb="FF0000FF"/>
        <rFont val="Times New Roman"/>
        <family val="1"/>
      </rPr>
      <t>L-5000:</t>
    </r>
    <r>
      <rPr>
        <sz val="10"/>
        <color theme="1"/>
        <rFont val="Times New Roman"/>
        <family val="1"/>
      </rPr>
      <t xml:space="preserve"> Copy Clearance: Packaging, Labeling and Printed Material Change Control Process (eDMS)
</t>
    </r>
    <r>
      <rPr>
        <b/>
        <sz val="10"/>
        <color theme="1"/>
        <rFont val="Times New Roman"/>
        <family val="1"/>
      </rPr>
      <t xml:space="preserve">Package Insert:
LB2022AVOM4030: </t>
    </r>
    <r>
      <rPr>
        <sz val="10"/>
        <color theme="1"/>
        <rFont val="Times New Roman"/>
        <family val="1"/>
      </rPr>
      <t>ACUVUE® OASYS MAX 1-Day Contact Lenses, ASTIGMATISM, MULTIFOCAL (Veeva)</t>
    </r>
    <r>
      <rPr>
        <b/>
        <sz val="10"/>
        <color theme="1"/>
        <rFont val="Times New Roman"/>
        <family val="1"/>
      </rPr>
      <t xml:space="preserve">
Patient Instruction Guide:
LB2022AVOM4031:</t>
    </r>
    <r>
      <rPr>
        <sz val="10"/>
        <color theme="1"/>
        <rFont val="Times New Roman"/>
        <family val="1"/>
      </rPr>
      <t xml:space="preserve"> ACUVUE® OASYS MAX 1-Day; ASTIGMATISM; MULTIFOCAL (Veeva)
</t>
    </r>
    <r>
      <rPr>
        <b/>
        <sz val="10"/>
        <color theme="1"/>
        <rFont val="Times New Roman"/>
        <family val="1"/>
      </rPr>
      <t>LB2023MLT4008:</t>
    </r>
    <r>
      <rPr>
        <sz val="10"/>
        <color theme="1"/>
        <rFont val="Times New Roman"/>
        <family val="1"/>
      </rPr>
      <t xml:space="preserve"> ACUVUE® OASYS MAX 1-Day Contact Lenses, ASTIGMATISM, MULTIFOCAL (Veeva)</t>
    </r>
  </si>
  <si>
    <t>UM-57</t>
  </si>
  <si>
    <t>UM-61</t>
  </si>
  <si>
    <t>Information For Safety
(Lens Wearing Precautions and Caring for Your Lenses)</t>
  </si>
  <si>
    <t>UM-62</t>
  </si>
  <si>
    <t>UM-63</t>
  </si>
  <si>
    <t>UM-64</t>
  </si>
  <si>
    <t>UM-65</t>
  </si>
  <si>
    <t>F-7</t>
  </si>
  <si>
    <r>
      <t xml:space="preserve"> </t>
    </r>
    <r>
      <rPr>
        <sz val="10"/>
        <color theme="1"/>
        <rFont val="Calibri"/>
        <family val="2"/>
      </rPr>
      <t>≤</t>
    </r>
    <r>
      <rPr>
        <sz val="10"/>
        <color theme="1"/>
        <rFont val="Times New Roman"/>
        <family val="1"/>
      </rPr>
      <t xml:space="preserve"> 3</t>
    </r>
  </si>
  <si>
    <t>Finished Product Property Requirements
Reactive Monomer Mix Formulation</t>
  </si>
  <si>
    <r>
      <rPr>
        <b/>
        <sz val="10"/>
        <rFont val="Times New Roman"/>
        <family val="1"/>
      </rPr>
      <t>Product Specifications:</t>
    </r>
    <r>
      <rPr>
        <sz val="10"/>
        <rFont val="Times New Roman"/>
        <family val="1"/>
      </rPr>
      <t xml:space="preserve">
</t>
    </r>
    <r>
      <rPr>
        <b/>
        <sz val="10"/>
        <color rgb="FF0000FF"/>
        <rFont val="Times New Roman"/>
        <family val="1"/>
      </rPr>
      <t>PR-2055</t>
    </r>
    <r>
      <rPr>
        <sz val="10"/>
        <color rgb="FF0000FF"/>
        <rFont val="Times New Roman"/>
        <family val="1"/>
      </rPr>
      <t>:</t>
    </r>
    <r>
      <rPr>
        <sz val="10"/>
        <color rgb="FFFF0000"/>
        <rFont val="Times New Roman"/>
        <family val="1"/>
      </rPr>
      <t xml:space="preserve"> </t>
    </r>
    <r>
      <rPr>
        <sz val="10"/>
        <rFont val="Times New Roman"/>
        <family val="1"/>
      </rPr>
      <t>ACUVUE® OASYS MAX 1-Day for ASTIGMATISM Contact Lenses (senofilcon A (C3) with RTY-1) Product Requirements (eDMS)</t>
    </r>
    <r>
      <rPr>
        <b/>
        <sz val="10"/>
        <rFont val="Times New Roman"/>
        <family val="1"/>
      </rPr>
      <t xml:space="preserve">
</t>
    </r>
    <r>
      <rPr>
        <b/>
        <sz val="10"/>
        <color theme="1"/>
        <rFont val="Times New Roman"/>
        <family val="1"/>
      </rPr>
      <t xml:space="preserve">
Raw Material Specification - Reactive Monomer Mix: 
</t>
    </r>
    <r>
      <rPr>
        <b/>
        <sz val="10"/>
        <color rgb="FF0000FF"/>
        <rFont val="Times New Roman"/>
        <family val="1"/>
      </rPr>
      <t>R-3434:</t>
    </r>
    <r>
      <rPr>
        <b/>
        <sz val="10"/>
        <color theme="1"/>
        <rFont val="Times New Roman"/>
        <family val="1"/>
      </rPr>
      <t xml:space="preserve"> </t>
    </r>
    <r>
      <rPr>
        <sz val="10"/>
        <color theme="1"/>
        <rFont val="Times New Roman"/>
        <family val="1"/>
      </rPr>
      <t>Senofilcon A (C3) with RTY-1 Reactive Monomer Mix (eDMS)</t>
    </r>
  </si>
  <si>
    <t>Non-Medical Complaint Counts for 'TAS'</t>
  </si>
  <si>
    <t>SEP2018 - AUG2023</t>
  </si>
  <si>
    <t>product_id</t>
  </si>
  <si>
    <t>subject_code</t>
  </si>
  <si>
    <t>count</t>
  </si>
  <si>
    <t>ship_actual</t>
  </si>
  <si>
    <t>ppm</t>
  </si>
  <si>
    <t>TAS</t>
  </si>
  <si>
    <t>BRAND PROTECTION ISSUES-SUSPECT COUNTERFEIT</t>
  </si>
  <si>
    <t>BRAND PROTECTION ISSUES-SUSPECT TAMPERING</t>
  </si>
  <si>
    <t>CARTON-CARTON RECEIVED DAMAGED</t>
  </si>
  <si>
    <t>CARTON-CARTON RECEIVED OPEN</t>
  </si>
  <si>
    <t>CARTON-CARTON RECEIVED OPEN:END FLAP</t>
  </si>
  <si>
    <t>CARTON-CARTON RECEIVED OPEN:PERFORATION</t>
  </si>
  <si>
    <t>CARTON-CARTON RECEIVED OPEN:TOP FLAP</t>
  </si>
  <si>
    <t>CARTON-EXCESS GLUE</t>
  </si>
  <si>
    <t>CARTON-INCOMPLETE CARTON</t>
  </si>
  <si>
    <t>CARTON-LABEL:INCORRECT INFORMATION (CARTON)</t>
  </si>
  <si>
    <t>CARTON-LABEL:OTHER (CARTON)</t>
  </si>
  <si>
    <t>CARTON-MISSHAPED CARTON</t>
  </si>
  <si>
    <t>CARTON-OTHER (CARTON)</t>
  </si>
  <si>
    <t>CARTON-PRODUCT MIX:INNER CARTON</t>
  </si>
  <si>
    <t>CARTON-PRODUCT MIX:PRIMARY PACKAGE</t>
  </si>
  <si>
    <t>FOREIGN MATTER-LENS (FOREIGN MATTER)</t>
  </si>
  <si>
    <t>FOREIGN MATTER-PRIMARY PACKAGE (FOREIGN MATTER)</t>
  </si>
  <si>
    <t>FOREIGN MATTER-SECONDARY CARTON</t>
  </si>
  <si>
    <t>FOREIGN MATTER-UNKNOWN (FOREIGN MATTER)</t>
  </si>
  <si>
    <t>LENS-ACUITY</t>
  </si>
  <si>
    <t>LENS-ACUITY:DISPENSING ERROR</t>
  </si>
  <si>
    <t>LENS-ACUITY:FOGGY/CLOUDY/BLURRY IN USE</t>
  </si>
  <si>
    <t>LENS-ACUITY:TRIAL PERIOD</t>
  </si>
  <si>
    <t>LENS-COMFORT</t>
  </si>
  <si>
    <t>LENS-COMFORT:FEELS DRY</t>
  </si>
  <si>
    <t>LENS-COMFORT:LENS AWARENESS</t>
  </si>
  <si>
    <t>LENS-COMFORT:TRIAL PERIOD</t>
  </si>
  <si>
    <t>LENS-DEPOSITS:IN USE</t>
  </si>
  <si>
    <t>LENS-DISCOLORED</t>
  </si>
  <si>
    <t>LENS-DISCOLORED:IN USE</t>
  </si>
  <si>
    <t>LENS-DISCOLORED:ON RECEIPT</t>
  </si>
  <si>
    <t>LENS-EDGE RELATED</t>
  </si>
  <si>
    <t>LENS-EDGE RELATED:IN USE</t>
  </si>
  <si>
    <t>LENS-EDGE RELATED:ON RECEIPT</t>
  </si>
  <si>
    <t>LENS-HANDLING</t>
  </si>
  <si>
    <t>LENS-HANDLING:I/O MARK, HARD TO SEE</t>
  </si>
  <si>
    <t>LENS-HANDLING:VISIBILITY TINT</t>
  </si>
  <si>
    <t>LENS-HOLE/BUBBLE</t>
  </si>
  <si>
    <t>LENS-LENS FIT</t>
  </si>
  <si>
    <t>LENS-LENS FIT:EXPERIENCED WEARER</t>
  </si>
  <si>
    <t>LENS-LENS FIT:TORIC ROTATION</t>
  </si>
  <si>
    <t>LENS-LENS FIT:TRIAL PERIOD</t>
  </si>
  <si>
    <t>LENS-LENS FOLDED</t>
  </si>
  <si>
    <t>LENS-LENS FOLDED:IN USE</t>
  </si>
  <si>
    <t>LENS-LENS FOLDED:ON RECEIPT</t>
  </si>
  <si>
    <t>LENS-MISSHAPED</t>
  </si>
  <si>
    <t>LENS-MISSHAPED:IN USE</t>
  </si>
  <si>
    <t>LENS-MISSHAPED:ON RECEIPT</t>
  </si>
  <si>
    <t>LENS-OTHER (LENS)</t>
  </si>
  <si>
    <t>LENS-OTHER:IN USE</t>
  </si>
  <si>
    <t>LENS-OTHER:ON RECEIPT</t>
  </si>
  <si>
    <t>LENS-SURFACE MARK</t>
  </si>
  <si>
    <t>LENS-THICKER</t>
  </si>
  <si>
    <t>LENS-THINNER</t>
  </si>
  <si>
    <t>LENS-TORN</t>
  </si>
  <si>
    <t>LENS-TORN:IN USE</t>
  </si>
  <si>
    <t>LENS-TORN:ON EYE</t>
  </si>
  <si>
    <t>LENS-TORN:ON RECEIPT</t>
  </si>
  <si>
    <t>LENS-UNKNOWN (LENS)</t>
  </si>
  <si>
    <t>PACKAGE INSERT-MISSING INSERT</t>
  </si>
  <si>
    <t>PRIMARY PACKAGE-BLISTER</t>
  </si>
  <si>
    <t>PRIMARY PACKAGE-BLISTER:DAMAGED</t>
  </si>
  <si>
    <t>PRIMARY PACKAGE-BLISTER:OTHER</t>
  </si>
  <si>
    <t>PRIMARY PACKAGE-BLISTER:SKINNING</t>
  </si>
  <si>
    <t>PRIMARY PACKAGE-FOIL:DIFFICULT TO OPEN</t>
  </si>
  <si>
    <t>PRIMARY PACKAGE-FOIL:MISALIGNED</t>
  </si>
  <si>
    <t>PRIMARY PACKAGE-FOIL:OTHER</t>
  </si>
  <si>
    <t>PRIMARY PACKAGE-FOIL:PUNCTURE/TORN ON RECEIPT</t>
  </si>
  <si>
    <t>PRIMARY PACKAGE-FOIL:TORN IN USE</t>
  </si>
  <si>
    <t>PRIMARY PACKAGE-LABEL:PRODUCT MIX</t>
  </si>
  <si>
    <t>PRIMARY PACKAGE-LENS:CAUGHT IN SEAL</t>
  </si>
  <si>
    <t>PRIMARY PACKAGE-LENS:MULTIPLE</t>
  </si>
  <si>
    <t>PRIMARY PACKAGE-LENS:NO LENS</t>
  </si>
  <si>
    <t>PRIMARY PACKAGE-LENS:PRODUCT MIX</t>
  </si>
  <si>
    <t>PRIMARY PACKAGE-LENS:STUCK TO BLISTER</t>
  </si>
  <si>
    <t>PRIMARY PACKAGE-LENS:STUCK TO FOIL</t>
  </si>
  <si>
    <t>PRIMARY PACKAGE-LOW SOLUTION</t>
  </si>
  <si>
    <t>PRIMARY PACKAGE-NO SOLUTION</t>
  </si>
  <si>
    <t>PRIMARY PACKAGE-NO SOLUTION:FOIL SEALED/INTACT</t>
  </si>
  <si>
    <t>PRIMARY PACKAGE-NO SOLUTION:PP DAMAGED</t>
  </si>
  <si>
    <t>PRIMARY PACKAGE-ODOR (PRIMARY PACKAGE)</t>
  </si>
  <si>
    <t>PRIMARY PACKAGE-OTHER (PRIMARY PACKAGE)</t>
  </si>
  <si>
    <t>PRIMARY PACKAGE-UNKNOWN (PRIMARY PACKAGE)</t>
  </si>
  <si>
    <t>SHRINK WRAPPING-OTHER</t>
  </si>
  <si>
    <t>SHRINK WRAPPING-SHRINK WRAP TORN</t>
  </si>
  <si>
    <t>SHRINK WRAPPING-SHRINK WRAP TORN:BACK</t>
  </si>
  <si>
    <t>SHRINK WRAPPING-SHRINK WRAP TORN:BOTTOM</t>
  </si>
  <si>
    <t>SHRINK WRAPPING-SHRINK WRAP TORN:FRONT</t>
  </si>
  <si>
    <t>SHRINK WRAPPING-SHRINK WRAP TORN:SIDE FLAP W/PARAMETERS</t>
  </si>
  <si>
    <t>SOLUTION-OTHER (SOLUTION)</t>
  </si>
  <si>
    <t>SOLUTION-STINGS</t>
  </si>
  <si>
    <t>SOLUTION-STINGS:LENS FROM SEALED PACKAGE</t>
  </si>
  <si>
    <t>UNKNOWN SUBJECT CODE-UNKNOWN SUBJECT CODE</t>
  </si>
  <si>
    <t>Report Run Date: 23AUG23 - Report Processed By: rdavidso</t>
  </si>
  <si>
    <t>Hazard ID #</t>
  </si>
  <si>
    <r>
      <t xml:space="preserve">PPM </t>
    </r>
    <r>
      <rPr>
        <vertAlign val="subscript"/>
        <sz val="11"/>
        <color indexed="8"/>
        <rFont val="Calibri"/>
        <family val="2"/>
      </rPr>
      <t>Risk Ass</t>
    </r>
  </si>
  <si>
    <t>Probability of occurrence of Hazardous situation</t>
  </si>
  <si>
    <t>B-01</t>
  </si>
  <si>
    <t>Product - ACUVUE® OASYS Contact Lenses 1-Day with HydraLuxe® for ASTIGMATISM, senofilcon A</t>
  </si>
  <si>
    <t>B-02</t>
  </si>
  <si>
    <t>Product_ID</t>
  </si>
  <si>
    <t>Subject_Code</t>
  </si>
  <si>
    <t>Lenses Shipped</t>
  </si>
  <si>
    <t xml:space="preserve">Hazard ID </t>
  </si>
  <si>
    <t>PPM</t>
  </si>
  <si>
    <t>B-07</t>
  </si>
  <si>
    <t>B-08</t>
  </si>
  <si>
    <t>B-09</t>
  </si>
  <si>
    <t>B-10</t>
  </si>
  <si>
    <t>B-11</t>
  </si>
  <si>
    <t>B-12</t>
  </si>
  <si>
    <t>B-13</t>
  </si>
  <si>
    <t>B-14</t>
  </si>
  <si>
    <t>B-15</t>
  </si>
  <si>
    <t>B-16</t>
  </si>
  <si>
    <t>B-17</t>
  </si>
  <si>
    <t>B-18</t>
  </si>
  <si>
    <t>B-19</t>
  </si>
  <si>
    <t>B-20</t>
  </si>
  <si>
    <t>UM-30, UM-31</t>
  </si>
  <si>
    <t>B-21</t>
  </si>
  <si>
    <t>B-22</t>
  </si>
  <si>
    <t>P-18, P-19, P-20, P-43, P-44</t>
  </si>
  <si>
    <t>B-23</t>
  </si>
  <si>
    <t>P-18, P-19, P-20, P-43, P-44, B-26, B-27, B-28</t>
  </si>
  <si>
    <t>B-26, B-27, B-28</t>
  </si>
  <si>
    <t>P-30, P-31, P-32</t>
  </si>
  <si>
    <t>P-25, P-27</t>
  </si>
  <si>
    <t>C-01</t>
  </si>
  <si>
    <t>C-02</t>
  </si>
  <si>
    <t>C-03</t>
  </si>
  <si>
    <t>C-04</t>
  </si>
  <si>
    <t>C-05</t>
  </si>
  <si>
    <t>P-12</t>
  </si>
  <si>
    <t>C-06</t>
  </si>
  <si>
    <t>C-07</t>
  </si>
  <si>
    <t>C-08</t>
  </si>
  <si>
    <t>C-09</t>
  </si>
  <si>
    <t>C-10</t>
  </si>
  <si>
    <t>C-12</t>
  </si>
  <si>
    <t>C-13</t>
  </si>
  <si>
    <t>C-14</t>
  </si>
  <si>
    <t>P-03</t>
  </si>
  <si>
    <t>C-15</t>
  </si>
  <si>
    <t>P-47</t>
  </si>
  <si>
    <t>C-16</t>
  </si>
  <si>
    <t>C-31</t>
  </si>
  <si>
    <t>P-14, P-55</t>
  </si>
  <si>
    <t>P-01, P-05</t>
  </si>
  <si>
    <t>C-19</t>
  </si>
  <si>
    <t>C-20</t>
  </si>
  <si>
    <t>C-21</t>
  </si>
  <si>
    <t>UM-01</t>
  </si>
  <si>
    <t>C-25</t>
  </si>
  <si>
    <t>C-26</t>
  </si>
  <si>
    <t>C-27</t>
  </si>
  <si>
    <t>P-14</t>
  </si>
  <si>
    <t>C-35</t>
  </si>
  <si>
    <t>UM-44</t>
  </si>
  <si>
    <t>C-42</t>
  </si>
  <si>
    <t>C-43</t>
  </si>
  <si>
    <t>C-44</t>
  </si>
  <si>
    <t>C-45</t>
  </si>
  <si>
    <t>C-46</t>
  </si>
  <si>
    <t>P-46</t>
  </si>
  <si>
    <t>C-47</t>
  </si>
  <si>
    <t>C-48</t>
  </si>
  <si>
    <t>C-49</t>
  </si>
  <si>
    <t>C-50</t>
  </si>
  <si>
    <t>C-51</t>
  </si>
  <si>
    <t>C-52</t>
  </si>
  <si>
    <t>C-53</t>
  </si>
  <si>
    <t>C-54</t>
  </si>
  <si>
    <t>C-55</t>
  </si>
  <si>
    <t>C-56</t>
  </si>
  <si>
    <t>C-57</t>
  </si>
  <si>
    <t>P-36</t>
  </si>
  <si>
    <t>C-58</t>
  </si>
  <si>
    <t>C-59</t>
  </si>
  <si>
    <t>C-60</t>
  </si>
  <si>
    <t>C-61</t>
  </si>
  <si>
    <t>C-62</t>
  </si>
  <si>
    <t>C-63</t>
  </si>
  <si>
    <t>C-64</t>
  </si>
  <si>
    <t>C-66</t>
  </si>
  <si>
    <t>P-01</t>
  </si>
  <si>
    <t>P-05</t>
  </si>
  <si>
    <t>P-11</t>
  </si>
  <si>
    <t>P-15</t>
  </si>
  <si>
    <t>P-18</t>
  </si>
  <si>
    <t>P-19</t>
  </si>
  <si>
    <t>P-20</t>
  </si>
  <si>
    <t>P-27</t>
  </si>
  <si>
    <t>P-30</t>
  </si>
  <si>
    <t>P-31</t>
  </si>
  <si>
    <t>P-32</t>
  </si>
  <si>
    <t>P-34</t>
  </si>
  <si>
    <t>P-35</t>
  </si>
  <si>
    <t>P-38</t>
  </si>
  <si>
    <t>P-39</t>
  </si>
  <si>
    <t>P-40</t>
  </si>
  <si>
    <t>P-41</t>
  </si>
  <si>
    <t>P-42</t>
  </si>
  <si>
    <t>P-43</t>
  </si>
  <si>
    <t>P-44</t>
  </si>
  <si>
    <t>P-45</t>
  </si>
  <si>
    <t>P-49</t>
  </si>
  <si>
    <t>P-50</t>
  </si>
  <si>
    <t>P-51</t>
  </si>
  <si>
    <t>P-52</t>
  </si>
  <si>
    <t>P-53</t>
  </si>
  <si>
    <t>P-54</t>
  </si>
  <si>
    <t>P-55</t>
  </si>
  <si>
    <t>P-56</t>
  </si>
  <si>
    <t>P-57</t>
  </si>
  <si>
    <t>P-58</t>
  </si>
  <si>
    <t>P-59</t>
  </si>
  <si>
    <t>P-60</t>
  </si>
  <si>
    <t>P-61</t>
  </si>
  <si>
    <t>P-62</t>
  </si>
  <si>
    <t>P-63</t>
  </si>
  <si>
    <t>P-65</t>
  </si>
  <si>
    <t>P-66</t>
  </si>
  <si>
    <t>P-67</t>
  </si>
  <si>
    <t>UM-21</t>
  </si>
  <si>
    <t>UM-24</t>
  </si>
  <si>
    <t>UM-25</t>
  </si>
  <si>
    <t>UM-30</t>
  </si>
  <si>
    <t>UM-31</t>
  </si>
  <si>
    <t>UM-34</t>
  </si>
  <si>
    <t>UM-35</t>
  </si>
  <si>
    <t>UM-36</t>
  </si>
  <si>
    <t>UM-37</t>
  </si>
  <si>
    <t>UM-38</t>
  </si>
  <si>
    <t>UM-39</t>
  </si>
  <si>
    <t>UM-40</t>
  </si>
  <si>
    <t>UM-41</t>
  </si>
  <si>
    <t>UM-42</t>
  </si>
  <si>
    <t>UM-43</t>
  </si>
  <si>
    <t>UM-45</t>
  </si>
  <si>
    <t>UM-46</t>
  </si>
  <si>
    <t>UM-47</t>
  </si>
  <si>
    <t>UM-52</t>
  </si>
  <si>
    <t>UM-53</t>
  </si>
  <si>
    <t>UM-54</t>
  </si>
  <si>
    <t>UM-55</t>
  </si>
  <si>
    <t>UM-58</t>
  </si>
  <si>
    <t>UM-59</t>
  </si>
  <si>
    <t>UM-60</t>
  </si>
  <si>
    <t>F-5</t>
  </si>
  <si>
    <t>F-6</t>
  </si>
  <si>
    <t>E-2</t>
  </si>
  <si>
    <t>ID</t>
  </si>
  <si>
    <t>Legacy Hazard ID</t>
  </si>
  <si>
    <t>B-1</t>
  </si>
  <si>
    <t>B-8</t>
  </si>
  <si>
    <t>C-6</t>
  </si>
  <si>
    <t>Contact_Lens/evalutes:</t>
  </si>
  <si>
    <t>Information for Safety
(Lens Handling and Insertion)</t>
  </si>
  <si>
    <t>CL-239</t>
  </si>
  <si>
    <t>CL-240</t>
  </si>
  <si>
    <t>CL-241</t>
  </si>
  <si>
    <t>CL-242</t>
  </si>
  <si>
    <t>CL-243</t>
  </si>
  <si>
    <t>CL-244</t>
  </si>
  <si>
    <t>CL-245</t>
  </si>
  <si>
    <t>CL-246</t>
  </si>
  <si>
    <t>CL-247</t>
  </si>
  <si>
    <t>CL-248</t>
  </si>
  <si>
    <t>CL-249</t>
  </si>
  <si>
    <t>CL-250</t>
  </si>
  <si>
    <t>CL-251</t>
  </si>
  <si>
    <t>CL-252</t>
  </si>
  <si>
    <t>CL-253</t>
  </si>
  <si>
    <t>CL-254</t>
  </si>
  <si>
    <t>CL-255</t>
  </si>
  <si>
    <t>CL-256</t>
  </si>
  <si>
    <t>CL-257</t>
  </si>
  <si>
    <t>CL-258</t>
  </si>
  <si>
    <t>CL-259</t>
  </si>
  <si>
    <t>CL-260</t>
  </si>
  <si>
    <t>CL-261</t>
  </si>
  <si>
    <t>CL-262</t>
  </si>
  <si>
    <t>CL-263</t>
  </si>
  <si>
    <t>CL-264</t>
  </si>
  <si>
    <t>CL-265</t>
  </si>
  <si>
    <t>CL-266</t>
  </si>
  <si>
    <t>CL-267</t>
  </si>
  <si>
    <t>CL-268</t>
  </si>
  <si>
    <t>CL-269</t>
  </si>
  <si>
    <t>CL-270</t>
  </si>
  <si>
    <t>CL-271</t>
  </si>
  <si>
    <t>CL-272</t>
  </si>
  <si>
    <t>CL-273</t>
  </si>
  <si>
    <t>CL-274</t>
  </si>
  <si>
    <t>CL-275</t>
  </si>
  <si>
    <t>CL-276</t>
  </si>
  <si>
    <t>CL-277</t>
  </si>
  <si>
    <t>CL-278</t>
  </si>
  <si>
    <t>CL-279</t>
  </si>
  <si>
    <t>CL-280</t>
  </si>
  <si>
    <t>CL-281</t>
  </si>
  <si>
    <t>CL-282</t>
  </si>
  <si>
    <t>CL-283</t>
  </si>
  <si>
    <t>CL-284</t>
  </si>
  <si>
    <t>CL-285</t>
  </si>
  <si>
    <t>CL-286</t>
  </si>
  <si>
    <t>CL-287</t>
  </si>
  <si>
    <t>CL-288</t>
  </si>
  <si>
    <t>CL-289</t>
  </si>
  <si>
    <t>CL-290</t>
  </si>
  <si>
    <t>CL-291</t>
  </si>
  <si>
    <t>CL-292</t>
  </si>
  <si>
    <t>CL-293</t>
  </si>
  <si>
    <t>CL-294</t>
  </si>
  <si>
    <t>CL-295</t>
  </si>
  <si>
    <t>CL-296</t>
  </si>
  <si>
    <t>CL-297</t>
  </si>
  <si>
    <t>CL-298</t>
  </si>
  <si>
    <t>CL-299</t>
  </si>
  <si>
    <t>CL-300</t>
  </si>
  <si>
    <t>CL-301</t>
  </si>
  <si>
    <t>CL-302</t>
  </si>
  <si>
    <t>CL-303</t>
  </si>
  <si>
    <t>CL-304</t>
  </si>
  <si>
    <t>CL-305</t>
  </si>
  <si>
    <t>CL-306</t>
  </si>
  <si>
    <t>CL-307</t>
  </si>
  <si>
    <t>CL-308</t>
  </si>
  <si>
    <t>CL-309</t>
  </si>
  <si>
    <t>CL-310</t>
  </si>
  <si>
    <t>CL-311</t>
  </si>
  <si>
    <t>CL-312</t>
  </si>
  <si>
    <t>CL-313</t>
  </si>
  <si>
    <t>CL-314</t>
  </si>
  <si>
    <t>CL-315</t>
  </si>
  <si>
    <t>CL-316</t>
  </si>
  <si>
    <t>CL-317</t>
  </si>
  <si>
    <t>CL-318</t>
  </si>
  <si>
    <t>CL-319</t>
  </si>
  <si>
    <t>CL-320</t>
  </si>
  <si>
    <t>CL-321</t>
  </si>
  <si>
    <t>CL-322</t>
  </si>
  <si>
    <t>CL-323</t>
  </si>
  <si>
    <t>CL-324</t>
  </si>
  <si>
    <t>CL-325</t>
  </si>
  <si>
    <t>CL-326</t>
  </si>
  <si>
    <t>CL-327</t>
  </si>
  <si>
    <t>CL-328</t>
  </si>
  <si>
    <t>CL-329</t>
  </si>
  <si>
    <t>CL-330</t>
  </si>
  <si>
    <t>CL-331</t>
  </si>
  <si>
    <t>CL-332</t>
  </si>
  <si>
    <t>CL-333</t>
  </si>
  <si>
    <t>CL-334</t>
  </si>
  <si>
    <t>CL-335</t>
  </si>
  <si>
    <t>CL-336</t>
  </si>
  <si>
    <t>CL-337</t>
  </si>
  <si>
    <t>CL-338</t>
  </si>
  <si>
    <t>CL-339</t>
  </si>
  <si>
    <t>CL-340</t>
  </si>
  <si>
    <t>CL-341</t>
  </si>
  <si>
    <t>CL-342</t>
  </si>
  <si>
    <t>CL-343</t>
  </si>
  <si>
    <t>CL-344</t>
  </si>
  <si>
    <t>CL-345</t>
  </si>
  <si>
    <t>CL-346</t>
  </si>
  <si>
    <t>CL-347</t>
  </si>
  <si>
    <t>CL-348</t>
  </si>
  <si>
    <t>CL-349</t>
  </si>
  <si>
    <t>CL-350</t>
  </si>
  <si>
    <t>CL-351</t>
  </si>
  <si>
    <t>CL-352</t>
  </si>
  <si>
    <t>CL-353</t>
  </si>
  <si>
    <t>CL-354</t>
  </si>
  <si>
    <t>CL-355</t>
  </si>
  <si>
    <t>CL-356</t>
  </si>
  <si>
    <t>CL-357</t>
  </si>
  <si>
    <t>CL-358</t>
  </si>
  <si>
    <t>CL-359</t>
  </si>
  <si>
    <t>CL-360</t>
  </si>
  <si>
    <t>CL-361</t>
  </si>
  <si>
    <t>CL-362</t>
  </si>
  <si>
    <t>CL-363</t>
  </si>
  <si>
    <t>CL-364</t>
  </si>
  <si>
    <t>CL-365</t>
  </si>
  <si>
    <t>CL-366</t>
  </si>
  <si>
    <t>CL-367</t>
  </si>
  <si>
    <t>CL-368</t>
  </si>
  <si>
    <t>CL-369</t>
  </si>
  <si>
    <t>CL-370</t>
  </si>
  <si>
    <t>CL-371</t>
  </si>
  <si>
    <t>CL-372</t>
  </si>
  <si>
    <t>CL-373</t>
  </si>
  <si>
    <t>CL-374</t>
  </si>
  <si>
    <t>CL-375</t>
  </si>
  <si>
    <t>CL-376</t>
  </si>
  <si>
    <t>CL-377</t>
  </si>
  <si>
    <t>CL-378</t>
  </si>
  <si>
    <t>CL-379</t>
  </si>
  <si>
    <t>CL-380</t>
  </si>
  <si>
    <t>CL-381</t>
  </si>
  <si>
    <t>CL-382</t>
  </si>
  <si>
    <t>CL-383</t>
  </si>
  <si>
    <t>CL-384</t>
  </si>
  <si>
    <t>CL-385</t>
  </si>
  <si>
    <t>CL-386</t>
  </si>
  <si>
    <t>CL-387</t>
  </si>
  <si>
    <t>CL-388</t>
  </si>
  <si>
    <t>CL-389</t>
  </si>
  <si>
    <t>CL-390</t>
  </si>
  <si>
    <t>CL-391</t>
  </si>
  <si>
    <t>CL-392</t>
  </si>
  <si>
    <t>CL-393</t>
  </si>
  <si>
    <t>CL-394</t>
  </si>
  <si>
    <t>CL-395</t>
  </si>
  <si>
    <t>CL-396</t>
  </si>
  <si>
    <t>CL-397</t>
  </si>
  <si>
    <t>CL-398</t>
  </si>
  <si>
    <t>CL-399</t>
  </si>
  <si>
    <t>CL-400</t>
  </si>
  <si>
    <t>CL-401</t>
  </si>
  <si>
    <t>CL-402</t>
  </si>
  <si>
    <t>CL-403</t>
  </si>
  <si>
    <t>CL-404</t>
  </si>
  <si>
    <t>CL-405</t>
  </si>
  <si>
    <t>CL-406</t>
  </si>
  <si>
    <t>CL-407</t>
  </si>
  <si>
    <t>CL-408</t>
  </si>
  <si>
    <t>CL-409</t>
  </si>
  <si>
    <t>CL-410</t>
  </si>
  <si>
    <t>CL-411</t>
  </si>
  <si>
    <t>CL-412</t>
  </si>
  <si>
    <t>CL-413</t>
  </si>
  <si>
    <t>CL-414</t>
  </si>
  <si>
    <t>CL-415</t>
  </si>
  <si>
    <t>CL-416</t>
  </si>
  <si>
    <t>CL-417</t>
  </si>
  <si>
    <t>CL-418</t>
  </si>
  <si>
    <t>CL-419</t>
  </si>
  <si>
    <t>CL-420</t>
  </si>
  <si>
    <t>CL-421</t>
  </si>
  <si>
    <t>CL-422</t>
  </si>
  <si>
    <t>CL-423</t>
  </si>
  <si>
    <t>CL-424</t>
  </si>
  <si>
    <t>CL-425</t>
  </si>
  <si>
    <t>CL-426</t>
  </si>
  <si>
    <t>CL-427</t>
  </si>
  <si>
    <t>CL-428</t>
  </si>
  <si>
    <t>CL-429</t>
  </si>
  <si>
    <t>CL-430</t>
  </si>
  <si>
    <t>CL-431</t>
  </si>
  <si>
    <t>CL-432</t>
  </si>
  <si>
    <t>CL-433</t>
  </si>
  <si>
    <t>CL-434</t>
  </si>
  <si>
    <t>CL-435</t>
  </si>
  <si>
    <t>CL-436</t>
  </si>
  <si>
    <t>CL-437</t>
  </si>
  <si>
    <t>CL-438</t>
  </si>
  <si>
    <t>CL-439</t>
  </si>
  <si>
    <t>CL-440</t>
  </si>
  <si>
    <t>CL-441</t>
  </si>
  <si>
    <t>CL-442</t>
  </si>
  <si>
    <t>B-2</t>
  </si>
  <si>
    <t>C-2</t>
  </si>
  <si>
    <t>C-4</t>
  </si>
  <si>
    <t>C-5</t>
  </si>
  <si>
    <t>C-7</t>
  </si>
  <si>
    <t>C-9</t>
  </si>
  <si>
    <t>UM-1</t>
  </si>
  <si>
    <t>Contact_Lens/</t>
  </si>
  <si>
    <t>Contact_Lens/CL-241</t>
  </si>
  <si>
    <t>Contact_Lens/CL-243</t>
  </si>
  <si>
    <t>Contact_Lens/CL-258</t>
  </si>
  <si>
    <t>Contact_Lens/CL-259</t>
  </si>
  <si>
    <t>Contact_Lens/CL-260</t>
  </si>
  <si>
    <t>Contact_Lens/CL-261</t>
  </si>
  <si>
    <t>Contact_Lens/CL-262</t>
  </si>
  <si>
    <t>Contact_Lens/CL-264</t>
  </si>
  <si>
    <t>Contact_Lens/CL-269</t>
  </si>
  <si>
    <t>Contact_Lens/CL-272</t>
  </si>
  <si>
    <t>Contact_Lens/CL-278</t>
  </si>
  <si>
    <t>Contact_Lens/CL-279</t>
  </si>
  <si>
    <t>Contact_Lens/CL-283</t>
  </si>
  <si>
    <t>Contact_Lens/CL-284</t>
  </si>
  <si>
    <t>Contact_Lens/CL-288</t>
  </si>
  <si>
    <t>Contact_Lens/CL-289</t>
  </si>
  <si>
    <t>Contact_Lens/CL-290</t>
  </si>
  <si>
    <t>Contact_Lens/CL-292</t>
  </si>
  <si>
    <t>Contact_Lens/CL-293</t>
  </si>
  <si>
    <t>Contact_Lens/CL-294</t>
  </si>
  <si>
    <t>Contact_Lens/CL-296</t>
  </si>
  <si>
    <t>Contact_Lens/CL-297</t>
  </si>
  <si>
    <t>Contact_Lens/CL-298</t>
  </si>
  <si>
    <t>Contact_Lens/CL-299</t>
  </si>
  <si>
    <t>Contact_Lens/CL-300</t>
  </si>
  <si>
    <t>Contact_Lens/CL-324</t>
  </si>
  <si>
    <t>Contact_Lens/CL-326</t>
  </si>
  <si>
    <t>Contact_Lens/CL-327</t>
  </si>
  <si>
    <t>Contact_Lens/CL-440</t>
  </si>
  <si>
    <t>Contact_Lens/CL-442</t>
  </si>
  <si>
    <t>Contact_Lens/CL-328</t>
  </si>
  <si>
    <t>Contact_Lens/CL-329</t>
  </si>
  <si>
    <t>Contact_Lens/CL-330</t>
  </si>
  <si>
    <t>Contact_Lens/CL-331</t>
  </si>
  <si>
    <t>Contact_Lens/CL-340</t>
  </si>
  <si>
    <t>Contact_Lens/CL-341</t>
  </si>
  <si>
    <t>Contact_Lens/CL-342</t>
  </si>
  <si>
    <t>Contact_Lens/CL-344</t>
  </si>
  <si>
    <t>Contact_Lens/CL-345</t>
  </si>
  <si>
    <t>Contact_Lens/CL-349</t>
  </si>
  <si>
    <t>Contact_Lens/CL-353</t>
  </si>
  <si>
    <t>Contact_Lens/CL-364</t>
  </si>
  <si>
    <t>Contact_Lens/CL-380</t>
  </si>
  <si>
    <t>Contact_Lens/CL-385</t>
  </si>
  <si>
    <t>Contact_Lens/CL-386</t>
  </si>
  <si>
    <t>Contact_Lens/CL-387</t>
  </si>
  <si>
    <t>Contact_Lens/CL-388</t>
  </si>
  <si>
    <t>Contact_Lens/CL-389</t>
  </si>
  <si>
    <t>Contact_Lens/CL-391</t>
  </si>
  <si>
    <t>Contact_Lens/CL-392</t>
  </si>
  <si>
    <t>Contact_Lens/CL-395</t>
  </si>
  <si>
    <t>Contact_Lens/CL-396</t>
  </si>
  <si>
    <t>Contact_Lens/CL-397</t>
  </si>
  <si>
    <t>Contact_Lens/CL-398</t>
  </si>
  <si>
    <t>Contact_Lens/CL-401</t>
  </si>
  <si>
    <t>Contact_Lens/CL-402</t>
  </si>
  <si>
    <t>Contact_Lens/CL-417</t>
  </si>
  <si>
    <t>Contact_Lens/CL-418</t>
  </si>
  <si>
    <t>Contact_Lens/CL-419</t>
  </si>
  <si>
    <t>Contact_Lens/CL-420</t>
  </si>
  <si>
    <t>Contact_Lens/CL-425</t>
  </si>
  <si>
    <t>Contact_Lens/CL-426</t>
  </si>
  <si>
    <t>Contact_Lens/CL-430</t>
  </si>
  <si>
    <t>Contact_Lens/CL-431</t>
  </si>
  <si>
    <t>Contact_Lens/CL-432</t>
  </si>
  <si>
    <t>Contact_Lens/CL-433</t>
  </si>
  <si>
    <t>Contact_Lens/CL-434</t>
  </si>
  <si>
    <t>Contact_Lens/CL-438</t>
  </si>
  <si>
    <t>controls:Contact_Lens/CL-243</t>
  </si>
  <si>
    <t>controls:Contact_Lens/CL-258</t>
  </si>
  <si>
    <t>controls:Contact_Lens/CL-262</t>
  </si>
  <si>
    <t>controls:Contact_Lens/CL-264</t>
  </si>
  <si>
    <t>controls:Contact_Lens/CL-272</t>
  </si>
  <si>
    <t>controls:Contact_Lens/CL-278</t>
  </si>
  <si>
    <t>controls:Contact_Lens/CL-279</t>
  </si>
  <si>
    <t>controls:Contact_Lens/CL-283</t>
  </si>
  <si>
    <t>controls:Contact_Lens/CL-284</t>
  </si>
  <si>
    <t>controls:Contact_Lens/CL-288</t>
  </si>
  <si>
    <t>controls:Contact_Lens/CL-289</t>
  </si>
  <si>
    <t>controls:Contact_Lens/CL-290</t>
  </si>
  <si>
    <t>controls:Contact_Lens/CL-292</t>
  </si>
  <si>
    <t>controls:Contact_Lens/CL-293</t>
  </si>
  <si>
    <t>controls:Contact_Lens/CL-294</t>
  </si>
  <si>
    <t>controls:Contact_Lens/CL-296</t>
  </si>
  <si>
    <t>controls:Contact_Lens/CL-297</t>
  </si>
  <si>
    <t>controls:Contact_Lens/CL-298</t>
  </si>
  <si>
    <t>controls:Contact_Lens/CL-299</t>
  </si>
  <si>
    <t>controls:Contact_Lens/CL-300</t>
  </si>
  <si>
    <t>controls:Contact_Lens/CL-324</t>
  </si>
  <si>
    <t>controls:Contact_Lens/CL-326</t>
  </si>
  <si>
    <t>controls:Contact_Lens/CL-327</t>
  </si>
  <si>
    <t>controls:Contact_Lens/CL-440</t>
  </si>
  <si>
    <t>controls:Contact_Lens/CL-442</t>
  </si>
  <si>
    <t>controls:Contact_Lens/CL-344</t>
  </si>
  <si>
    <t>controls:Contact_Lens/CL-349</t>
  </si>
  <si>
    <t>controls:Contact_Lens/CL-353</t>
  </si>
  <si>
    <t>controls:Contact_Lens/CL-364</t>
  </si>
  <si>
    <t>controls:Contact_Lens/CL-385</t>
  </si>
  <si>
    <t>controls:Contact_Lens/CL-386</t>
  </si>
  <si>
    <t>controls:Contact_Lens/CL-389</t>
  </si>
  <si>
    <t>controls:Contact_Lens/CL-391</t>
  </si>
  <si>
    <t>controls:Contact_Lens/CL-392</t>
  </si>
  <si>
    <t>controls:Contact_Lens/CL-395</t>
  </si>
  <si>
    <t>controls:Contact_Lens/CL-398</t>
  </si>
  <si>
    <t>controls:Contact_Lens/CL-401</t>
  </si>
  <si>
    <t>controls:Contact_Lens/CL-402</t>
  </si>
  <si>
    <t>controls:Contact_Lens/CL-420</t>
  </si>
  <si>
    <t>controls:Contact_Lens/CL-438</t>
  </si>
  <si>
    <t>controls:Contact_Lens/CL-259, controls:Contact_Lens/CL-260, controls:Contact_Lens/CL-261</t>
  </si>
  <si>
    <t>controls:Contact_Lens/CL-269, controls:Contact_Lens/CL-340</t>
  </si>
  <si>
    <t>controls:Contact_Lens/CL-328, controls:Contact_Lens/CL-329, controls:Contact_Lens/CL-330, controls:Contact_Lens/CL-331, controls:Contact_Lens/CL-341, controls:Contact_Lens/CL-342, controls:Contact_Lens/CL-380</t>
  </si>
  <si>
    <t>controls:Contact_Lens/CL-387, controls:Contact_Lens/CL-388, controls:Contact_Lens/CL-397</t>
  </si>
  <si>
    <t>controls:Contact_Lens/CL-396, controls:Contact_Lens/CL-425, controls:Contact_Lens/CL-426, controls:Contact_Lens/CL-433, controls:Contact_Lens/CL-434</t>
  </si>
  <si>
    <t>controls:Contact_Lens/CL-417, controls:Contact_Lens/CL-418, controls:Contact_Lens/CL-419</t>
  </si>
  <si>
    <t>controls:Contact_Lens/CL-430, controls:Contact_Lens/CL-431, controls:Contact_Lens/CL-432</t>
  </si>
  <si>
    <r>
      <t xml:space="preserve">Hazard
</t>
    </r>
    <r>
      <rPr>
        <sz val="11"/>
        <color theme="1"/>
        <rFont val="Times New Roman"/>
        <family val="1"/>
      </rPr>
      <t>(potential source of harm)</t>
    </r>
  </si>
  <si>
    <t>Hazard
ID</t>
  </si>
  <si>
    <r>
      <t xml:space="preserve">Hazardous Situation
</t>
    </r>
    <r>
      <rPr>
        <sz val="11"/>
        <color theme="1"/>
        <rFont val="Times New Roman"/>
        <family val="1"/>
      </rPr>
      <t>(circumstance in which people, property or the environment
is/are exposed to one or more hazards)</t>
    </r>
  </si>
  <si>
    <r>
      <t xml:space="preserve">Potential Harm(s)
</t>
    </r>
    <r>
      <rPr>
        <sz val="11"/>
        <rFont val="Times New Roman"/>
        <family val="1"/>
      </rPr>
      <t>(injury or damage to the health of people, or damage to property or the environment)</t>
    </r>
  </si>
  <si>
    <r>
      <t xml:space="preserve">Severity
</t>
    </r>
    <r>
      <rPr>
        <sz val="11"/>
        <color theme="1"/>
        <rFont val="Times New Roman"/>
        <family val="1"/>
      </rPr>
      <t>(measure of the possible consequences of a hazard)</t>
    </r>
  </si>
  <si>
    <r>
      <t xml:space="preserve">Severity Rating Rationale
</t>
    </r>
    <r>
      <rPr>
        <sz val="11"/>
        <color theme="1"/>
        <rFont val="Times New Roman"/>
        <family val="1"/>
      </rPr>
      <t xml:space="preserve">(Determined by Severity Rating Board per </t>
    </r>
    <r>
      <rPr>
        <b/>
        <sz val="11"/>
        <color rgb="FF0000FF"/>
        <rFont val="Times New Roman"/>
        <family val="1"/>
      </rPr>
      <t>QA-0370</t>
    </r>
    <r>
      <rPr>
        <sz val="11"/>
        <color theme="1"/>
        <rFont val="Times New Roman"/>
        <family val="1"/>
      </rPr>
      <t xml:space="preserve"> and
Medical Safety Officer, an independent medical authority, per </t>
    </r>
    <r>
      <rPr>
        <b/>
        <sz val="11"/>
        <color rgb="FF0000FF"/>
        <rFont val="Times New Roman"/>
        <family val="1"/>
      </rPr>
      <t>QP-0151</t>
    </r>
    <r>
      <rPr>
        <sz val="11"/>
        <color theme="1"/>
        <rFont val="Times New Roman"/>
        <family val="1"/>
      </rPr>
      <t>)</t>
    </r>
  </si>
  <si>
    <t>BIOLOGICAL</t>
  </si>
  <si>
    <t>Lenses are not sterilized.                                                                                             
Non-sterile colonized with pathogenic microbes lenses are shipped to user. 
The user inserts the non-sterile colonized lens into their eye and develops an infection.</t>
  </si>
  <si>
    <t>Eye infection, Infective corneal ulcer</t>
  </si>
  <si>
    <r>
      <t xml:space="preserve">Rationale for severity level is risk of infection. Contact lenses must be supplied sterile to reduce risk of infection.
</t>
    </r>
    <r>
      <rPr>
        <sz val="10"/>
        <color indexed="8"/>
        <rFont val="Times New Roman"/>
        <family val="1"/>
      </rPr>
      <t>•</t>
    </r>
    <r>
      <rPr>
        <sz val="8"/>
        <color indexed="8"/>
        <rFont val="Times New Roman"/>
        <family val="1"/>
      </rPr>
      <t xml:space="preserve"> </t>
    </r>
    <r>
      <rPr>
        <sz val="10"/>
        <color rgb="FF000000"/>
        <rFont val="Times New Roman"/>
        <family val="1"/>
      </rPr>
      <t>HHE# 2012-011 - Differ. identified in heat-up/cool down cycles on Sterilizers for Lines 34-37, qualification and prod. recipes 12 Jan 07 and present 22 Aug. 12 (Global 360)</t>
    </r>
    <r>
      <rPr>
        <sz val="10"/>
        <color indexed="8"/>
        <rFont val="Times New Roman"/>
        <family val="1"/>
      </rPr>
      <t xml:space="preserve">
•</t>
    </r>
    <r>
      <rPr>
        <sz val="8"/>
        <color indexed="8"/>
        <rFont val="Times New Roman"/>
        <family val="1"/>
      </rPr>
      <t xml:space="preserve"> </t>
    </r>
    <r>
      <rPr>
        <sz val="10"/>
        <color indexed="8"/>
        <rFont val="Times New Roman"/>
        <family val="1"/>
      </rPr>
      <t>HHE# 2013-0007 - Pre-Sterile Lens Bio burden Product Hold Limit (Global 360)</t>
    </r>
  </si>
  <si>
    <t xml:space="preserve">Package seal integrity is compromised. Examples: Channels or voids in the seal, object interfering with seal area formation, weak seal, lid stock misaligned or punctured.
Lens becomes non-sterile and is colonized with pathogenic microbes. 
The user inserts the non-sterile colonized lens into their eye and develops an infection. </t>
  </si>
  <si>
    <t>Rationale for severity level is risk of infection. Contact lenses must be supplied sterile to reduce risk of infection.
• HHE# 2012-017 - Investigational Product Package Seal Integrity Non- Conformance Associated with Abbreviated- IDE Studies (Global 360)
• HHE# 2012-020 - Package Integrity Failures Associated w/1 Day Acuvue Moist Manufactured on Line 11 (Global 360)</t>
  </si>
  <si>
    <t>Packaging Failure                                                                              
Packaging does not protect the product during the entire shelf life. 
Protective sterile barrier becomes compromised over time and the lens becomes colonized with pathogenic microbes. 
The user inserts the non-sterile colonized lens into their eye and develops an infection.</t>
  </si>
  <si>
    <t>Rationale for severity level is risk of infection. Contact lenses must be supplied sterile to reduce risk of infection.
• HHE# 2012-001 - Stability Data does not meet Ecuador's Medical Device Regulations (Global 360)
• HHE# 2013-0007 - Pre-Sterile Lens Bio burden Product Hold Limit (Global 360)</t>
  </si>
  <si>
    <t xml:space="preserve">There is a foreign body embedded within the seal of the primary package.
Lens may become non-sterile. 
The user inserts the non-sterile lens into their eye but does not develop an infection but may experience signs and symptoms.  </t>
  </si>
  <si>
    <t>Conjunctivitis, Eye swelling, Eye Inflammation, Hypersensitivity, Keratitis</t>
  </si>
  <si>
    <t>HHE: VIS-TD-102494/2: JFMDA Health Hazard Evaluation (HHE) Sheet concerning Investigation into Customer Complaint Identification (ID) 1-485936414, 1-935979869, and 1-1115345282 (PLM)
Micro-Memo -US-16-021: Sterility Assessment of Stainless Steel Bristle Complaint
2011-09-09: Health Hazard Evaluation of Products with Package Integrity Failure (PIF) Defects Associated with 2GT and 3GT Manufacturing Platform Product (Global 360)</t>
  </si>
  <si>
    <t xml:space="preserve">The seal layer of the lidstock is delaminated or delaminates during opening of the package.
Lens remains sterile and hydrated. 
The user manages to open the seal layer and remove the lens.
The User inserts the sterile, hydrated lens into their eye.
There is no harm as the lens was sterile. </t>
  </si>
  <si>
    <t>No Impact to Health and Safety</t>
  </si>
  <si>
    <t>Bioburden</t>
  </si>
  <si>
    <t xml:space="preserve">Water (DI or purified water) introduced into the hydration process and/or primary package contains unsafe bioburden levels.
The lenses produced with water containing elevated levels of bioburden are not sterile.
Non-sterile lenses become colonized with pathogenic microbes and are shipped to a user.
The user inserts the non-sterile colonized lens into their eye and develops an infection.
</t>
  </si>
  <si>
    <t>Rationale for severity level is contained in the New  Harm, Hazard, Hazardous Situation Evaluation Identification Request Form: 04/18/2017:
Serious Injury or Illness as determined by the SMEs and Medical Professionals performing the evaluation.
The evaluation is recorded in VIS-TD-101397</t>
  </si>
  <si>
    <t xml:space="preserve">Water (DI or purified water) introduced into the hydration process and/or primary package contains elevated bioburden levels that remain after sterilization.
The lenses produced with water containing elevated levels of bioburden are not sterile.
Non-sterile lenses do not become colonized with pathogenic microbes and are shipped to a user.
The user inserts the non-sterile non-colonized lens into their eye and may experience signs or symptoms.
</t>
  </si>
  <si>
    <t>Rationale for severity level is contained in the New  Harm, Hazard, Hazardous Situation Evaluation Identification Request Form: 04/18/2017: Non-Serious Injury or Illness as determined by the SMEs and Medical Professionals performing the evaluation.
The evaluation is recorded in VIS-TD-101397</t>
  </si>
  <si>
    <t>Bioburden in a Combination Product</t>
  </si>
  <si>
    <t xml:space="preserve">The handling and delivery of batches of BKS from inventory to the line was not performed per procedure resulting in bioburden contamination of the BKS. 
The lenses produced with BKS containing elevated levels of bioburden are not sterile.
Non-sterile lenses become colonized with pathogenic microbes and are shipped to a user.
The user inserts the non-sterile colonized lens into their eye and develops an infection.
</t>
  </si>
  <si>
    <t>Rationale for severity level is contained in the New  Harm, Hazard, Hazardous Situation Evaluation Identification Request Form: 04/18/2017: Serious Injury or Illness as determined by the SMEs and Medical Professionals performing the evaluation.
The evaluation is recorded in VIS-TD-101397</t>
  </si>
  <si>
    <t xml:space="preserve">The handling and delivery of batches of BKS from inventory to the line was not performed per procedure resulting in bioburden contamination of the BKS.
The lenses produced with BKS containing elevated levels of bioburden are not sterile.
The non-sterile lenses do not become colonized with pathogenic microbes and are shipped to a user.
The user inserts the non-sterile non-colonized lens into their eye but does not develop an infection but may experience signs and symptoms.
</t>
  </si>
  <si>
    <t xml:space="preserve">The cleaning and sanitization process was not performed per procedure resulting in bioburden contamination of the BKS.
The lenses produced with BKS containing elevated levels of bioburden are not sterile.
Non-sterile lenses become colonized with pathogenic microbes and are shipped to a user.
The user inserts the non-sterile colonized lens into their eye and develops an infection.
</t>
  </si>
  <si>
    <t xml:space="preserve">The cleaning and sanitization process was not performed per procedure resulting in bioburden contamination of the BKS. 
The lenses produced with BKS containing elevated levels of bioburden are not sterile.
Non-sterile lenses do not become colonized with pathogenic microbes and are shipped to a user.
The user inserts the non-sterile non-colonized lens into their eye and may experience signs or symptoms.
</t>
  </si>
  <si>
    <t xml:space="preserve">The environment where BKS dispensing and primary package heat sealing occurs has not been cleaned per procedure resulting in bioburden contamination of the BKS.
The lenses produced with BKS containing elevated levels of bioburden are not sterile.
Non-sterile lenses become colonized with pathogenic microbes and are shipped to a user.
The user inserts the non-sterile colonized lens into their eye and develops an infection.
</t>
  </si>
  <si>
    <t xml:space="preserve">The environment where BKS dispensing and primary package heat sealing occurs has not been cleaned per procedure resulting in bioburden contamination of the BKS. 
The lenses produced with BKS containing elevated levels of bioburden are not sterile.
Non-sterile lenses do not become colonized with pathogenic microbes and are shipped to a user.
The user inserts the non-sterile non-colonized lens into their eye and may experience signs or symptoms.
</t>
  </si>
  <si>
    <t xml:space="preserve">There is water on the heat seal ring which causes the Package seal integrity to be compromised. Examples: Channels or voids in the seal. 
Lens becomes non-sterile and is colonized with pathogenic microbes. 
The user inserts the non-sterile colonized lens into their eye and develops an infection.
</t>
  </si>
  <si>
    <t>Rationale for severity level is contained in the New  Harm, Hazard, Hazardous Situation Evaluation Identification Request Form: 05/30/2017: Serious Injury or Illness as determined by the SMEs and Medical Professionals performing the evaluation.
The evaluation is recorded in VIS-TD-101397</t>
  </si>
  <si>
    <t xml:space="preserve">There is water on the heat seal ring which causes the Package seal integrity to be compromised. Examples: Channels or voids in the seal.
Lens becomes non-sterile but is not colonized with pathogenic microbes. 
The user inserts the non-sterile lens into their eye and may experience signs and or symptoms.
</t>
  </si>
  <si>
    <t>Rationale for severity level is contained in the New  Harm, Hazard, Hazardous Situation Evaluation Identification Request Form: 05/30/2017: Non-Serious Injury or Illness as determined by the SMEs and Medical Professionals performing the evaluation.
The evaluation is recorded in VIS-TD-101397</t>
  </si>
  <si>
    <t xml:space="preserve">Water (DI or purified water) used to make the BKS contains unsafe bioburden levels. 
The BKS introduced into the primary package contains unsafe bioburden levels.
The lenses produced with water containing elevated levels of bioburden are not sterile.
Non-sterile lenses become colonized with pathogenic microbes and are shipped to a user.
The user inserts the non-sterile colonized lens into their eye and develops an infection.
</t>
  </si>
  <si>
    <t xml:space="preserve">Water (DI or purified water) used to make the BKS contains unsafe bioburden levels. 
The BKS introduced into the primary package contains unsafe bioburden levels.
The lenses produced with water containing elevated levels of bioburden are not sterile.
Non-sterile lenses do not become colonized with pathogenic microbes and are shipped to a user.
The user inserts the non-sterile non-colonized lens into their eye and may experience signs or symptoms.
</t>
  </si>
  <si>
    <t>Rationale for severity level is contained in the New  Harm, Hazard, Hazardous Situation Evaluation Identification Request Form: 05/02/2018: Non-Serious Injury or Illness as determined by the Medical Safety Officer and Medical Professionals performing the evaluation. The evaluation is recorded in VIS-TD-101397.
Non-Serious Injury or Illness as determined by the Medical Safety Officer and documented in VIS-TD-104330: Assigning a Harm and Severity Rating to Biological Foreign Matter, dated March 15, 2018</t>
  </si>
  <si>
    <t>Biological foreign matter present in the primary package</t>
  </si>
  <si>
    <t>Biological foreign matter present in the primary package is sterile but releases toxins or endotoxins to the ocular environment of the user.
The toxins or endotoxins leads to the user experiencing an inflammatory event.</t>
  </si>
  <si>
    <t>Rationale for severity level is contained in the New  Harm, Hazard, Hazardous Situation Evaluation Identification Request Form (05/02/2018): Non-Serious Injury or Illness as determined by the SMEs and Medical Professionals performing the evaluation. The evaluation is recorded in VIS-TD-101397 and VIS-TD-107958.
Non-Serious Injury or Illness as determined by the Medical Safety Officer and documented in VIS-TD-104330: Assigning a Harm and Severity Rating to Biological Foreign Matter, dated March 15, 2018
Position papers related to the endotoxin testing justifications:
• VIS-VALDOC-020615 (Justification for not including Bacterial Endotoxin Testing in In-Process or Finished Product)
• VIS-VALDOC-014727 (Endotoxin Testing Justification for APOLLO)
• VIS-VALDOC-020856 (JJV IRE Base Business Endotoxin Testing Position Paper)</t>
  </si>
  <si>
    <t>A customer receives contact lenses in a plastic oval hard case secondary package containing mold on or inside the case. Mold on or inside an oval hard case does not constitute a harm to the user.</t>
  </si>
  <si>
    <t xml:space="preserve">Rationale for severity level is contained in the New  Harm, Hazard, Hazardous Situation Evaluation Identification Request Form: 07/24/2018: After review of technical memorandum (VIS-TD-104659/2) and discussion the evaluation team had determined that mold on or inside the oval hard case does not constitute a harm to the user.The evaluation is recorded in VIS-TD-101397.
</t>
  </si>
  <si>
    <t>Serious Injury or Illness</t>
  </si>
  <si>
    <r>
      <t xml:space="preserve">The Severity Rating Board rated the new hazard as a severity of 5 due to the potential harm of infection which is a serious illness or injury, per </t>
    </r>
    <r>
      <rPr>
        <b/>
        <sz val="10"/>
        <color rgb="FF0000FF"/>
        <rFont val="Times New Roman"/>
        <family val="1"/>
      </rPr>
      <t>QA-0370</t>
    </r>
    <r>
      <rPr>
        <sz val="10"/>
        <rFont val="Times New Roman"/>
        <family val="1"/>
      </rPr>
      <t>. The Board noted that the probability of occurrence is extremely low.  The evaluation is recorded in VIS-TD-101397. Refer to VIS-TD-106367 (Assessment of Animal Derived Components and BSE/TSE in JJVC Products).</t>
    </r>
  </si>
  <si>
    <t>Serious Injury or Illness (e.g. Eye infection, Infective corneal ulcer)</t>
  </si>
  <si>
    <r>
      <t xml:space="preserve">The Severity Rating Board determined that an eye infection is a serious injury or illness, Severity of 5, as per </t>
    </r>
    <r>
      <rPr>
        <b/>
        <sz val="10"/>
        <color rgb="FF0000FF"/>
        <rFont val="Times New Roman"/>
        <family val="1"/>
      </rPr>
      <t>QA-0370</t>
    </r>
    <r>
      <rPr>
        <sz val="10"/>
        <rFont val="Times New Roman"/>
        <family val="1"/>
      </rPr>
      <t>.  Refer to RMB-10-2022 (REACT reference number PIE-2137104) and PIE-2105034. The evaluation is recorded in VIS-TD-101397 and VIS-TD-109070.</t>
    </r>
  </si>
  <si>
    <t>Non-Serious Injury or Illness (e.g. Conjunctivitis, Eye swelling, Eye Inflammation, Hypersensitivity, Keratitis)</t>
  </si>
  <si>
    <r>
      <t xml:space="preserve">The Severity Rating Board determined that eye inflammation is a non-serious injury or illness, Severity of 4, as per </t>
    </r>
    <r>
      <rPr>
        <b/>
        <sz val="10"/>
        <color rgb="FF0000FF"/>
        <rFont val="Times New Roman"/>
        <family val="1"/>
      </rPr>
      <t>QA-0370</t>
    </r>
    <r>
      <rPr>
        <sz val="10"/>
        <rFont val="Times New Roman"/>
        <family val="1"/>
      </rPr>
      <t>. The evaluation is recorded in VIS-TD-101397 and VIS-TD-109070.</t>
    </r>
  </si>
  <si>
    <r>
      <t xml:space="preserve">The Severity Rating Board determined that there was no impact to health and safety, Severity of ≤ 3, as per </t>
    </r>
    <r>
      <rPr>
        <b/>
        <sz val="10"/>
        <color rgb="FF0000FF"/>
        <rFont val="Times New Roman"/>
        <family val="1"/>
      </rPr>
      <t>QA-0370</t>
    </r>
    <r>
      <rPr>
        <sz val="10"/>
        <rFont val="Times New Roman"/>
        <family val="1"/>
      </rPr>
      <t>. The evaluation is recorded in VIS-TD-101397 and VIS-TD-109070.</t>
    </r>
  </si>
  <si>
    <t>CHEMICAL</t>
  </si>
  <si>
    <r>
      <t xml:space="preserve">Materials used to manufacture contact lens, packaging, solutions, adhesives and labels, do not meet the requirements for safety, performance, manufacture, handling, and compatibility with other materials with which they come into contact.
</t>
    </r>
    <r>
      <rPr>
        <sz val="10"/>
        <rFont val="Times New Roman"/>
        <family val="1"/>
      </rPr>
      <t>There is an unanticipated interaction between the components.</t>
    </r>
    <r>
      <rPr>
        <sz val="10"/>
        <color theme="1"/>
        <rFont val="Times New Roman"/>
        <family val="1"/>
      </rPr>
      <t xml:space="preserve">
User receives and wears a lens that was produced from substandard or incompatible materials and may experience an adverse reaction to the lens or experience discomfort prompting removal of the lens from their eye.  
</t>
    </r>
  </si>
  <si>
    <t>Rationale for severity level is a minor medical condition that most often resolves itself.
•  2011-12-19: Health Hazard Evaluation of Foreign Matter / Crystal Violet in Contact Lenses
 (as presented in ITR-4408) (Global 360)</t>
  </si>
  <si>
    <t xml:space="preserve">Lenses are released with a non-conforming level of decanoic acid (DA).                                                                                                       User receives the lenses with a non-conforming level of DA.
User unknowingly inserts a lens into their eye that has the non-conforming level of DA and experiences discomfort prompting removal of the lens from their eye.                                                                                                                                                                             </t>
  </si>
  <si>
    <t>Rationale for severity level is contained in VIS-TD-100575: Rationale for Process Aids Severity Classification.
VIS-TOX-005050: Preclinical Ocular Safety Assessment of Process Aids.
The leachable specification for DA is contained in the material specific Product Characteristic (PC) document.</t>
  </si>
  <si>
    <r>
      <t xml:space="preserve">Lenses are released with a non-conforming level of dimethylsiloxane-ethylene oxide block copolymer (DBE-821).
User </t>
    </r>
    <r>
      <rPr>
        <sz val="10"/>
        <color indexed="8"/>
        <rFont val="Times New Roman"/>
        <family val="1"/>
      </rPr>
      <t>receives the lenses with a non-conforming level of DBE-821.
User unknowingly inserts a lens into their eye that has the</t>
    </r>
    <r>
      <rPr>
        <sz val="10"/>
        <rFont val="Times New Roman"/>
        <family val="1"/>
      </rPr>
      <t xml:space="preserve"> a non-conforming</t>
    </r>
    <r>
      <rPr>
        <sz val="10"/>
        <color indexed="8"/>
        <rFont val="Times New Roman"/>
        <family val="1"/>
      </rPr>
      <t xml:space="preserve"> level of DBE-821 and experiences discomfort prompting removal of the lens from their eye.                                       </t>
    </r>
  </si>
  <si>
    <t>Rationale for severity level is contained in VIS-TD-100575: Rationale for Process Aids Severity Classification.
VIS-TOX-005050: Preclinical Ocular Safety Assessment of Process Aids.
The leachable specification for DBE-821 is contained in the material specific Product Characteristic (PC) document.
The product guideline for DBE-821 is contained in VIS-TD-101003.</t>
  </si>
  <si>
    <r>
      <t xml:space="preserve">Lenses are released with a non-conforming level of tripropylene glycol methyl ether (TPME).
User </t>
    </r>
    <r>
      <rPr>
        <sz val="10"/>
        <color indexed="8"/>
        <rFont val="Times New Roman"/>
        <family val="1"/>
      </rPr>
      <t>receives the lenses with a non-conforming level of TPME.
User unknowingly inserts a lens into their eye that has the</t>
    </r>
    <r>
      <rPr>
        <sz val="10"/>
        <rFont val="Times New Roman"/>
        <family val="1"/>
      </rPr>
      <t xml:space="preserve"> non-conforming</t>
    </r>
    <r>
      <rPr>
        <sz val="10"/>
        <color indexed="8"/>
        <rFont val="Times New Roman"/>
        <family val="1"/>
      </rPr>
      <t xml:space="preserve"> level of TPME and experiences discomfort prompting removal of the lens from their eye.</t>
    </r>
  </si>
  <si>
    <t>Rationale for severity level is contained in VIS-TD-100575.
The leachable specification for TPME is contained in the material specific Product Characteristic (PC) document.</t>
  </si>
  <si>
    <r>
      <t xml:space="preserve">Lenses are released with a non-conforming level of Isopropyl Lactate (IPL). 
User </t>
    </r>
    <r>
      <rPr>
        <sz val="10"/>
        <color indexed="8"/>
        <rFont val="Times New Roman"/>
        <family val="1"/>
      </rPr>
      <t>receives the lenses with</t>
    </r>
    <r>
      <rPr>
        <sz val="10"/>
        <rFont val="Times New Roman"/>
        <family val="1"/>
      </rPr>
      <t xml:space="preserve"> a non-conforming</t>
    </r>
    <r>
      <rPr>
        <sz val="10"/>
        <color indexed="8"/>
        <rFont val="Times New Roman"/>
        <family val="1"/>
      </rPr>
      <t xml:space="preserve"> level of IPL.
User unknowingly inserts a lens into their eye that has the non-conforming level of IPL and experiences discomfort prompting removal of the lens from their eye.</t>
    </r>
  </si>
  <si>
    <t>Rationale for severity level is contained in VIS-TD-100575.
The leachable specification for IPL is contained in the material specific Product Characteristic (PC) document. 
The product guideline for IPL is contained in VIS-TD-100912.</t>
  </si>
  <si>
    <r>
      <t xml:space="preserve">Lenses are released with a non-conforming level of </t>
    </r>
    <r>
      <rPr>
        <sz val="10"/>
        <color indexed="8"/>
        <rFont val="Times New Roman"/>
        <family val="1"/>
      </rPr>
      <t>1-ethoxy-2-propanol (1E2P).
User receives the lenses with a non-conforming level of 1E2P.
User unknowingly inserts a lens into their eye that has the non-conforming level of 1E2P and experiences discomfort prompting removal of the lens from their eye.</t>
    </r>
  </si>
  <si>
    <t>Rationale for severity level is contained in VIS-TD-100575
The leachable specification for 1E2P is contained in the material specific Product Characteristic (PC) document.
The product guideline for 1E2P is contained in VIS-TD-100912.</t>
  </si>
  <si>
    <r>
      <t>Lenses are released with a non-conforming level of</t>
    </r>
    <r>
      <rPr>
        <sz val="10"/>
        <color indexed="8"/>
        <rFont val="Times New Roman"/>
        <family val="1"/>
      </rPr>
      <t xml:space="preserve"> 1-propanol (PA).
User receives the lenses with a non-conforming level of PA.
User unknowingly inserts a lens into their eye that has the non-conforming level of PA and experiences discomfort prompting removal of the lens from their eye.</t>
    </r>
  </si>
  <si>
    <t>Rationale for severity level is contained in VIS-TD-100575
The leachable specification for PA is contained in the material specific Product Characteristic (PC) document.
The product guideline for PA is contained in VIS-TD-100912.</t>
  </si>
  <si>
    <t>Rationale for severity level is contained in VIS-TD-100575.
The product guideline for BHT is contained in VIS-TD-100436 and VIS-TD-101003.</t>
  </si>
  <si>
    <r>
      <t>Lenses are released with a non-conforming level of</t>
    </r>
    <r>
      <rPr>
        <sz val="10"/>
        <color indexed="8"/>
        <rFont val="Times New Roman"/>
        <family val="1"/>
      </rPr>
      <t xml:space="preserve"> tertiary-amyl alcohol (t-amyl).
User receives the lenses with a non-conforming level of t-amyl.
User unknowingly inserts a lens into their eye that has the non-conforming level of t-amyl and experiences discomfort prompting removal of the lens from their eye.</t>
    </r>
  </si>
  <si>
    <t>Rationale for severity level is contained in VIS-TD-100575: Rationale for Process Aids Severity Classification.
VIS-TOX-005050: Preclinical Ocular Safety Assessment of Process Aids.
The product guideline for t-amyl is contained in VIS-TD-101003.</t>
  </si>
  <si>
    <t>Lenses are released with a non-conforming level of Span 80 (sorbitan oleate).
User receives the lenses with a non-conforming level of Span 80.
User unknowingly inserts a lens into their eye that has the non-conforming level of Span 80 and experiences discomfort prompting removal of the lens from their eye.</t>
  </si>
  <si>
    <t>Rationale for severity level is contained in VIS-TD-100575: Rationale for Process Aids Severity Classification.
VIS-TOX-005050: Preclinical Ocular Safety Assessment of Process Aids.
The leachable specification for Span 80 is contained in the material specific Product Characteristic (PC) document.
The product guideline for Span80 contained in VIS-TD-100912.</t>
  </si>
  <si>
    <t xml:space="preserve">Rationale for severity level is contained in VIS-TD-100575: Rationale for Process Aids Severity Classification.
VIS-TOX-005050: Preclinical Ocular Safety Assessment of Process Aids.
The product guideline for D3O is contained in technical memo date 12-January-2012 by Dr. Turner
</t>
  </si>
  <si>
    <t>Lenses are released with a non-conforming level of Boric acid glycerol ester (BAGE).                                      
User receives the lenses with a non-conforming level of BAGE and inserts a lens into their eye.
The non-conforming level of BAGE may cause the user to experience discomfort prompting removal of the lens from their eye.</t>
  </si>
  <si>
    <t>Rationale for severity level is contained in VIS-TD-100575: Rationale for Process Aids Severity Classification.
VIS-TOX-005050: Preclinical Ocular Safety Assessment of Process Aids. 
The leachable specification for BAGE is contained in the material specific Product Characteristic (PC) document.
The product guideline for BAGE is contained in VIS-TD-100912.</t>
  </si>
  <si>
    <t>Lenses are released with a non-conforming level of polysorbate 80 (TWEEN 80).
User receives the lenses with a non-conforming level of TWEEN 80 and inserts a lens into their eye.
The non-conforming level of TWEEN 80 may cause the user to experience a stinging sensation prompting removal of the lens from their eye.</t>
  </si>
  <si>
    <t>Rationale for severity level is contained in VIS-TD-100575: Rationale for Process Aids Severity Classification.
VIS-TOX-005050: Preclinical Ocular Safety Assessment of Process Aids. 
The leachable specification for Tween80 is contained in the material specific Product Characteristic (PC) document.
The product guideline for Tween80 is contained in VIS-TD-100912.</t>
  </si>
  <si>
    <r>
      <t>Lenses are released with a non-conforming level of</t>
    </r>
    <r>
      <rPr>
        <sz val="10"/>
        <color indexed="8"/>
        <rFont val="Times New Roman"/>
        <family val="1"/>
      </rPr>
      <t xml:space="preserve"> PVP 2500 (PVP-K12).
User receives the lenses with a non-conforming level of PVP 2500.
User unknowingly inserts a lens into their eye that has the non-conforming level of  PVP 2500 and experiences discomfort prompting removal of the lens from their eye.                                        </t>
    </r>
  </si>
  <si>
    <t>Rationale for severity level is contained in VIS-TD-100575. 
The product guideline for PVP-K12 is contained in VIS-TD-101003.</t>
  </si>
  <si>
    <r>
      <t>Lenses are released with a non-conforming level of</t>
    </r>
    <r>
      <rPr>
        <sz val="10"/>
        <color indexed="8"/>
        <rFont val="Times New Roman"/>
        <family val="1"/>
      </rPr>
      <t xml:space="preserve"> propylene glycol (PG).
User receives the lenses with a non-conforming level of PG.
User unknowingly inserts a lens into their eye that has the non-conforming level of PG and experiences discomfort prompting removal of the lens from their eye.</t>
    </r>
  </si>
  <si>
    <t>Rationale for severity level is contained in VIS-TD-100575. 
The product guideline for PG is contained in VIS-TD-101003.</t>
  </si>
  <si>
    <t>Lenses are released with a non-conforming level of polyethylene glycol 150 distearate (PEG150DS). User receives the lenses with a non-conforming level of PEG150DS.
User unknowingly inserts a lens into their eye with a non-conforming level of PEG150DS and experiences discomfort prompting removal of the lens from their eye.</t>
  </si>
  <si>
    <t>Rationale for severity level is contained in VIS-TD-100575: Rationale for Process Aids Severity Classification.
VIS-TOX-005050: Preclinical Ocular Safety Assessment of Process Aids.
The product guideline for PEG150DS is contained in VIS-TD-101003.</t>
  </si>
  <si>
    <t>Rationale for severity level is contained in VIS-TD-100575: Rationale for Process Aids Severity Classification.
VIS-TOX-005050: Preclinical Ocular Safety Assessment of Process Aids.
The product guideline for IPA is contained in VIS-TD-101003.</t>
  </si>
  <si>
    <t>The leachable specification is in the Products Specification document, (PC). The ocular safety of leachable specifications was demonstrated per ISO 10993-part 10 as described in VIS-TOX-005560: Ocular Safety Assessment of Reactive Monomer Mix Components in Support of Existing Leachable Specifications, in accordance with ISO 10993 part 17.</t>
  </si>
  <si>
    <t>Lenses are released with a non-conforming level of methacrylic acid. (MA)
User receives the lenses with a non-conforming level of MA and inserts a lens into their eye; user experiences discomfort prompting removal of the lens from their eye.</t>
  </si>
  <si>
    <t>Lenses are released with a non-conforming level of 1,1,1-trimethylolpropane trimethacrylate (TMPTMA)
User receives the lenses with a non-conforming level of 1,1,1-trimethylolpropane trimethacrylate and inserts a lens into their eye; user experiences discomfort prompting removal of the lens from their eye.</t>
  </si>
  <si>
    <t>Lenses are released with a non-conforming level of ethylene glycol dimethacrylate (EGDMA).
User receives the lenses with a non-conforming level of ethylene glycol dimethacrylate and inserts a lens into their eye; user experiences discomfort prompting removal of the lens from their eye.</t>
  </si>
  <si>
    <t>Rationale for severity level is:
Impact of TEGDMA Purity on Sphere Power of Senofilcon C Contact Lenses (VIS-TD-102448/1)
Technical Memo: (VIS-TD-103203/1)</t>
  </si>
  <si>
    <t>Rationale for severity level is that the levels of packing solution ingredients are controlled by formulation procedures.  The pH and conductivity of each packing solution batch is measured as part of batch release testing.  In the unlikely event of a non-conforming level of EDTA, the tears exchange would dilute non-conforming  levels rapidly.
• HHE# 2016-0003 Rev.1 and Rev.2 VIS-TD-103260/4 Customer Complaint 1-1452765816 (Global 360)</t>
  </si>
  <si>
    <t>Lenses are released with a non-conforming level of Irgacure/OmniRad 1700 (Combination of Darocur/OmniRad 1173 (2-hydroxy-2-methyl-1-phenyl-propan-1-One) and CGI 403 (bis(2,6-dimethoxybenzoyl) (2,4,4-trimethyl-pentyl) phosphine oxide)).
User receives the lenses with a non-conforming level of Irgacure/OmniRad 1700 and inserts a lens into their eye; user experiences discomfort prompting removal of the lens from their eye.</t>
  </si>
  <si>
    <t>Lenses are released with a non-conforming level of Irgacure/OmniRad 819 (bis(2,4,6-trimethylbenzoyl)-phenylphosphineoxide).
User receives the lenses with a non-conforming level of Irgacure/OmniRad 819.
User unknowingly inserts a lens into their eye that has the non-conforming level of Irgacure/OmniRad 819; user experiences discomfort prompting removal of the lens from their eye.</t>
  </si>
  <si>
    <t>The leachable specification is located in the Product Specification document (PC). The ocular safety of the leachable specification was demonstrated per ISO 10993-part 10 as described in VIS-TOX-005560: Ocular Safety Assessment of Reactive Monomer Mix Components in Support of Existing Leachable Specifications, in accordance with ISO 10993 part 17.
Biological safety assessment: VIS-TOX-005779 Biological Safety Assessment of 1-DAY Acuvue Moist/Astigmatism/Multifocal Manufactured using Irgacure 819 as an Alternative Photoinitiator to 1700.</t>
  </si>
  <si>
    <t>Lenses are released with a non-conforming level of Irgacure/OmniRad 184 (1-hydroxy-cyclohexyl-phenyl-ketone).
User receives the lenses with a non-conforming level of Irgacure/OmniRad 184.
User unknowingly inserts a lens into their eye that has the non-conforming level of Irgacure/OmniRad 184; user experiences discomfort prompting removal of the lens from their eye.</t>
  </si>
  <si>
    <t>Rationale for severity level is contained in:
The Effect of Hyperosmotic Solutions When Exposed To The Ocular Surface (R&amp;D Technical Report # 1951.
• HHE# 2016-0003 Rev.1 and Rev.2 VIS-TD-103260/4 Customer Complaint 1-1452765816 (Global 360)</t>
  </si>
  <si>
    <t>Rationale for severity level is contained in:
The Effect of Hyperosmotic Solutions When Exposed To The Ocular Surface (R&amp;D Technical Report # 1951.
HHE# 2016-0003 Rev.1 and Rev.2 VIS-TD-103260/4 Customer Complaint 1-1452765816 (Global 360)</t>
  </si>
  <si>
    <t>Lenses are released with a non-conforming level of blue HEMA.
User receives the lenses with a non-conforming level of blue HEMA and inserts a lens into their eye; user experiences discomfort prompting removal of the lens from their eye.</t>
  </si>
  <si>
    <t>Lenses are released with a non-conforming level of OH-mPDMS.
User receives the lenses with a non-conforming level of OH-mPDMS.
User unknowingly inserts a lens into their eye that has the non-conforming level of OH-mPDMS; user experiences discomfort prompting removal of the lens from their eye.</t>
  </si>
  <si>
    <t>Rationale for severity level is contained in:
The Effect of Hyperosmotic Solutions When Exposed To The Ocular Surface (R&amp;D Technical Report # 1951.
HHE# 2016-0003 Rev.1 and Rev.2 VIS-TD-103260/4 Customer Complaint 1-1452765816 (Global 360)
VIS-TD-106072: Review of buffering salts for use in contact lens packing solutions</t>
  </si>
  <si>
    <r>
      <t>Rationale for severity level is that the levels of packing solution ingredients are controlled by formulation procedures. The pH and conductivity of each packing solution batch is measured as part of batch release testing. Tear exchange would dilute non-conforming levels rapidly. May impact visual acuity. Harm to the patient will be insignificant. pH specification has a range of 6.6 to 7.6.
• 2002-07-24: Health Hazard Evaluation of Out of Specification Packing Solution</t>
    </r>
    <r>
      <rPr>
        <sz val="10"/>
        <color indexed="10"/>
        <rFont val="Times New Roman"/>
        <family val="1"/>
      </rPr>
      <t xml:space="preserve"> </t>
    </r>
    <r>
      <rPr>
        <sz val="10"/>
        <rFont val="Times New Roman"/>
        <family val="1"/>
      </rPr>
      <t>(Global 360)</t>
    </r>
    <r>
      <rPr>
        <sz val="10"/>
        <color indexed="10"/>
        <rFont val="Times New Roman"/>
        <family val="1"/>
      </rPr>
      <t xml:space="preserve">
</t>
    </r>
    <r>
      <rPr>
        <sz val="10"/>
        <color indexed="8"/>
        <rFont val="Times New Roman"/>
        <family val="1"/>
      </rPr>
      <t>• 2006-10-26: pH Out of Specification - Customer Complaint (Global 360)</t>
    </r>
  </si>
  <si>
    <t>Contact lenses with an out of specification amount of extractable oligomeric and polymeric species remaining in a contact lens are released and shipped to a user. The user receives and inserts a lens with an out of specification amount of extractable oligomeric and polymeric species into their eye.</t>
  </si>
  <si>
    <r>
      <t xml:space="preserve">Rationale for severity level is contained in the technical documents:
</t>
    </r>
    <r>
      <rPr>
        <sz val="10"/>
        <color indexed="8"/>
        <rFont val="Times New Roman"/>
        <family val="1"/>
      </rPr>
      <t xml:space="preserve">OASYS: VIS-TD-102443
OASYS 1-DAY: VIS-TD-103198, VIS-TOX-005776
VITA: VIS-TD-103199 and VIS-TD-101808
ACUVUE 2 and MOIST: VIS-TD-104086 and VIS-TOX-005803
DEFINE and DEFINE with LACREON: VIS-TD-106121 and VIS-TD-101495
TRUEYE: VIS-TOX-005688 and VIS-TD-102432
</t>
    </r>
  </si>
  <si>
    <t>Active Pharmaceutical Ingredient (Combination Products)</t>
  </si>
  <si>
    <t>Packing solution at release or during shelf life has an incorrect pH.
User receives the lenses with a non-conforming pH level and inserts the lens into their eye.
The incorrect pH may cause the drug to degrade and user may not experience sufficient ocular itch relief.
The incorrect pH may cause the user to experience discomfort prompting the user to remove the lens from their eye.</t>
  </si>
  <si>
    <t>Rationale for severity level is contained in the following
Technical Report:1735.TR Structure Elucidation of Drug Product Impurities in 1-Day Acuvue Allergy Lenses (K-lenses)
Clinical Study Report: CR-4434 Jan 11, 2007
21-066-Zaditor NDA, pages 65-66 (pt 2 pharmr) tested "Eye irritation study in rabbits after repeated doses of ketotifen fumarate eye drops of degraded quality. (VIS-TD-103491)</t>
  </si>
  <si>
    <t xml:space="preserve">Lenses are released with a non-conforming level of calcium hydroxide.
User receives the lenses with a non-conforming level of calcium hydroxide and inserts the lens into their eye.
User may not experience sufficient ocular itch relief if the ketotifen is degraded.
The incorrect pH may cause the user to experience discomfort prompting the user to remove the lens from their eye. 
</t>
  </si>
  <si>
    <t>Rationale for severity level is contained in the following
Technical Report:1735.TR Structure Elucidation of Drug Product Impurities in 1-Day Acuvue Allergy Lenses (K-lenses)
And in  21-066 Zaditor NDA (VIS-TD-103491)</t>
  </si>
  <si>
    <t xml:space="preserve">Lenses are released with a non-conforming level of pentetic acid.
User receives the lenses with a non-conforming level of pentetic acid and inserts the lens into their eye. 
User may not experience sufficient ocular itch relief if the ketotifen is degraded. 
The incorrect pH may cause the user to experience discomfort prompting the user to remove the lens from their eye. 
</t>
  </si>
  <si>
    <t xml:space="preserve">Lenses are released with a non-conforming level of sodium tetraborate decahydrate.
User receives the lenses with a non-conforming level of sodium tetraborate decahydrate and inserts the lens into their eye.
User may not experience sufficient ocular itch relief if the ketotifen is degraded.
The incorrect pH may cause the user to experience discomfort prompting the user to remove the lens from their eye. 
</t>
  </si>
  <si>
    <t>Rationale for severity level is contained in the following
Technical Report:1735.TR Structure Elucidation of Drug Product Impurities in 1-Day Acuvue Allergy Lenses (K-lenses)
And in 21-066 Zaditor NDA (VIS-TD-103491)
VIS-TD-106072: Review of buffering salts for use in contact lens packing solutions</t>
  </si>
  <si>
    <t xml:space="preserve">Lenses are released with a degraded non-conforming level of ketotifen fumarate (i.e. thermal degradation, metal catalyzed degradation).
User receives the lens and inserts the lens into their eye and may not experience sufficient ocular itch relief.
</t>
  </si>
  <si>
    <t xml:space="preserve">Rationale for severity level is contained in the following:
Technical Report:1735.TR Structure Elucidation of Drug Product Impurities in 1-Day Acuvue Allergy Lenses (K-lenses)
And in  21-066 Zaditor NDA (VIS-TD-103491)
</t>
  </si>
  <si>
    <t>Osmolality</t>
  </si>
  <si>
    <t xml:space="preserve">Lenses are released with a hyper osmotic packing solution.
Packing solution osmolality is high (hyper osmotic).
User receives the lenses with hyper osmotic packing solution and inserts the lens into their eye.
The hyper osmotic packing solution causes the user to experience discomfort prompting removal of the lens from their eye.
</t>
  </si>
  <si>
    <t xml:space="preserve">Rationale for severity level is contained in the following
Health Hazard Evaluation : HHE# 2016-0003 - Rev.01 - MSO (Global 360)
</t>
  </si>
  <si>
    <t>Non- conforming level of Active Pharmaceutical Ingredient (API) in a Combination product.</t>
  </si>
  <si>
    <t xml:space="preserve">Contact lenses containing incorrect amount of drug (lens volume, formulation) was shipped to a user.
User receives lenses containing an incorrect amount of drug (over specification) and inserts the lens into their eye and may experience increased pupil enlargement, or instillation site irritation prompting removal of the lens from their eye. 
</t>
  </si>
  <si>
    <t xml:space="preserve">Rationale for severity level is contained in the following:
VIS-TD-001661, Apollo First Principles Model.
VIS-TD-002009, Predictability and Control of Ketotifen Dose and Content Uniformity in the Apollo Lens.
VIS-TOX-005186/A
TR-1482, Partitioning of Ketotifen as a Function of Target Lens Volume and Concentration.
VIS-TD-002075, Release of Ketotifen from 1-Day ACUVUE® Brand Contact Lenses
</t>
  </si>
  <si>
    <t xml:space="preserve">Lenses are released with a non-conforming level of ketotifen fumarate.
User receives the lenses with a non-conforming level of ketotifen fumarate (too low) and inserts the lens into their and may not receive sufficient ocular itch relief.
</t>
  </si>
  <si>
    <t>Incorrect Buffered Ketotifen Solution in a Combination Product</t>
  </si>
  <si>
    <t xml:space="preserve">An error during the manufacturing of a batch of BKS rendered the solution ineffective.
The manufacturing error was not identified and the batch was used to manufacture a combination product contact lens.
A user receives lenses manufactured from the batch and inserts a lens into their eye.
The user does not experience sufficient ocular itch relief.
</t>
  </si>
  <si>
    <t>Rationale for severity level is contained in the New  Harm, Hazard, Hazardous Situation Evaluation Identification Request Form: 04/18/2017:
Loss of primary function as determined by the SMEs and Medical Professionals performing the evaluation.
The evaluation is recorded in VIS-TD-101397</t>
  </si>
  <si>
    <t>Compromised API solution in a Combination Product</t>
  </si>
  <si>
    <t>The BKS is shipped using unapproved shipping containers or not within controlled temperature requirements.
The BKS degrades or absorbs into the drum reducing the level of ketotifen in the solution.
User receives a lens that was produced with reduced levels of ketotifen and inserts the lens into their eye and may not experience sufficient ocular itch relief.</t>
  </si>
  <si>
    <t xml:space="preserve">Primary Package material incompatible with API in a Combination Product </t>
  </si>
  <si>
    <t>Resin material used to manufacture the primary package is not compatible with the ketotifen.
The primary package absorbs the ketotifen into the material; therefore there will be an insufficient amount of ketotifen available for uptake into the lens. User receives a lens in a primary package that was produced from incompatible materials and inserts the lens into their eye and may not experience sufficient ocular itch relief.</t>
  </si>
  <si>
    <t>Resin material used to manufacture the primary package does not meet the requirements for safety, performance, manufacture or handling.
Package integrity is compromised and the lens becomes non-sterile and is colonized with pathogenic microbes.
Unaware user inserts the non-sterile colonized lens into their eye and develops an infection</t>
  </si>
  <si>
    <t>Resin material used to manufacture the primary package does not meet the requirements for safety, performance, manufacture or handling.
Package integrity is compromised and the lens becomes non-sterile but is not colonized with pathogenic microbes.
Unaware user inserts the non-sterile non-colonized lens into their eye and may experience signs or symptoms.</t>
  </si>
  <si>
    <t>Rationale for severity level is contained in the New  Harm, Hazard, Hazardous Situation Evaluation Identification Request Form: 04/18/2017:
Non-Serious Injury or Illness as determined by the SMEs and Medical Professionals performing the evaluation.
The evaluation is recorded in VIS-TD-101397</t>
  </si>
  <si>
    <t>Incorrect FC/BC material used for a Combination Product</t>
  </si>
  <si>
    <t xml:space="preserve">Resin materials used to manufacture the Front Curves and Back Curves do not meet the requirements for performance, manufacture, handling, and compatibility with other materials with which they come into contact.
User receives a lens that was produced from substandard or incompatible materials and inserts the lens into their eye.
The user may experience visual acuity, comfort, and or handling issues prompting removal of the lens from their eye or discontinued use of the product.
</t>
  </si>
  <si>
    <t xml:space="preserve">Lidstock material incompatible with API in a Combination Product  </t>
  </si>
  <si>
    <t>Lidstock material used to seal the primary package is not compatible with the BKS (ketotifen).
The lidstock barrier material may absorb the ketotifen into the material; therefore there will be an insufficient amount of ketotifen available for uptake into the lens.
User receives a lens sealed with lidstock that was produced from incompatible materials and inserts the lens into their eye and may not experience sufficient ocular itch relief.</t>
  </si>
  <si>
    <t>Lidstock material used to seal the primary package does not meet the requirements for safety, performance, manufacture, or handling.
Package integrity is compromised and the lens becomes non-sterile and is colonized with pathogenic microbes.
Unaware user inserts the non-sterile colonized lens into their eye and develops an infection.</t>
  </si>
  <si>
    <t>Lidstock material used to seal the primary package does not meet the requirements for safety, performance, manufacture, or handling.
Package integrity is compromised and the lens becomes non-sterile but is not colonized with pathogenic microbes.
Unaware user inserts the non-sterile non-colonized lens into their eye and may experience signs or symptoms.</t>
  </si>
  <si>
    <t>Residual IPA in a Combination Product</t>
  </si>
  <si>
    <t xml:space="preserve">The cleaning of the BKS dispensing hardware (pump on the drum) was not cleaned per procedure.
The cleaning solution (IPA) contaminated the BKS solution.  
The user receives lenses with residual levels of cleaning solution (IPA) in the package and inserts a lens into their eye.
Upon insertion the user may experience discomfort prompting the user to remove the lens from their eye.
</t>
  </si>
  <si>
    <t>Rationale for severity level is contained in the New  Harm, Hazard, Hazardous Situation Evaluation Identification Request Form: 05/30/2017:
Loss of primary function as determined by the SMEs and Medical Professionals performing the evaluation.
The evaluation is recorded in VIS-TD-101397</t>
  </si>
  <si>
    <t>Non-conforming level of API in a Combination product</t>
  </si>
  <si>
    <t xml:space="preserve">Water (DI or purified water) introduced into the hydration process and/or primary package contains increased levels of metals (i.e. iron and specific transition metals).
The lenses produced with water containing increased levels of metals causes the drug to degrade and lose efficacy.
User unknowingly inserts a lens into their eye that has the non-conforming level of ketotifen fumarate and may not experience sufficient ocular itch relief or experience discomfort prompting the user to remove the lens from their eye.
</t>
  </si>
  <si>
    <t xml:space="preserve">Lenses are produced with elevated levels of TWEEN 80.
The TWEEN 80 interacts with the ketotifen causing insufficient concentrations of ketotifen in the lens.
User receives the lenses with a non-conforming level of ketotifen fumarate.
User unknowingly inserts a lens into their eye that has the non-conforming level of ketotifen fumarate and may not experience sufficient ocular itch relief.
</t>
  </si>
  <si>
    <t>Rationale for severity level is contained in the New  Harm, Hazard, Hazardous Situation Evaluation Identification Request Form: 05/30/2017:
Loss of primary function as determined by the SMEs and Medical Professionals performing the evaluation. 
The evaluation is recorded in VIS-TD-101397</t>
  </si>
  <si>
    <t xml:space="preserve">Photochromic Lenses are released with a non-conforming level Photosol® 7-1911 </t>
  </si>
  <si>
    <t xml:space="preserve">User receives the lenses with a non-conforming level of Photosol® 7-1911 (too high up to 10x over extractable level of less than 2 ug/g specification).
User unknowingly inserts a lens into their eye that has the non-conforming level of Photosol® 7-1911. There is no harm or patient risk based on toxicology testing of Photosol® 7-1911.
</t>
  </si>
  <si>
    <t>Rationale for severity level is contained in the New  Harm, Hazard, Hazardous Situation Evaluation Identification Request Form: 07/24/2018:
There is no harm or patient risk based on toxicology testing of Photosol® 7-1911 and determined by the SMEs and Severity Rating Board performing the evaluation.</t>
  </si>
  <si>
    <t>Partially formed lens</t>
  </si>
  <si>
    <t>A user receives a partially formed lens (micro lens) and inserts the lens into their eye. The lens may be physically uncomfortable due to pH of packing solution that is slightly low potentially causing an uncomfortable sensation (stinging/irritation) and would likely be rejected by the patient.</t>
  </si>
  <si>
    <t>Rationale for severity level is contained in the New  Harm, Hazard, Hazardous Situation Evaluation Identification Request Form: 08/28/2018:
Determined to result in loss of primary function by the medical professionals and SMEs performing the evaluation and supported by Health Hazard Evaluation- HHE#: 2018-001 (Rev 2.0) Assessment of Microlens defect (Global 360)</t>
  </si>
  <si>
    <t>The Severity Rating Board determined that there is no harm to the patient.  The hazardous situation may result in lens discomfort, prompting the removal of the lens from the eye.  There is no potential harm for discomfort (no impact to health and safety), but there is a loss of function.  The evaluation is recorded in VIS-TD-101397 and VIS-TD-106977.  Refer to VIS-TD-106826 for additional details.</t>
  </si>
  <si>
    <t>Carcinogenic Agent</t>
  </si>
  <si>
    <t>N-nitrosamines (impurities) are formed during the drug substance synthesis (e.g. the Active Pharmaceutical Ingredient (API) manufacturing process is modified and nitrosamines are synthesized).
The patient receives a lens which contains N-nitrosamines and places the lens on eye.  Patient is exposed to nitrosamines, a highly potent mutagenic carcinogen, and has the potential for carcinogenic risk.</t>
  </si>
  <si>
    <r>
      <t xml:space="preserve">The Severity Rating Board rated the new hazard as a severity of 5 due to the potential harm of serious illness, per </t>
    </r>
    <r>
      <rPr>
        <b/>
        <sz val="10"/>
        <color rgb="FF0000FF"/>
        <rFont val="Times New Roman"/>
        <family val="1"/>
      </rPr>
      <t>QA-0370</t>
    </r>
    <r>
      <rPr>
        <sz val="10"/>
        <rFont val="Times New Roman"/>
        <family val="1"/>
      </rPr>
      <t>.  The Board noted that the probability of occurrence does not exist.  The evaluation is recorded in VIS-TD-101397.  Refer to VIS-TD-107433 Attachment 1 (TEC-0001680 - Evaluating the potential risk for nitrosamine content in Johnson &amp; Johnson drug products and combination products) and VIS-TD-107433 Attachment 2 (TEC-0001754 - Nitrosamine Risk Evaluation Report for Ketotifen Fumarate).</t>
    </r>
  </si>
  <si>
    <r>
      <t xml:space="preserve">The Severity Rating Board determined that there is no harm to the patient, Severity of ≤ 3, as per </t>
    </r>
    <r>
      <rPr>
        <b/>
        <sz val="10"/>
        <color rgb="FF0000FF"/>
        <rFont val="Times New Roman"/>
        <family val="1"/>
      </rPr>
      <t>QA-0370</t>
    </r>
    <r>
      <rPr>
        <sz val="10"/>
        <color theme="1"/>
        <rFont val="Times New Roman"/>
        <family val="1"/>
      </rPr>
      <t>. The evaluation is recorded in VIS-TD-101397 and VIS-TD-108489.</t>
    </r>
  </si>
  <si>
    <t>PHYSICAL</t>
  </si>
  <si>
    <t xml:space="preserve">Rationale for severity level is contained in the following HHE's. 
• 2012-01-26: Health Hazard Evaluation of incorrect power and base curve for 1 Day Acuvue TruEye Brand (narafilcon A )  Contact Lenses manufactured on Line 44 (Global 360)
• HHE# 2013-0002 - HHE for Flat 1 Day Acuvue Define Brand Contact Lenses with Lacreon (Global 360)
</t>
  </si>
  <si>
    <t>Rationale for severity level is contained in the following HHE's.
• 2009-05-18: Health Hazard Evaluation of Acuvue Advance Brand Contact lens Manufactured with CT OOS (Global 360)
• 2012-01-19: HHE of Incorrect Acuvue Oasys Contact Lenses Manufactured with Center Thickness  
   out of Specification (CT OOS) (Global 360)</t>
  </si>
  <si>
    <t>Rationale for severity level is contained in the following HHE's.
• HHE# 2012-002 - HHE for any Health Hazards associated with Deviation from Label Specifications e.g. BC, Diameter and Power (Global 360)
• 2006-09-27: Oasys Enlarged Diameter (Global 360)</t>
  </si>
  <si>
    <r>
      <t xml:space="preserve">Rationale for severity level is contained in the following HHE's.
</t>
    </r>
    <r>
      <rPr>
        <b/>
        <sz val="10"/>
        <color theme="1"/>
        <rFont val="Times New Roman"/>
        <family val="1"/>
      </rPr>
      <t xml:space="preserve">• </t>
    </r>
    <r>
      <rPr>
        <sz val="10"/>
        <color theme="1"/>
        <rFont val="Times New Roman"/>
        <family val="1"/>
      </rPr>
      <t>HHE# 2012-003 - 1 Day Acuvue Moist for Astigmatism Manufactured on 2GT - SKUs -8.00D, -8.50D &amp; -9.00D - OZ measured 8.0 - 8.4mm. The OZ design intent for these SKUs is 7.0mm (Global 360)</t>
    </r>
    <r>
      <rPr>
        <b/>
        <sz val="10"/>
        <color theme="1"/>
        <rFont val="Times New Roman"/>
        <family val="1"/>
      </rPr>
      <t xml:space="preserve">
• </t>
    </r>
    <r>
      <rPr>
        <sz val="10"/>
        <color theme="1"/>
        <rFont val="Times New Roman"/>
        <family val="1"/>
      </rPr>
      <t>HHE# 2013-0003 - Acuvue Oasys for Astigmatism Customer Complaint for Visual Acuity (CHS-477220) with Condfirmed OOS Axis (Global 360)</t>
    </r>
  </si>
  <si>
    <t>Lens defects</t>
  </si>
  <si>
    <t xml:space="preserve">Lenses containing excess material, stringers or extraneous polymer are shipped to a user.
User receives and inserts the lens into their eye and may experience visual acuity issues prompting removal of the lens from their eye. </t>
  </si>
  <si>
    <r>
      <t xml:space="preserve">Rationale for severity level is contained in the following HHE's.
• HHE# 2012-004 - Health Hazards associated w/Foreign Matter, edge defects &amp; puds (54u &amp; 63u) released to distribution that were not detected when measured  to tear Template </t>
    </r>
    <r>
      <rPr>
        <b/>
        <sz val="10"/>
        <color rgb="FF0000FF"/>
        <rFont val="Times New Roman"/>
        <family val="1"/>
      </rPr>
      <t>VWA-0249</t>
    </r>
    <r>
      <rPr>
        <sz val="10"/>
        <color theme="1"/>
        <rFont val="Times New Roman"/>
        <family val="1"/>
      </rPr>
      <t>(3) (Global 360)
• HHE# 2013-0001 - HHE for Extraneous Polymer (EP) in 1 Day Acuvue Define Brand Contact Lenses with Lacreon (Global 360)</t>
    </r>
  </si>
  <si>
    <t xml:space="preserve">Lenses containing an edge chip or tear are shipped to a user.
User receives and inserts the lens containing an edge chip or tear into their eye and may experience diminished visual acuity or discomfort prompting removal of the lens from their eye. </t>
  </si>
  <si>
    <r>
      <t xml:space="preserve">Rationale for severity level is contained in the following HHE's.
• 2008-12-19: Health Hazard Evaluation of Visual Defects on Contact Lenses (as presented in ITR-2726) (Global 360)
Patient may experience an insignificant event 
• HHE# 2012-004 - Health Hazards associated w/Foreign Matter, edge defects &amp; puds (54u &amp; 63u released to distribution that were not detected when measured  to tear Template </t>
    </r>
    <r>
      <rPr>
        <b/>
        <sz val="10"/>
        <color rgb="FF0000FF"/>
        <rFont val="Times New Roman"/>
        <family val="1"/>
      </rPr>
      <t>VWA-0249</t>
    </r>
    <r>
      <rPr>
        <sz val="10"/>
        <color theme="1"/>
        <rFont val="Times New Roman"/>
        <family val="1"/>
      </rPr>
      <t>(3) (Global 360)</t>
    </r>
  </si>
  <si>
    <t xml:space="preserve">Contact lenses containing void(s), holes, surface marks, monomer displacement, and or surface tears are shipped to a user. 
The user receives and inserts the lens into their eye and may experience diminished visual acuity or discomfort prompting removal of the lens from their eye.
</t>
  </si>
  <si>
    <r>
      <t>Rationale for severity level is contained in the following HHE's.
• 2008-12-19: Health Hazard Evaluation of Visual Defects on Contact Lenses (as presented in ITR-2726) (Global 360)
Patient may experience an insignificant event
• HHE# 2012-004 - Health Hazards associated w/Foreign Matter, edge defects &amp; puds (54u &amp; 63u released to distribution that  were not detected when measured  to tear Template</t>
    </r>
    <r>
      <rPr>
        <b/>
        <sz val="10"/>
        <color rgb="FF0000FF"/>
        <rFont val="Times New Roman"/>
        <family val="1"/>
      </rPr>
      <t xml:space="preserve"> VWA-0249</t>
    </r>
    <r>
      <rPr>
        <sz val="10"/>
        <color theme="1"/>
        <rFont val="Times New Roman"/>
        <family val="1"/>
      </rPr>
      <t>(3) (Global 360)
• HHE# 2012-015 - 1 Day Acuvue Moist - The surface mark know as Tween mark or Tween stamp (Global 360)</t>
    </r>
  </si>
  <si>
    <t>Lens defects in a cosmetic lens</t>
  </si>
  <si>
    <t>The pigments used in a cosmetic lens are not fully entrapped (missing clear layer) within the polymer matrix of the lens and are shipped to a user.
The user receives and inserts the lens into their eye and may experience discomfort prompting removal of the lens from their eye.</t>
  </si>
  <si>
    <t xml:space="preserve">Rationale for severity level is contained in the following:
"VIS-TD- 102233/2 Memorandum: Assessment of the possible health harm associated with pigments not fully entrapped within the polymer matrix of a cosmetic soft contact lens.
VIS-TD-100786 Assessment of clear layer and pigment entrapment in rejuvenation lenses by scanning electron microscopy (SEM)
VIS-TD-101495/3 Project REFINE Preclinical Safety Evaluation Strategy, Table-3
VIS-STBRPT-000171/A Stability Technical Justification to support Expiry Dating for Colours Lens that are Representative of Studies NL-0052.SS and NL-0054.SS, attachments E &amp; F           
 </t>
  </si>
  <si>
    <t>Foreign matter</t>
  </si>
  <si>
    <t>The manufacturing environment is not maintained allowing increased foreign matter levels into the environment.
Lenses containing foreign matter embedded, adhering, or floating on the BACK SURFACE of the lens, or foreign matter in the solution are shipped to a user.
The user inserts the lens into their eye and scratches the surface of their eye during insertion or normal wear.</t>
  </si>
  <si>
    <t>Corneal abrasion, Conjunctivitis, Eye swelling, Eye Inflammation, Hypersensitivity, Keratitis</t>
  </si>
  <si>
    <t>Rationale for severity level is contained in the following HHE's.
• 2011-11-04: HH Evaluation of Contact Lenses in Packing Solution containing In-Process Material 
Particulate Matter and Foreign Matter: Foreign Matter w/ Dimensions Greater than 3 mm (Global 360)
• 2011-07-21: Scientific Base Behind Tolerance Limits Set for Foreign Matter Particulate (Global 360)</t>
  </si>
  <si>
    <t>The manufacturing environment is not maintained allowing increased foreign matter levels into the environment.
Lenses containing foreign matter embedded or adhering to the FRONT SURFACE of the lens are shipped to a user.
The user inserts the lens into their eye and may experience foreign body sensation during insertion, blinking or normal wear prompting removal of the lens from their eye.</t>
  </si>
  <si>
    <t>Rationale for severity level is contained in the following HHE's.
• 2011-07-21:Scientific Base Behind Tolerance Limits Set for Foreign Matter Particulate (Global 360)
• 2011-07-07: Health Hazard Evaluation of Containing In-Process Material Particulate Matter
 ( Updated of June 21, 2011 HHE) (Global 360)</t>
  </si>
  <si>
    <t>A lens containing foreign matter fully encapsulated in the lens is released for shipment.
The user receives and inserts the lens into their eye and the lens may not provide the user with the needed visual correction prompting removal of the lens from their eye.</t>
  </si>
  <si>
    <t>Rationale for severity level is contained in the following HHE.
• 2011-07-21: Scientific Base Behind Tolerance Limits Set for Foreign Matter Particulate (Global 360)</t>
  </si>
  <si>
    <t>Insufficient solution level</t>
  </si>
  <si>
    <t>Lenses with no packing solution or an insufficient level of packing solution in the primary package are shipped to a user. 
The user receives and inserts the lens into their eye and the lens may not provide the user with the needed visual correction prompting removal of the lens from their eye.</t>
  </si>
  <si>
    <t>Rationale for severity level is contained in the following HHE.
• HHE# 2012-019 - Advance Plus, Primary package Bowl Thickness (Global 360)</t>
  </si>
  <si>
    <t>Rationale for severity level is contained in the following HHE's.
• 2012-06-12: Product OOS for Dynamic Contact Angle (DCA) following Shipping Simulation (Global 360)
• HHE# 2014-0001 - Acuvue Advance Plus with Hydraclear: Dynamic Contact Angle (DCA) Non-Conformance Associated with an Engineering/Stability Lot (Global 360)</t>
  </si>
  <si>
    <t>Rationale for severity level is contained in the following HHE's.
• HHE# 2012-002 - HHE for any Health Hazards associated with Deviation from Label Specifications e.g. BC, Diameter and Power (Global 360)
• 2012-01-13: 1 Day TruEye (nara-B) Power OOS - Master Lot 124927 (Global 360)</t>
  </si>
  <si>
    <t>Rationale for severity level is contained in the following HHE'.
• HHE# 2012-003 - 1 Day Acuvue Moist for Astigmatism Manufactured on 2GT - SKUs -8.00D, -8.50D &amp; -9.00D - OZ measured 8.0 - 8.4mm. The OZ design intent for these SKUs is 7.0mm (Global 360)
• HHE# 2013-0003 - Acuvue Oasys for Astigmatism Customer Complaint for Visual Acuity (CHS-477220) with Condfirmed OOS Axis (Global 360)</t>
  </si>
  <si>
    <t>Multifocal lenses with an incorrect distribution of power correction (Add) are shipped to a user.
A user receives lenses that provide incorrect multifocal correction.
The user inserts the lens with the incorrect multifocal vision correction into their eye and the lens may not provide the user with the needed visual correction prompting removal of the lens from their eye.</t>
  </si>
  <si>
    <t>Rationale for severity level is contained in the following HHE.
• HHE# 2012-007 - Contact lenses that are off Power (Diopters) for Optical Correction of Refractive Error, 
i.e. Lens Power Out of Specification (Global 360)</t>
  </si>
  <si>
    <t>Rationale for severity level is contained in the following Technical Memo:
VIS-TD-102391/1 Technical Memo for Minimum Acceptable Optic Zone Diameter for Contact Lens Correction</t>
  </si>
  <si>
    <t>Astigmatism contact lenses are shipped to a user with an incorrect thickness differential. The user receives and inserts the lens with a thickness differential that is too thin and may experience poor lens stability that may impact their visual acuity prompting removal of the lens.
The user receives and inserts the lens into their eye with a thickness differential that is too thick which may impact handling or reduce user comfort prompting removal of the lens from their eye.</t>
  </si>
  <si>
    <t>Rationale for severity level is contained in the following Technical Report and HHE:
VIS-TD-102187/2 Technical Justification for the Thickness Differential Specification for the TRITON for Astigmatism Lens Design</t>
  </si>
  <si>
    <t>Foreign Matter</t>
  </si>
  <si>
    <t xml:space="preserve">A stainless steel object is trapped between the primary package lidstock and the primary package blister in the seal area extending into the bowl area but the seal is intact and the lens has been sterilized.
The product is shipped to a user.
The user disregards the stainless steel object, opens the package and inserts the lens into their eye.
There is no harm as the lens remained sterile.
</t>
  </si>
  <si>
    <t>HHE: VIS-TD-102494/2: JFMDA Health Hazard Evaluation (HHE) Sheet concerning Investigation into Customer Complaint Identification (ID) 1-485936414, 1-935979869, and 1-1115345282 (PLM)
Micro-Memo -US-16-021: Sterility Assessment of Stainless Steel Bristle Complaint</t>
  </si>
  <si>
    <t xml:space="preserve">A stainless steel object is trapped between the primary package lidstock and the primary package blister in the seal area extending into the bowl area but the seal is intact and the lens has been sterilized.
The product is shipped to a user.
There user opens the package but does not use the lens.
There is no health hazard since the user did not use the lens (aesthetic issue may lead to a customer complaint).
</t>
  </si>
  <si>
    <r>
      <t xml:space="preserve">Per </t>
    </r>
    <r>
      <rPr>
        <b/>
        <sz val="10"/>
        <color rgb="FF0000FF"/>
        <rFont val="Times New Roman"/>
        <family val="1"/>
      </rPr>
      <t>QA-0370</t>
    </r>
    <r>
      <rPr>
        <sz val="10"/>
        <color theme="1"/>
        <rFont val="Times New Roman"/>
        <family val="1"/>
      </rPr>
      <t xml:space="preserve"> current severity ratings definitions an aesthetic issue is rated as a severity 1.
HHE: VIS-TD-102494/2: JFMDA Health Hazard Evaluation (HHE) Sheet concerning Investigation into Customer Complaint Identification (ID) 1-485936414, 1-935979869, and 1-1115345282 (PLM)
</t>
    </r>
  </si>
  <si>
    <t xml:space="preserve">A stainless steel object is trapped between the primary package lidstock and the primary package blister in the seal area BUT NOT extending into the bowl area and the seal is intact and the lens has been sterilized.
The product is shipped to a user.
There user opens the package and may or may not insert the lens into their eye.
There is no health hazard since the seal remained intact and the lens remained sterile (aesthetic issue may lead to a customer complaint). 
</t>
  </si>
  <si>
    <r>
      <t xml:space="preserve">Per </t>
    </r>
    <r>
      <rPr>
        <b/>
        <sz val="10"/>
        <color rgb="FF0000FF"/>
        <rFont val="Times New Roman"/>
        <family val="1"/>
      </rPr>
      <t xml:space="preserve">QA-0370 </t>
    </r>
    <r>
      <rPr>
        <sz val="10"/>
        <color theme="1"/>
        <rFont val="Times New Roman"/>
        <family val="1"/>
      </rPr>
      <t xml:space="preserve">current severity ratings definitions an aesthetic issue is rated as a severity 1.
HHE: VIS-TD-102494/2: JFMDA Health Hazard Evaluation (HHE) Sheet concerning Investigation into Customer Complaint Identification (ID) 1-485936414, 1-935979869, and 1-1115345282 (PLM)
</t>
    </r>
  </si>
  <si>
    <t xml:space="preserve">Rationale for severity level is contained in the following:
VIS-TD-102593: Assessment of Microbubble Attribute for Senofilcon Products 
Severity Rating Board Assessment for microbubbles: November 15, 2016
Refer to VIS-TD-103317 for Microbubble Root Cause Investigation and Summary
Refer to VIS-TD-107852 and VIS-TD-107853 for Product Quality Attribute Severity Rating
</t>
  </si>
  <si>
    <t xml:space="preserve">Contact lenses containing internal tears are shipped to a user. 
The user receives and inserts the lens on to the eye.
The user or ECP may reject the lens due to aesthetic appearance (may lead to a customer complaint).
</t>
  </si>
  <si>
    <r>
      <t xml:space="preserve">Rationale for severity level is contained in the following:
</t>
    </r>
    <r>
      <rPr>
        <sz val="10"/>
        <rFont val="Times New Roman"/>
        <family val="1"/>
      </rPr>
      <t xml:space="preserve">VIS-TOX-005768:Evaluation of Biological Safety of ACUVUE OASYS 1-DAY for ASTIGMATISM with HydraLuxe Technology with Internal Tears as part of CAPA-006169 "Internal Tears Observed on Astigmatic Senofilcon Products </t>
    </r>
    <r>
      <rPr>
        <sz val="10"/>
        <color indexed="8"/>
        <rFont val="Times New Roman"/>
        <family val="1"/>
      </rPr>
      <t xml:space="preserve">
Severity Rating Board Assessment for internal tears: November 16, 2016
</t>
    </r>
  </si>
  <si>
    <t>Contact lenses containing surface puddles are shipped to a user. 
The user receives and inserts the lens into their eye and may experience diminished visual acuity or discomfort prompting the user to remove the lens from their eye.</t>
  </si>
  <si>
    <r>
      <t xml:space="preserve">Rationale for severity level is contained in the following HHEs:
• 2008-12-19: Health Hazard Evaluation of Visual Defects on Contact Lenses (as presented in ITR-2726) (Global 360)
Patient may experience an insignificant event 
• HHE# 2012-004 - Health Hazards associated w/Foreign Matter, edge defects &amp; puds (54u &amp; 63u) released to distribution that  were not detected when measured  to tear Template </t>
    </r>
    <r>
      <rPr>
        <b/>
        <sz val="10"/>
        <color rgb="FF0000FF"/>
        <rFont val="Times New Roman"/>
        <family val="1"/>
      </rPr>
      <t>VWA-0249</t>
    </r>
    <r>
      <rPr>
        <sz val="10"/>
        <color theme="1"/>
        <rFont val="Times New Roman"/>
        <family val="1"/>
      </rPr>
      <t>(3) (Global 360)</t>
    </r>
  </si>
  <si>
    <t xml:space="preserve">User receives lenses and upon opening the package finds the lens is stuck to the lidstock.
User removes the lens from the lidstock and inserts the lens into their eye.
The user experiences visual acuity issues or discomfort prompting the user to remove the lens from their eye.
</t>
  </si>
  <si>
    <r>
      <t xml:space="preserve">Rationale for severity level is contained in the New Harm, Hazard, Hazardous Situation Evaluation Identification Request Form: 04/24/2017:
Loss of primary function as determined by the SMEs and Medical Professionals performing the evaluation.
The evaluation is recorded in VIS-TD-101397.
</t>
    </r>
    <r>
      <rPr>
        <b/>
        <sz val="10"/>
        <color rgb="FF008000"/>
        <rFont val="Times New Roman"/>
        <family val="1"/>
      </rPr>
      <t>NOTE: Applies to spherical senofilcon lenses only</t>
    </r>
  </si>
  <si>
    <t xml:space="preserve">User receives lenses and upon opening the package finds the lens is stuck to the primary package blister.
User removes the lens from the blister and inserts the lens into their eye.
The user experiences visual acuity issues or discomfort prompting the user to remove the lens from their eye.
</t>
  </si>
  <si>
    <r>
      <t xml:space="preserve">Rationale for severity level is contained in the New  Harm, Hazard, Hazardous Situation Evaluation Identification Request Form: 04/24/2017:
Loss of primary function as determined by the SMEs and Medical Professionals performing the evaluation.
The evaluation is recorded in VIS-TD-101397.
</t>
    </r>
    <r>
      <rPr>
        <b/>
        <sz val="10"/>
        <color rgb="FF008000"/>
        <rFont val="Times New Roman"/>
        <family val="1"/>
      </rPr>
      <t>NOTE: Applies to senofilcon lenses only</t>
    </r>
    <r>
      <rPr>
        <sz val="10"/>
        <color theme="1"/>
        <rFont val="Times New Roman"/>
        <family val="1"/>
      </rPr>
      <t>.</t>
    </r>
  </si>
  <si>
    <t>Foreign Matter in a Combination Product</t>
  </si>
  <si>
    <t xml:space="preserve">The filter from the BKS dispensing hardware (pump on the drum) fails and causes filter related foreign matter to contaminate the BKS.
Contact lenses containing foreign matter from the filter adhering or floating on the BACK SURFACE of the lens are shipped to the user.
User inserts the lens into their eye that has foreign matter from the filter adhering or floating on the BACK SURFACE of the lens. 
User may scratch the surface of the eye during insertion or normal wear.
</t>
  </si>
  <si>
    <t>Rationale for severity level is contained in the New  Harm, Hazard, Hazardous Situation Evaluation Identification Request Form: 05/30/2017:
Non-Serious Injury or Illness as determined by the SMEs and Medical Professionals performing the evaluation.
The evaluation is recorded in VIS-TD-101397.</t>
  </si>
  <si>
    <t xml:space="preserve">The filter from the BKS dispensing hardware (pump on the drum) fails and causes filter related foreign matter to contaminate the BKS.
Contact lenses containing foreign matter from the filter adhering or floating on the Front SURFACE of the lens are shipped to the user.
User inserts the lens into their eye that has foreign matter adhering or floating on the Front SURFACE of the lens and may experience foreign body sensation during insertion, blinking, or normal wear prompting removal of the  lens from their eye. 
</t>
  </si>
  <si>
    <t>Rationale for severity level is contained in the following HHE's.
• 2011-11-04: HH Evaluation of Contact Lenses in Packing Solution containing In-Process Material Particulate Matter and Foreign Matter: Foreign Matter w/ Dimensions Greater than 3 mm (Global 360)
• 2011-07-21: Scientific Base Behind Tolerance Limits Set for Foreign Matter Particulate (Global 360)</t>
  </si>
  <si>
    <t>Protection of a Combination Product</t>
  </si>
  <si>
    <t xml:space="preserve">Secondary cartons used do not meet the requirements for performance, manufacture, and protection of the product during shipping and handling. 
Contact lenses are exposed to light outside of specification causing degradation of the ketotifen.
User receives the lenses with a degraded non-conforming level of ketotifen fumarate.
User unknowingly inserts a lens into their eye that has the non-conforming level of ketotifen fumarate and may not experience sufficient ocular itch relief.
</t>
  </si>
  <si>
    <t>Particulate Matter in a Combination Product</t>
  </si>
  <si>
    <t>Pieces of the Primary Package material are pulled away from the package when the customer opens the package.
The Primary Package material is transferred to the Back Surface of the lens or the solution.
User inserts the contact lenses containing Primary Package material on the BACK SURFACE of the lens or solution into their eye. 
User may scratch the surface of the eye during insertion or normal wear.</t>
  </si>
  <si>
    <t>Rationale for severity level is contained in the New  Harm, Hazard, Hazardous Situation Evaluation Identification Request Form: 05/30/2017:
Non-Serious Injury or Illness as determined by the SMEs and Medical Professionals performing the evaluation.
The evaluation is recorded in VIS-TD-101397</t>
  </si>
  <si>
    <t xml:space="preserve">Pieces of the Primary Package material are pulled away from the package when the customer opens the package.
The Primary Package material is transferred to the Front Surface of the contact lens.
User inserts the contact lenses containing Primary Package material on the Front SURFACE of the lens into their eye and may experience foreign body sensation during insertion, blinking or normal wear prompting removal of the lens from their eye.
</t>
  </si>
  <si>
    <t>Water (DI or purified water) containing foreign matter is used to produce contact lenses.
Contact lenses containing foreign matter adhering to the BACK SURFACE of the lens or floating in the solution are shipped to the user.
User inserts the lens into their eye that has foreign matter adhering to the BACK SURFACE of the lens or floating in the solution. 
User may scratch the surface of the eye during insertion or normal wear.</t>
  </si>
  <si>
    <t xml:space="preserve">Water (DI or purified water) containing foreign matter is used to produce contact lenses.
Contact lenses containing foreign matter adhering to or floating on the FRONT SURFACE of the lens are shipped to the user.
The user inserts the lens into their eye and may experience foreign body sensation during insertion, blinking or normal wear prompting removal of the lens from their eye. 
</t>
  </si>
  <si>
    <t xml:space="preserve">Contact lenses with optical distortion (wrinkles) are shipped to a user.
The user inserts the lens in their eye and may experience visual acuity issues prompting them to remove the lens from their eye.
</t>
  </si>
  <si>
    <r>
      <t xml:space="preserve">Rationale for severity level is that this attribute will impact visual acuity prompting the user to remove the lens from their eye.
This was determined by the SMEs and Medical Professionals performing the evaluation and a review of clinical study data in CR-5771 that supports this conclusion.  The evaluation is recorded in VIS-TD-101397.
</t>
    </r>
    <r>
      <rPr>
        <b/>
        <sz val="10"/>
        <color rgb="FF008000"/>
        <rFont val="Times New Roman"/>
        <family val="1"/>
      </rPr>
      <t xml:space="preserve">NOTE: Applies only to Silicone Hydrogel astigmatic lens products </t>
    </r>
  </si>
  <si>
    <t>Primary Package Difficult to Open</t>
  </si>
  <si>
    <t>Primary package deemed difficult to open by a customer leading to customer dissatisfaction and or product complaint.</t>
  </si>
  <si>
    <r>
      <t xml:space="preserve">This has been determined to be an aesthetic issue that will not result in patient harm but may result in a customer complaint by the medical professionals and SMEs performing the evaluation.
Per the severity rating definitions in </t>
    </r>
    <r>
      <rPr>
        <b/>
        <sz val="10"/>
        <color rgb="FF0000FF"/>
        <rFont val="Times New Roman"/>
        <family val="1"/>
      </rPr>
      <t>QA-0370</t>
    </r>
    <r>
      <rPr>
        <sz val="10"/>
        <rFont val="Times New Roman"/>
        <family val="1"/>
      </rPr>
      <t xml:space="preserve"> an aesthetic issue is rated as a severity of 1.</t>
    </r>
  </si>
  <si>
    <t>Missing 123 Mark on lens</t>
  </si>
  <si>
    <t>The lenses are produced without the required 123 mark and shipped to a user.
The user is unable to determine if the lens is everted and inserts an everted lens into their eye.
The everted lens may cause the user to experience visual acuity issues or discomfort prompting the user to remove the lens from their eye.</t>
  </si>
  <si>
    <t>Rationale for severity level is contained in the New  Harm, Hazard, Hazardous Situation Evaluation Identification Request Form: 05/02/2018:
Loss of primary function as determined by the SMEs and Medical Professionals performing the evaluation.
The evaluation is recorded in VIS-TD-101397.</t>
  </si>
  <si>
    <t>Incorrect Print Pattern Inner Diameter
(Cosmetic Lens)</t>
  </si>
  <si>
    <t xml:space="preserve">Contact lenses with an incorrect print pattern inner diameter are shipped to a user.
The print pattern inner diameter is smaller than the design intent.
The user receives and inserts a lens where the print pattern inner diameter is too small into their eye and may experience diminished subjective visual quality prompting removal of the lens from their eye.
</t>
  </si>
  <si>
    <t>Rationale for severity level is contained in the New  Harm, Hazard, Hazardous Situation Evaluation Identification Request Form: 06/18/2018:
Loss of primary function as determined by the SMEs and Medical Professionals performing the evaluation.
Evaluation of a New Print Pattern for Cosmetic Contact Lenses report: VIS-TD-104489/1 
The evaluation is recorded in VIS-TD-101397.</t>
  </si>
  <si>
    <t>A user receives a partially formed lens (microlens) and inserts the lens into their eye. The user may have trouble handling the lens due to stiffness and shape and there is high potential for the lens to fall out of their eye.  The lens will not correct vision appropriately and/or cause possible discomfort due to stiffness and inappropriate shape prompting removal of the lens from their eye.</t>
  </si>
  <si>
    <t>Rationale for severity level is contained in the New  Harm, Hazard, Hazardous Situation Evaluation Identification Request Form: 08/28/2018:
Loss of primary function as determined by the SMEs and Medical Professionals performing the evaluation.
The evaluation is recorded in VIS-TD-101397.
Reference HHE#: 2018-001 (Rev 2.0) Assessment of Microlens defect (Global 360)</t>
  </si>
  <si>
    <t>Concentric hazy ring/translucent ring</t>
  </si>
  <si>
    <t>A user receives contact lenses with a concentric hazy ring/translucent ring on the surface of the lens and inserts the lens into their eye. The user may experience visual acuity issues or discomfort prompting removal of the lens from their eye.</t>
  </si>
  <si>
    <t>Rationale for severity level is contained in the New  Harm, Hazard, Hazardous Situation Evaluation Identification Request Form: 08/28/2018: Determined that hazy concentric ring/translucent rings are considered to have minimal medical significance and of no long-term consequence (may result in the patient removing the lens from their eye, which is loss of function).
The evaluation is recorded in VIS-TD-101397.
Reference HHE#: 2018-001 (Rev 2.0) Assessment of Microlens defect (Global 360)</t>
  </si>
  <si>
    <t>Package Edge Defect</t>
  </si>
  <si>
    <t xml:space="preserve">A user receives an oval hard case that contains a broken/damaged edge. While accessing the product the user cuts their finger.
</t>
  </si>
  <si>
    <t>Laceration of finger</t>
  </si>
  <si>
    <r>
      <t xml:space="preserve">The Severity Rating Board determined the potential harm to be laceration which is a non-serious injury, severity of 4, as per </t>
    </r>
    <r>
      <rPr>
        <b/>
        <sz val="10"/>
        <color rgb="FF0000FF"/>
        <rFont val="Times New Roman"/>
        <family val="1"/>
      </rPr>
      <t>QA-0370</t>
    </r>
    <r>
      <rPr>
        <sz val="10"/>
        <rFont val="Times New Roman"/>
        <family val="1"/>
      </rPr>
      <t xml:space="preserve">.  The evaluation is recorded in VIS-TD-101397.
</t>
    </r>
    <r>
      <rPr>
        <b/>
        <sz val="10"/>
        <color rgb="FF008000"/>
        <rFont val="Times New Roman"/>
        <family val="1"/>
      </rPr>
      <t>NOTE: Only applies to products packaged in an Oval Hard Case.</t>
    </r>
  </si>
  <si>
    <t>Primary package material transferred to eye during application of the contact lens</t>
  </si>
  <si>
    <t>Loose or partially attached Pieces of the Primary Package (Lidstock or Blister Bowl) are present outside the sealed package.
During the opening of the Primary Package material is transferred to the Back Surface of the lens or into the solution.
User inserts the contact lens containing Primary Package material on the BACK SURFACE of the lens or solution into their eye.
User may scratch the surface of the eye during insertion or normal wear.</t>
  </si>
  <si>
    <t>Non-Serious Injury or Illness as determined by the SMEs and Medical Professionals performing the evaluation. The evaluation is recorded in VIS-TD-101397.</t>
  </si>
  <si>
    <t>Loose or partially attached Pieces of the Primary Package (Lidstock or Blister Bowl) are present outside the sealed package.
During the opening of the Primary Package material is transferred to the Front Surface of the lens or into the solution.
User inserts the contact lens containing Primary Package material on the FRONT SURFACE of the lens or solution into their eye and may experience foreign body sensation during insertion, blinking or normal wear prompting removal of the lens from their eye.</t>
  </si>
  <si>
    <t>Loss of function as determined by the SMEs and Medical Professionals performing the evaluation.  The evaluation is recorded in VIS-TD-101397.</t>
  </si>
  <si>
    <t>Hole in contact lens from mechanical damage during the manufacturing process</t>
  </si>
  <si>
    <t>Hole has a rough edge on the back surface of the contact lens which may lead to a corneal abrasion.</t>
  </si>
  <si>
    <r>
      <t xml:space="preserve">The Severity Rating Board determined the potential harm to be classified as Non-Serious Injury or Illness which is a severity of 4, as per </t>
    </r>
    <r>
      <rPr>
        <b/>
        <sz val="10"/>
        <color rgb="FF0000FF"/>
        <rFont val="Times New Roman"/>
        <family val="1"/>
      </rPr>
      <t>QA-0370</t>
    </r>
    <r>
      <rPr>
        <sz val="10"/>
        <rFont val="Times New Roman"/>
        <family val="1"/>
      </rPr>
      <t>.  The evaluation is recorded in VIS-TD-101397.</t>
    </r>
  </si>
  <si>
    <t>Lens Defect</t>
  </si>
  <si>
    <t>Monomer dose nozzle contacts the front curve plastic mold resulting in damage to the FC plastic. This damage in the FC plastic generates an indentation that is transferred to the lens, resulting in a protrusion / surface mark on the front surface of the lens.</t>
  </si>
  <si>
    <r>
      <t xml:space="preserve">The Severity Rating Board determined that there is no impact to health and safety. The patient may experience discomfort or visual disturbance which resolves with removal of the lens with no medical intervention required. This is classified as No Impact to Health &amp; Safety which is a severity ≤ 3 as per </t>
    </r>
    <r>
      <rPr>
        <b/>
        <sz val="10"/>
        <color rgb="FF0000FF"/>
        <rFont val="Times New Roman"/>
        <family val="1"/>
      </rPr>
      <t>QA-0370</t>
    </r>
    <r>
      <rPr>
        <sz val="10"/>
        <rFont val="Times New Roman"/>
        <family val="1"/>
      </rPr>
      <t>.  The evaluation is recorded in VIS-TD-101397.</t>
    </r>
  </si>
  <si>
    <t>Contact lenses contain multiple clusters of MPITAs (monomeric photochemically-induced tear attributes) in the lens polymer matrix. The user receives and places the lens on the eye. The user may reject the lens due to experiencing a visual disturbance.</t>
  </si>
  <si>
    <r>
      <t xml:space="preserve">The Severity Rating Board determined that there is no impact to health and safety. The patient may experience a visual disturbance which resolves with removal of the lens with no medical intervention required. This is classified as No Impact to Health &amp; Safety which is a severity ≤ 3 as per </t>
    </r>
    <r>
      <rPr>
        <b/>
        <sz val="10"/>
        <color rgb="FF0000FF"/>
        <rFont val="Times New Roman"/>
        <family val="1"/>
      </rPr>
      <t>QA-0370</t>
    </r>
    <r>
      <rPr>
        <sz val="10"/>
        <rFont val="Times New Roman"/>
        <family val="1"/>
      </rPr>
      <t>.  The evaluation is recorded in VIS-TD-101397.</t>
    </r>
  </si>
  <si>
    <t>Foreign Matter in Secondary Carton</t>
  </si>
  <si>
    <t>Non-biological material is present inside the secondary carton. The patient opens the secondary carton and observes the foreign matter inside the carton. This aesthetic issue has the potential to lead to a customer complaint.</t>
  </si>
  <si>
    <r>
      <t xml:space="preserve">The Severity Rating Board determined that there is no harm to the patient, Severity of ≤ 3, as per </t>
    </r>
    <r>
      <rPr>
        <b/>
        <sz val="10"/>
        <color rgb="FF0000FF"/>
        <rFont val="Times New Roman"/>
        <family val="1"/>
      </rPr>
      <t>QA-0370</t>
    </r>
    <r>
      <rPr>
        <sz val="10"/>
        <rFont val="Times New Roman"/>
        <family val="1"/>
      </rPr>
      <t>.  The evaluation is recorded in VIS-TD-101397.</t>
    </r>
  </si>
  <si>
    <t>Contact lenses containing spherical attributes are shipped to a user.
The user receives and inserts the lens on to the eye.
The spherical attributes may contain domains with non-functional siloxane material that may scatter light and reduce visual acuity.
The user or ECP may reject the lens due to reduced visual acuity or aesthetic appearance of the lens.</t>
  </si>
  <si>
    <r>
      <t xml:space="preserve">The Severity Rating Board determined that there is no harm to the patient, Severity of ≤ 3, as per </t>
    </r>
    <r>
      <rPr>
        <b/>
        <sz val="10"/>
        <color rgb="FF0000FF"/>
        <rFont val="Times New Roman"/>
        <family val="1"/>
      </rPr>
      <t>QA-0370</t>
    </r>
    <r>
      <rPr>
        <sz val="10"/>
        <rFont val="Times New Roman"/>
        <family val="1"/>
      </rPr>
      <t xml:space="preserve">.  Refer to RMB-04-2020 for severity rationale and investigation. The evaluation is recorded in VIS-TD-101397 and VIS-TD-107072.
</t>
    </r>
    <r>
      <rPr>
        <b/>
        <sz val="10"/>
        <color rgb="FF008000"/>
        <rFont val="Times New Roman"/>
        <family val="1"/>
      </rPr>
      <t>NOTE: This hazardous situation is only known to exist in lenses formulated with OH-mPDMS.</t>
    </r>
  </si>
  <si>
    <t>A contact lens containing a visual attribute with a V-shaped witness mark (shape resembles a comet tail) that may or may not be associated with a nucleation point (e.g. hole or bubble) is shipped to a user.
The user receives and inserts the lens on to the eye.
The visual attribute may have the potential to scatter light and reduce visual acuity.
The user or ECP may reject the lens due to reduced visual acuity or aesthetic appearance of the lens.</t>
  </si>
  <si>
    <r>
      <t xml:space="preserve">The Severity Rating Board determined that there is no harm to the patient, Severity of ≤ 3, as per </t>
    </r>
    <r>
      <rPr>
        <b/>
        <sz val="10"/>
        <color rgb="FF0000FF"/>
        <rFont val="Times New Roman"/>
        <family val="1"/>
      </rPr>
      <t>QA-0370</t>
    </r>
    <r>
      <rPr>
        <sz val="10"/>
        <rFont val="Times New Roman"/>
        <family val="1"/>
      </rPr>
      <t>.  The evaluation is recorded in VIS-TD-101397 and VIS-TD-107276.</t>
    </r>
  </si>
  <si>
    <t>Incorrect lens geometry</t>
  </si>
  <si>
    <t>A contact lens with an incorrect central sag is placed on a patient's eye.  The lens may not provide the patient with the desired subjective vision performance.</t>
  </si>
  <si>
    <r>
      <t xml:space="preserve">The Severity Rating Board determined that there is no harm to the patient, Severity of ≤ 3, as per </t>
    </r>
    <r>
      <rPr>
        <b/>
        <sz val="10"/>
        <color rgb="FF0000FF"/>
        <rFont val="Times New Roman"/>
        <family val="1"/>
      </rPr>
      <t>QA-0370</t>
    </r>
    <r>
      <rPr>
        <sz val="10"/>
        <rFont val="Times New Roman"/>
        <family val="1"/>
      </rPr>
      <t>.  Potential impact to Visual Preference (Subjective Vision). The evaluation is recorded in VIS-TD-101397 and VIS-TD-107427.</t>
    </r>
  </si>
  <si>
    <t>A contact lens with an incorrect maximum radial peripheral thickness is placed on a patient's eye.
The patient inserts a lens with a maximum radial peripheral thickness that is smaller than design intent and may experience difficulty handling the lens.
The patient inserts a lens with a maximum radial peripheral thickness that is larger than design intent and may experience discomfort prompting the patient to remove the lens from the eye.</t>
  </si>
  <si>
    <r>
      <t xml:space="preserve">The Severity Rating Board determined that there is no harm to the patient, Severity of ≤ 3, as per </t>
    </r>
    <r>
      <rPr>
        <b/>
        <sz val="10"/>
        <color rgb="FF0000FF"/>
        <rFont val="Times New Roman"/>
        <family val="1"/>
      </rPr>
      <t>QA-0370</t>
    </r>
    <r>
      <rPr>
        <sz val="10"/>
        <rFont val="Times New Roman"/>
        <family val="1"/>
      </rPr>
      <t>.  Potential impact to handling or comfort. The evaluation is recorded in VIS-TD-101397 and VIS-TD-107428.</t>
    </r>
  </si>
  <si>
    <t>A contact lens with residual (unintended) cylinder power is placed on a patient's eye.
The lens may not provide sufficient vision performance (visual acuity and/or subjective vision), prompting lens removal from the eye.</t>
  </si>
  <si>
    <r>
      <t xml:space="preserve">The Severity Rating Board determined that there is no harm to the patient, Severity of ≤ 3, as per </t>
    </r>
    <r>
      <rPr>
        <b/>
        <sz val="10"/>
        <color rgb="FF0000FF"/>
        <rFont val="Times New Roman"/>
        <family val="1"/>
      </rPr>
      <t>QA-0370</t>
    </r>
    <r>
      <rPr>
        <sz val="10"/>
        <rFont val="Times New Roman"/>
        <family val="1"/>
      </rPr>
      <t>.  Potential impact to visual acuity. The evaluation is recorded in VIS-TD-101397 and VIS-TD-107429.</t>
    </r>
  </si>
  <si>
    <r>
      <t xml:space="preserve">The Severity Rating Board determined that there is no harm to the patient, Severity of ≤ 3, as per </t>
    </r>
    <r>
      <rPr>
        <b/>
        <sz val="10"/>
        <color rgb="FF0000FF"/>
        <rFont val="Times New Roman"/>
        <family val="1"/>
      </rPr>
      <t>QA-0370</t>
    </r>
    <r>
      <rPr>
        <sz val="10"/>
        <rFont val="Times New Roman"/>
        <family val="1"/>
      </rPr>
      <t>.  Potential impact to visual acuity.  The evaluation is recorded in VIS-TD-101397 and VIS-TD-107424.</t>
    </r>
  </si>
  <si>
    <t>A contact lens with an out of specification (above upper specification limit) parameter for myopia treatment (e.g. Off-Axis Ring-1 Power Slope, Off-Axis Ring-2 Power Slope, and Central 2.5mm C20) is placed on a patient’s eye. The lens may not provide sufficient vision performance (visual acuity and/or subjective vision), prompting lens removal from the eye.</t>
  </si>
  <si>
    <r>
      <t xml:space="preserve">The Severity Rating Board determined that there is no harm to the patient, Severity of ≤ 3, as per </t>
    </r>
    <r>
      <rPr>
        <b/>
        <sz val="10"/>
        <color rgb="FF0000FF"/>
        <rFont val="Times New Roman"/>
        <family val="1"/>
      </rPr>
      <t>QA-0370</t>
    </r>
    <r>
      <rPr>
        <sz val="10"/>
        <rFont val="Times New Roman"/>
        <family val="1"/>
      </rPr>
      <t>.  Potential impact to Visual Acuity and/or Visual Preference (Subjective Vision). The evaluation is recorded in VIS-TD-101397 and VIS-TD-108039.</t>
    </r>
  </si>
  <si>
    <t>A contact lens with an out of specification (below lower specification limit) parameter for myopia treatment (e.g. Off-Axis Ring-1 Power Slope, Off-Axis Ring-2 Power Slope, and Central 2.5mm C20) is placed on a patient’s eye. The lens may not provide sufficient myopia control effect.</t>
  </si>
  <si>
    <r>
      <t xml:space="preserve">The Severity Rating Board determined that there is no harm to the patient, Severity of ≤ 3, as per </t>
    </r>
    <r>
      <rPr>
        <b/>
        <sz val="10"/>
        <color rgb="FF0000FF"/>
        <rFont val="Times New Roman"/>
        <family val="1"/>
      </rPr>
      <t>QA-0370</t>
    </r>
    <r>
      <rPr>
        <sz val="10"/>
        <rFont val="Times New Roman"/>
        <family val="1"/>
      </rPr>
      <t>.  Potential to not provide sufficient myopia control effect. The evaluation is recorded in VIS-TD-101397 and VIS-TD-108039.</t>
    </r>
  </si>
  <si>
    <t>Lens Optical Parameters</t>
  </si>
  <si>
    <t>The lens design contains myopia control optics which will provide vision correction while worn, but the vision quality may not be as clear as with conventional soft contact lenses. Some patients may experience visual symptoms (i.e. lights may appear streaked or smeared) while wearing the contact lens. Some patients may find these visual symptoms bothersome, prompting the patient to remove the lens from their eye.</t>
  </si>
  <si>
    <r>
      <t xml:space="preserve">The Severity Rating Board determined that there is no harm to the patient, Severity of ≤ 3, as per </t>
    </r>
    <r>
      <rPr>
        <b/>
        <sz val="10"/>
        <color rgb="FF0000FF"/>
        <rFont val="Times New Roman"/>
        <family val="1"/>
      </rPr>
      <t>QA-0370</t>
    </r>
    <r>
      <rPr>
        <sz val="10"/>
        <rFont val="Times New Roman"/>
        <family val="1"/>
      </rPr>
      <t>. The evaluation is recorded in VIS-TD-101397 and VIS-TD-108039.</t>
    </r>
  </si>
  <si>
    <r>
      <t>USE/MISUSE</t>
    </r>
    <r>
      <rPr>
        <sz val="11"/>
        <color indexed="8"/>
        <rFont val="Times New Roman"/>
        <family val="1"/>
      </rPr>
      <t xml:space="preserve"> 
(Human Factor)</t>
    </r>
  </si>
  <si>
    <t>Multiple lenses fused together or folded</t>
  </si>
  <si>
    <t>Primary packaging received by the user contains multiple lenses stuck together or a folded lens. 
User fails to notice multiple lenses are fused together or attempts to unfold a folded lens and insert lens into their eye.
The user may experience diminished visual acuity or discomfort prompting the user to remove the lens from their eye.</t>
  </si>
  <si>
    <t xml:space="preserve">Rationale for severity level is contained in the following HHE.
• 2012-01-23: Health Hazard Evaluation of Multiple Lenses within a Primary Package (Global 360)
</t>
  </si>
  <si>
    <r>
      <t xml:space="preserve">Swallowing a lens or packing solution.
</t>
    </r>
    <r>
      <rPr>
        <sz val="10"/>
        <rFont val="Times New Roman"/>
        <family val="1"/>
      </rPr>
      <t>User or other individual may inadvertently ingest a lens or packing solution.
Ingestion will likely not result in any serious signs or symptoms.</t>
    </r>
  </si>
  <si>
    <t xml:space="preserve">Rationale for severity level is that lenses are made from polymers that are non-toxic thus ingestion would not pose a health hazard per VIS-TD-100663. </t>
  </si>
  <si>
    <t xml:space="preserve">Rationale for severity level is that the likelihood of choking on a contact lens is remote due to the extremely small footprint of soft contact lens as per VIS-TD-100663. </t>
  </si>
  <si>
    <t xml:space="preserve">Rationale for severity level is in the Contra indication section of the Patient Instruction Guide  </t>
  </si>
  <si>
    <t xml:space="preserve">Rationale for severity level is listed in the Package Insert and Patient Instruction Guide  
21 CFR 801.109 Federal law restricts this device to sale by or on the order of a license practitioner </t>
  </si>
  <si>
    <t xml:space="preserve">Rationale for severity level is in the Warning section of the Patient Instruction Guide. </t>
  </si>
  <si>
    <t xml:space="preserve">User does not follow prescription.
User treats daily wear lens as an extended wear lens and wears the lens during sleep.
The user may experience discomfort or visual acuity issues.  </t>
  </si>
  <si>
    <r>
      <t xml:space="preserve">Rationale for severity level is in VIS-TD-102252/1 Safety Evaluation Memo: Recommendation to review the Potential Harm and Severity Associated with UM-21 and UM-22 in </t>
    </r>
    <r>
      <rPr>
        <b/>
        <sz val="10"/>
        <color rgb="FF0000FF"/>
        <rFont val="Times New Roman"/>
        <family val="1"/>
      </rPr>
      <t>PHS2-0002</t>
    </r>
    <r>
      <rPr>
        <sz val="10"/>
        <rFont val="Times New Roman"/>
        <family val="1"/>
      </rPr>
      <t xml:space="preserve"> (3.0), Product Health &amp; Safety Risk Identification Table MASTER following the Issuance of HHE-2015-0001 that was prepared for QRB-0102015.
HHE# 2015-0001 - Acuvue Advance Brand Contact Lenses: Potential Mislabeling (Global 360)
Information on risk is in the Warning section of the Patient Instruction Guide. </t>
    </r>
  </si>
  <si>
    <r>
      <t xml:space="preserve">Rationale for severity level is in VIS-TD-102252/1 Safety Evaluation Memo: Recommendation to review the Potential Harm and Severity Associated with UM-21 and UM-22 in </t>
    </r>
    <r>
      <rPr>
        <b/>
        <sz val="10"/>
        <color rgb="FF0000FF"/>
        <rFont val="Times New Roman"/>
        <family val="1"/>
      </rPr>
      <t>PHS2-0002</t>
    </r>
    <r>
      <rPr>
        <sz val="10"/>
        <rFont val="Times New Roman"/>
        <family val="1"/>
      </rPr>
      <t xml:space="preserve"> (3.0), Product Health &amp; Safety Risk Identification Table MASTER following the Issuance of HHE-2015-0001 that was prepared for QRB-0102015.
HHE# 2015-0001 - Acuvue Advance Brand Contact Lenses; Potential Mislabeling (Global 360)
Information on risk is in the Warning section of the Patient Instruction Guide. </t>
    </r>
  </si>
  <si>
    <t xml:space="preserve">Rationale for severity level is in the Package Insert and Patient Instruction Guide state that exposing contact lens to water during swimming or while in a hot tub may increase the effects of infection from microorganisms.   </t>
  </si>
  <si>
    <t xml:space="preserve">A user wears contact lenses during a Magnetic Resonance Imaging (MRI).
During the procedure the lenses may over heat or react.
The user may experience discomfort or visual acuity issues.   </t>
  </si>
  <si>
    <t>Rationale for severity level is in the Impact study of MRI on contact lenses  VIS-TD-101209- Assessment of Magnetic Resonance Imaging on Contact Lens.</t>
  </si>
  <si>
    <t xml:space="preserve">A user wears contact lenses during an Intense pulse-light therapy.
During the procedure the lenses may over heat or react.
The user may experience discomfort or visual acuity issues. </t>
  </si>
  <si>
    <t xml:space="preserve">Rationale for severity level is in the report of Improper Use of Intense Pulse Light and Cosmetic Contact lenses VIS-TD-101217. </t>
  </si>
  <si>
    <t>Rationale for severity level is in the Assessment of the Risk associated with Wearing UV-blocking Contact Lenses without Goggles or Sunglasses and the Risk Associated with an Acuvue Brand Contact lens not meeting UV Transmissibility Standards VIS-TD-101216. 
Warning section of PIG and PI: UV-absorbing contact lenses are not substitutes for protective UV-absorbing eyewear, such as UV-absorbing goggles or sunglasses because they do not completely cover the eye and surrounding area.</t>
  </si>
  <si>
    <r>
      <t xml:space="preserve">USE/MISUSE 
</t>
    </r>
    <r>
      <rPr>
        <sz val="11"/>
        <color theme="1"/>
        <rFont val="Times New Roman"/>
        <family val="1"/>
      </rPr>
      <t>(Human Factor)</t>
    </r>
  </si>
  <si>
    <t xml:space="preserve">Rationale for severity level is in the Personal cleanliness for lens handling and application section of the PIG and PI: Avoid the use of soaps containing cold cream, lotion or oily cosmetics before handling your lenses, since these substances may come into contact with the lenses and interfere with successful wearing. </t>
  </si>
  <si>
    <t xml:space="preserve">Rationale for severity level is in the Warning section of PIG and PI: Use caution while using aerosol products such as hair spray. Keep your eyes closed until the spray has settled. Avoid all harmful or irritating vapors and fumes while wearing your lenses. </t>
  </si>
  <si>
    <t>Rationale for severity level is that a finger cut is described as a superficial laceration of the skin of the finger associated with opening the contact lens primary package. 
• 2013-10-16: 41478.TR - Finger Cuts Associated with Opening Acuvue Brand Contact Lenses (Global 360)</t>
  </si>
  <si>
    <t xml:space="preserve">Labeling Mismatch </t>
  </si>
  <si>
    <t xml:space="preserve">There is a discrepancy between what is listed on the Primary and/or Secondary packaging labeling.
There is incorrect, and/or missing product expiration date information. 
The user inadvertently wears an expired lens.
The user may experience discomfort or visual acuity issues.  </t>
  </si>
  <si>
    <t>Rationale for severity level is contained in the following HHE.
• 2011-05-31: Health Hazard Evaluation of 1 Day Acuvue Define Accent (etafilcon) Contact Lenses Label Discrepancy between the 5 Pack Carton (secondary Package) and the Primary Package (Global 360)</t>
  </si>
  <si>
    <t>Labeling Mismatch</t>
  </si>
  <si>
    <t xml:space="preserve">There is a discrepancy between what is listed on the Primary and/or Secondary labeling:
There is incorrect, and/or missing package information. 
User ends up using a lens with an incorrect Diameter, Base Curve, or power.
The user may experience discomfort or visual acuity issues. </t>
  </si>
  <si>
    <t>Rationale for severity level is contained in the following HHE's.
• HHE# 2014-0002 - Incorrect Base Curve details on inner Carton of 90 Pack Lot (Global 360)
• HHE# 2012-005 - One Acuvue Oasys 24 Pack had the incorrect Lot # &amp; UPC code printed on the 24 Pack Carton (Global 360)</t>
  </si>
  <si>
    <t>Rationale for severity level is contained in the Patient Instruction guide (precaution section).
TFOS International Workshop Report of the Management and Therapy Subcommittee VIS-TD-101222.</t>
  </si>
  <si>
    <t xml:space="preserve">Rationale for severity level is contained in the Patient Instruction guide (precaution section) and Physician Instructions (emergencies section). </t>
  </si>
  <si>
    <t>Incorrect Expiration Date</t>
  </si>
  <si>
    <t>User is unable to calculate correct expiration date from the over label and wears an expired lens.
Visual acuity may be impacted or the user may experience discomfort prompting removal of the lens from their eye (s).</t>
  </si>
  <si>
    <t xml:space="preserve">Rationale for severity level is contained in the following:
• HHE# 2017-0002 - Evaluation of the Label drafted for 4 Year Expiration Dating on 1 Day Acuvue TruEye Brand Contact Lense with Hydraclear technology in Russia (Sr. MSO) (Global 360)
• HHE# 2017-0001 - Expiration dating of 1 Day Acuvue TruEye Brand CLs in Russia (Global 360)
</t>
  </si>
  <si>
    <t>Active Pharmaceutical Ingredient
(Misuse of a Combination Product)</t>
  </si>
  <si>
    <t xml:space="preserve">User who is pregnant or lactating wears contact lens. 
User or child may experience complications due to continued use of the contact lens.
</t>
  </si>
  <si>
    <t>Rationale for severity level is contained in the Zaditor RX package insert and within the printed labeling section on Pregnancy of 21-066 Zaditor NDA (VIS-TD-103491).
The rationale for the severity rating is also supported by VIS-TD-108953: Apollo Demographic Collection Memo.</t>
  </si>
  <si>
    <t>User ingests the contents (lens and or packing solution) of a package containing ketotifen.
Ingestion will likely not result in any serious signs or symptoms.</t>
  </si>
  <si>
    <t>Rationale for severity level is contained in the Zaditor RX package insert and within the printed labeling section on Overdose of 21-066 Zaditor NDA (VIS-TD-103491).</t>
  </si>
  <si>
    <t>A user has an eye that is red and wears a contact lens.
The user may have an eye infection and should not be wearing contact lenses.
The user has non-allergy associated red eye and associates this with allergy.  The user continues to wear the contact lens and delays seeking medical attention for the underlying condition which worsens</t>
  </si>
  <si>
    <t>Rationale for severity level is contained in the evaluation recorded in VIS-TD-101397 and VIS-TD-106980.</t>
  </si>
  <si>
    <t>Mislabeling of a Combination Product</t>
  </si>
  <si>
    <t xml:space="preserve">There is a discrepancy between what is listed on the Primary and/or Secondary package labeling.
There is incorrect, and/or missing package information identifying the product contains the ketotifen component.
A healthy unaware user inserts a lens containing ketotifen into their eye and may experience stinging upon insertion prompting removal of the lens from their eye. 
</t>
  </si>
  <si>
    <t>Rationale for severity level is contained in the
Clinical Study Report: CR-4434 Jan 11, 2007</t>
  </si>
  <si>
    <t xml:space="preserve">There is a discrepancy between what is listed on the Primary and/or Secondary package labeling.
There is incorrect, and/or missing package information identifying the product contains the ketotifen component.
An unaware hypersensitive to ketotifen user inserts a lens containing ketotifen into their eye and may experience acute allergic reaction upon insertion prompting removal of the lens from their eye. 
</t>
  </si>
  <si>
    <t>Rationale for severity level is contained in the
Clinical Study Report: CR-4434 Jan 11, 2007
NDA</t>
  </si>
  <si>
    <r>
      <t xml:space="preserve">USE/MISUSE 
</t>
    </r>
    <r>
      <rPr>
        <sz val="11"/>
        <rFont val="Times New Roman"/>
        <family val="1"/>
      </rPr>
      <t>(Human Factor)</t>
    </r>
  </si>
  <si>
    <t>Individual under the age of three is exposed to the lens or packing solution containing ketotifen. Exposure will likely not result in any serious signs or symptoms.</t>
  </si>
  <si>
    <t>Rationale for severity level is contained in the Zaditor RX package insert and within the printed labeling section on Overdose of 21-066 Zaditor NDA,(VIS-TD-103491)</t>
  </si>
  <si>
    <t>Missing Patient Instruction Guide for Combination Product</t>
  </si>
  <si>
    <t>During the cartoning process or subsequent conversion process (re-cartoning) the Patient Instruction Guide (PIG) is not attached to the secondary carton identifying the contact lens contains ketotifen.
A healthy unaware user inserts a lens containing ketotifen into their eye and may experience stinging upon insertion prompting removal of the lens from their eye.</t>
  </si>
  <si>
    <t>Rationale for severity level is contained in the New  Harm, Hazard, Hazardous Situation Evaluation Identification Request Form: 04/18/2017:
No Impact to Health &amp; Safety as determined by the SMEs and Medical Professionals performing the evaluation.
The evaluation is recorded in VIS-TD-101397</t>
  </si>
  <si>
    <t xml:space="preserve">Improper Storage of Combination Product </t>
  </si>
  <si>
    <t xml:space="preserve">A user does not store their lenses inside the secondary carton or at the specified temperature.
Contact lenses are exposed to sunlight or temperatures outside of specification causing degradation of the ketotifen.
The user inserts a lens into their eye that has degraded ketotifen and may not experience sufficient ocular itch relief.
</t>
  </si>
  <si>
    <t>Incorrect Product Identity of a Combination Product</t>
  </si>
  <si>
    <t xml:space="preserve">There is a discrepancy between what is listed on the Primary and/or Secondary package labeling: 
There is incorrect, and/or missing package information identifying the product contains the ketotifen component.
An unaware user with narrow angles inserts a lens containing ketotifen into their eye and experiences an acute angle closure glaucoma attack after insertion prompting immediate medical attention. 
</t>
  </si>
  <si>
    <t>Glaucoma, Eye infection, Infective corneal ulcer</t>
  </si>
  <si>
    <t>Missing Safety Information</t>
  </si>
  <si>
    <t>Product is shipped without the required Patient Instruction Guide, Package Insert, or Patient Fitting Instruction Guide.
User unaware of safety related use/misuse hazards related to cleaning and caring for contact lenses or the eye care professional is unclear of special fitting instructions.</t>
  </si>
  <si>
    <t xml:space="preserve">Rationale for severity level is contained in the New  Harm, Hazard, Hazardous Situation Evaluation Identification Request Form: 03/30/2017:
No Impact to Health &amp; Safety as determined by the SMEs and Medical Professionals performing the evaluation. The evaluation is documented in VIS-TD-101397
</t>
  </si>
  <si>
    <t>Improper lens storage impacting attenuation of bright light</t>
  </si>
  <si>
    <t>The user stores their lenses in the primary package exposing them to the sun (Under UV).
Exposure to sunlight causes the photochromic to activate and fatigue.
The fatigue will decrease the photochromic performance (decrease in optical density) of the lens prompting the user to remove the lens from their eye (s).</t>
  </si>
  <si>
    <t xml:space="preserve">There is no Impact to Health &amp; Safety but it would be a loss of primary function per the medical professionals and SMEs performing the evaluation. The evaluation is recorded in VIS-TD-101397.
</t>
  </si>
  <si>
    <t xml:space="preserve">Unbalanced optical density (photochromic lens) </t>
  </si>
  <si>
    <t>User wears only one lens in an Ultraviolet (UV) or in a High Energy Visible Light (HEV) environment and may experience an unbalanced optical density.
An unbalanced optical density may promote the occurrence of visual disturbances such as the Pulfrich or Enright Illusion.</t>
  </si>
  <si>
    <t xml:space="preserve">Rationale for severity level is contained in the New  Harm, Hazard, Hazardous Situation Evaluation Identification Request Form: 07/26/2018: Supporting research is the Pulfrich Effect Report, (VIS-TD-104862/1)
No Impact to Health &amp; Safety as determined by the SMEs and Medical Professionals performing the evaluation. The evaluation is documented in VIS-TD-101397
</t>
  </si>
  <si>
    <t>Improper prescribing of a bandage lens or wearer non-compliance which may lead to deterioration of a pre-existing condition including infection.</t>
  </si>
  <si>
    <t>The Severity Rating Board has rated the new hazard as a severity of 5 due to the potential harm, but also noted that the probability of harm is very low. This decision is based on the review of information in clinical study, CR-1550, the literature review report, and historical medical complaints.
Vision Care Research Senofilcon A Bandage Contact Lens Literature Search Report, VISTAKON® (senofilcon A) Contact Lens Material Retrospective Bandage Lens Usage Study VISTAKON@ (senofilcon A) Contact Lens Material Retrospective Bandage Lens Usage Study, CR-1550.</t>
  </si>
  <si>
    <r>
      <t xml:space="preserve">The Severity Rating Board determined the potential harm to be Infection which is a Serious Injury or Illness, severity of 5, as per </t>
    </r>
    <r>
      <rPr>
        <b/>
        <sz val="10"/>
        <color rgb="FF0000FF"/>
        <rFont val="Times New Roman"/>
        <family val="1"/>
      </rPr>
      <t>QA-0370</t>
    </r>
    <r>
      <rPr>
        <sz val="10"/>
        <rFont val="Times New Roman"/>
        <family val="1"/>
      </rPr>
      <t>. The evaluation is recorded in VIS-TD-101397.</t>
    </r>
  </si>
  <si>
    <r>
      <t xml:space="preserve">The Severity Rating Board determined the potential harm to be classified as Non-Serious Injury or Illness which is a severity of 4, as per </t>
    </r>
    <r>
      <rPr>
        <b/>
        <sz val="10"/>
        <color rgb="FF0000FF"/>
        <rFont val="Times New Roman"/>
        <family val="1"/>
      </rPr>
      <t>QA-0370</t>
    </r>
    <r>
      <rPr>
        <sz val="10"/>
        <rFont val="Times New Roman"/>
        <family val="1"/>
      </rPr>
      <t>. The evaluation is recorded in VIS-TD-101397.</t>
    </r>
  </si>
  <si>
    <r>
      <t xml:space="preserve">The Severity Rating Board determined that there is no harm as the user does not use the lens from the open package. This is classified as No Impact to Health &amp; Safety which is a severity of 3 as per </t>
    </r>
    <r>
      <rPr>
        <b/>
        <sz val="10"/>
        <color rgb="FF0000FF"/>
        <rFont val="Times New Roman"/>
        <family val="1"/>
      </rPr>
      <t>QA-0370</t>
    </r>
    <r>
      <rPr>
        <sz val="10"/>
        <rFont val="Times New Roman"/>
        <family val="1"/>
      </rPr>
      <t>. The evaluation is recorded in VIS-TD-101397.</t>
    </r>
  </si>
  <si>
    <r>
      <t xml:space="preserve">The Severity Rating Board determined that there is no harm due to loss of function. This is classified as No Impact to Health &amp; Safety which is a severity of 3 as per </t>
    </r>
    <r>
      <rPr>
        <b/>
        <sz val="10"/>
        <color rgb="FF0000FF"/>
        <rFont val="Times New Roman"/>
        <family val="1"/>
      </rPr>
      <t>QA-0370</t>
    </r>
    <r>
      <rPr>
        <sz val="10"/>
        <rFont val="Times New Roman"/>
        <family val="1"/>
      </rPr>
      <t>. The evaluation is recorded in VIS-TD-101397.</t>
    </r>
  </si>
  <si>
    <t>Active Pharmaceutical Ingredient (Misuse of a Combination Product)</t>
  </si>
  <si>
    <t>A user wears more than one combination product contact lens containing ketotifen on one eye during the same day (as a result of lens replacement).  User does not follow IFU and is exposed to a daily amount of ketotifen that exceeds the prescribed dose.  The exposure of an increased daily amount of ketotifen may cause increased pupil enlargement or instillation site irritation, prompting the removal of the lens from the eye</t>
  </si>
  <si>
    <r>
      <t xml:space="preserve">The Severity Rating Board determined that there is no potential harm for increased pupil enlargement or instillation site irritation (no impact to health and safety), but there is a loss of function, which is rated a severity of 3 per </t>
    </r>
    <r>
      <rPr>
        <b/>
        <sz val="10"/>
        <color rgb="FF0000FF"/>
        <rFont val="Times New Roman"/>
        <family val="1"/>
      </rPr>
      <t>QA-0370</t>
    </r>
    <r>
      <rPr>
        <sz val="10"/>
        <rFont val="Times New Roman"/>
        <family val="1"/>
      </rPr>
      <t>.  The evaluation is recorded in VIS-TD-101397 and VIS-TD-106980.
VIS-TD-001661, Apollo First Principles Model.
VIS-TD-002009, Predictability and Control of Ketotifen Dose and Content Uniformity in the Apollo Lens.
VIS-TOX-005186/A
TR-1482, Partitioning of Ketotifen as a Function of Target Lens Volume and Concentration.
VIS-TD-002075, Release of Ketotifen from 1-Day ACUVUE® Brand Contact Lenses</t>
    </r>
  </si>
  <si>
    <t>Patient is not aware that there is no data available on the safety driving performance with ACUVUE® OASYS with Transitions™ contact lenses for individuals age 50 and older who may have crystalline lens opacities.  Patient is over age 50 and has a crystalline lens opacity.  Patient experiences a change in their vision while driving and may choose to drive without OASYS with Transitions™ contact lenses (switch to non-photochromic glasses or contacts).</t>
  </si>
  <si>
    <t>Loss of function as determined by the SMEs and Medical Professionals performing the evaluation. No increased risk as compared to wearing sunglasses. The evaluation is recorded in VIS-TD-101397 and VIS-TD-107379.</t>
  </si>
  <si>
    <t>Patient is not aware that ACUVUE® OASYS with Transitions™ contact lenses are not intended for use as protection against artificial light sources (such as sun lamps, laser, etc.) or staring directly at the sun or at an eclipse.  Patient looks at artificial light source or the sun with ACUVUE® OASYS with Transitions™ contact lenses.  Patient experiences discomfort and looks away from the light source or the sun before damaging their eye health or vision.</t>
  </si>
  <si>
    <t>Loss of function as determined by the SMEs and Medical Professionals performing the evaluation. The evaluation is recorded in VIS-TD-101397 and VIS-TD-107379.</t>
  </si>
  <si>
    <t>Mis-use</t>
  </si>
  <si>
    <t>The lens design contains myopia control optics, which may provide insufficient vision (e.g. 20/30 or worse monocular visual acuity) if the lens power was not adjusted per the fitting guide. Prolonged exposure to insufficient vision while wearing the lens may, in theory, cause young patients to experience loss of best sphero-cylindrical corrected visual acuity (BSCVA), which, if insufficiently addressed, may hypothetically result in permanent reduction of BSCVA.</t>
  </si>
  <si>
    <r>
      <t xml:space="preserve">The Severity Rating Board determined that a permanent reduction in visual acuity is Severity of 5, as per </t>
    </r>
    <r>
      <rPr>
        <b/>
        <sz val="10"/>
        <color rgb="FF0000FF"/>
        <rFont val="Times New Roman"/>
        <family val="1"/>
      </rPr>
      <t>QA-0370</t>
    </r>
    <r>
      <rPr>
        <sz val="10"/>
        <color theme="1"/>
        <rFont val="Times New Roman"/>
        <family val="1"/>
      </rPr>
      <t>. The evaluation is recorded in VIS-TD-101397 and VIS-TD-108039.</t>
    </r>
  </si>
  <si>
    <r>
      <t xml:space="preserve">The Severity Rating Board determined that the potential harm of corneal abrasion is Severity of 4, as per </t>
    </r>
    <r>
      <rPr>
        <b/>
        <sz val="10"/>
        <color rgb="FF0000FF"/>
        <rFont val="Times New Roman"/>
        <family val="1"/>
      </rPr>
      <t>QA-0370</t>
    </r>
    <r>
      <rPr>
        <sz val="10"/>
        <color theme="1"/>
        <rFont val="Times New Roman"/>
        <family val="1"/>
      </rPr>
      <t>. The evaluation is recorded in VIS-TD-101397 and VIS-TD-108039.</t>
    </r>
  </si>
  <si>
    <t>Eye infection, Infective corneal ulcer, Corneal opacity
(Serious Injury or Illness)</t>
  </si>
  <si>
    <r>
      <t xml:space="preserve">The Severity Rating Board determined that the potential harm of an eye infection is Severity of 5, as per </t>
    </r>
    <r>
      <rPr>
        <b/>
        <sz val="10"/>
        <color rgb="FF0000FF"/>
        <rFont val="Times New Roman"/>
        <family val="1"/>
      </rPr>
      <t>QA-0370</t>
    </r>
    <r>
      <rPr>
        <sz val="10"/>
        <color theme="1"/>
        <rFont val="Times New Roman"/>
        <family val="1"/>
      </rPr>
      <t>. The evaluation is recorded in VIS-TD-101397, VIS-TD-108039 and VIS-TD-108819.</t>
    </r>
  </si>
  <si>
    <t>A user does not successfully differentiate between contact lens products. The user selects the unintended product and places a lens on eye which releases ketotifen.  There is no harm to the user from the contact lens with ketotifen.</t>
  </si>
  <si>
    <r>
      <t xml:space="preserve">The Severity Rating Board determined that there is no harm to the patient, Severity of ≤ 3, as per </t>
    </r>
    <r>
      <rPr>
        <b/>
        <sz val="10"/>
        <color rgb="FF0000FF"/>
        <rFont val="Times New Roman"/>
        <family val="1"/>
      </rPr>
      <t>QA-0370</t>
    </r>
    <r>
      <rPr>
        <sz val="10"/>
        <color theme="1"/>
        <rFont val="Times New Roman"/>
        <family val="1"/>
      </rPr>
      <t>. The evaluation is recorded in VIS-TD-101397 and VIS-TD-108125.</t>
    </r>
  </si>
  <si>
    <t>A user does not successfully differentiate between contact lens products. The user selects the unintended product and places a lens on eye that is not intended for myopia control effect.  There is no harm to the user but the user does not receive the functional benefit of the myopia management lens.</t>
  </si>
  <si>
    <t>The lens design contains myopia control optics which will provide vision correction while worn, but the vision quality may not be as clear as with conventional soft contact lenses. Some patients may experience visual symptoms (i.e. lights may appear streaked or smeared) while wearing the contact lens. A user may not exercise care when performing a potentially hazardous, vision demanding activity.  The potentially hazardous, vision demanding activity may result in a potential injury to the user and/or other individuals.</t>
  </si>
  <si>
    <r>
      <t xml:space="preserve">The Severity Rating Board determined that there is the potential for a serious injury or illness resulting in a Severity Rating of 5, as per </t>
    </r>
    <r>
      <rPr>
        <b/>
        <sz val="10"/>
        <color rgb="FF0000FF"/>
        <rFont val="Times New Roman"/>
        <family val="1"/>
      </rPr>
      <t>QA-0370</t>
    </r>
    <r>
      <rPr>
        <sz val="10"/>
        <color theme="1"/>
        <rFont val="Times New Roman"/>
        <family val="1"/>
      </rPr>
      <t>.  The evaluation is recorded in VIS-TD-101397 and VIS-TD-108265.  Refer to Project ELMO Assessment of Myopia Control Optics in CR-5959 (VIS-TD-108263) for additional details.</t>
    </r>
  </si>
  <si>
    <r>
      <t xml:space="preserve">The Severity Rating Board determined that an eye injury is a non-serious injury or illness, Severity of 4, as per </t>
    </r>
    <r>
      <rPr>
        <b/>
        <sz val="10"/>
        <color rgb="FF0000FF"/>
        <rFont val="Times New Roman"/>
        <family val="1"/>
      </rPr>
      <t>QA-0370</t>
    </r>
    <r>
      <rPr>
        <sz val="10"/>
        <color theme="1"/>
        <rFont val="Times New Roman"/>
        <family val="1"/>
      </rPr>
      <t>.  The evaluation is recorded in VIS-TD-101397 and VIS-TD-108430.</t>
    </r>
  </si>
  <si>
    <r>
      <t xml:space="preserve">The Severity Rating Board determined that an eye infection is a serious injury or illness, Severity of 5, as per </t>
    </r>
    <r>
      <rPr>
        <b/>
        <sz val="10"/>
        <color rgb="FF0000FF"/>
        <rFont val="Times New Roman"/>
        <family val="1"/>
      </rPr>
      <t>QA-0370</t>
    </r>
    <r>
      <rPr>
        <sz val="10"/>
        <color theme="1"/>
        <rFont val="Times New Roman"/>
        <family val="1"/>
      </rPr>
      <t>.  The evaluation is recorded in VIS-TD-101397 and VIS-TD-108430.</t>
    </r>
  </si>
  <si>
    <r>
      <t xml:space="preserve">The Severity Rating Board determined that there is no harm to the patient, Severity of ≤ 3, as per </t>
    </r>
    <r>
      <rPr>
        <b/>
        <sz val="10"/>
        <color rgb="FF0000FF"/>
        <rFont val="Times New Roman"/>
        <family val="1"/>
      </rPr>
      <t>QA-0370</t>
    </r>
    <r>
      <rPr>
        <sz val="10"/>
        <color theme="1"/>
        <rFont val="Times New Roman"/>
        <family val="1"/>
      </rPr>
      <t>.  The evaluation is recorded in VIS-TD-101397 and VIS-TD-108430.</t>
    </r>
  </si>
  <si>
    <t>Chemical Eye Injury, Conjunctivitis, Eye swelling, Eye Inflammation, Hypersensitivity, Keratitis
(Non-serious injury or illness)</t>
  </si>
  <si>
    <r>
      <t xml:space="preserve">The Severity Rating Board determined that an eye injury is a non-serious injury or illness, Severity of 4, as per </t>
    </r>
    <r>
      <rPr>
        <b/>
        <sz val="10"/>
        <color rgb="FF0000FF"/>
        <rFont val="Times New Roman"/>
        <family val="1"/>
      </rPr>
      <t>QA-0370</t>
    </r>
    <r>
      <rPr>
        <sz val="10"/>
        <color theme="1"/>
        <rFont val="Times New Roman"/>
        <family val="1"/>
      </rPr>
      <t>.  The evaluation is recorded in VIS-TD-101397 and VIS-TD-108819.</t>
    </r>
  </si>
  <si>
    <t>Cosmetic Defect in a Beauty lens</t>
  </si>
  <si>
    <t>Lenses with an unacceptable cosmetic print pattern are shipped to a user.
The lens cosmetic pattern is unsatisfactory with insufficient colorant (pigment), color variations between the lenses, non-concentric printed patterns, variations in pattern diameter, defects within the print patterns or missing color layers.
User receives the lenses and inserts them into their eyes.
User may not receive the desired cosmetic appeal and discontinue wearing the lenses.</t>
  </si>
  <si>
    <r>
      <rPr>
        <sz val="10"/>
        <rFont val="Times New Roman"/>
        <family val="1"/>
      </rPr>
      <t>Rationale for severity level is contained in the following technical Document and HHE.
VIS-TD-100786 Assessment of clear layer and pigment entrapment in rejuvenation lenses by scanning electron microscopy (SEM)</t>
    </r>
    <r>
      <rPr>
        <sz val="10"/>
        <color indexed="8"/>
        <rFont val="Times New Roman"/>
        <family val="1"/>
      </rPr>
      <t xml:space="preserve">
• 2004-02-09: Pattern Misalignment on Opaque 1 Day Acuvue Colors (Global 360)</t>
    </r>
  </si>
  <si>
    <t>Photochromic Performance Defect</t>
  </si>
  <si>
    <t>Contact lenses with a reduced Delta Optical Density (∆OD) are produced and shipped to a user.
The user inserts the lens with a reduced Delta Optical Density (∆OD) into their eye and the lens may not provide the user visual comfort (attenuation of bright light).</t>
  </si>
  <si>
    <t xml:space="preserve">This has been determined to be a severity 3 hazard as the lens will not meet label claims but will not result in patient harm by the medical professionals and SMEs performing the evaluation. The evaluation is recorded in VIS-TD-101397.
Reference, Memo to File: Re-assessment of Reduced Optical Density Severity rating dated 31 August 2018
</t>
  </si>
  <si>
    <t>Cosmetic Defect in a Photochromic lens</t>
  </si>
  <si>
    <t>Contact lenses with an elevated Delta Optical Density (∆OD) are produced and shipped to a user.
The user inserts the lens with an elevated ∆OD into their eye and may reject the lens due to cosmetic issues.</t>
  </si>
  <si>
    <r>
      <t xml:space="preserve">The medical professionals and SMEs determined that this does not constitute a new harm since the contact lenses are not capable of becoming dark enough to become a hazard or create a hazardous situation.
The evaluation is recorded in VIS-TD-101397.
Per the severity rating definitions in </t>
    </r>
    <r>
      <rPr>
        <b/>
        <sz val="10"/>
        <color rgb="FF0000FF"/>
        <rFont val="Times New Roman"/>
        <family val="1"/>
      </rPr>
      <t>QA-0370</t>
    </r>
    <r>
      <rPr>
        <sz val="10"/>
        <color theme="1"/>
        <rFont val="Times New Roman"/>
        <family val="1"/>
      </rPr>
      <t xml:space="preserve"> an cosmetic/aesthetic issue is rated as a severity of 1.</t>
    </r>
  </si>
  <si>
    <r>
      <t xml:space="preserve">High Energy Visible (HEV) Light </t>
    </r>
    <r>
      <rPr>
        <b/>
        <sz val="10"/>
        <rFont val="Times New Roman"/>
        <family val="1"/>
      </rPr>
      <t xml:space="preserve">Filtering </t>
    </r>
    <r>
      <rPr>
        <b/>
        <sz val="10"/>
        <color theme="1"/>
        <rFont val="Times New Roman"/>
        <family val="1"/>
      </rPr>
      <t xml:space="preserve">Performance </t>
    </r>
  </si>
  <si>
    <t>ENERGY</t>
  </si>
  <si>
    <t>Output of energy</t>
  </si>
  <si>
    <t>There is no foreseeable sequence of events.</t>
  </si>
  <si>
    <t xml:space="preserve">JJVC does not manufacture contact lenses that contain an energy source. </t>
  </si>
  <si>
    <t>ENVIRONMENTAL</t>
  </si>
  <si>
    <t>Rationale for severity level is contained in the following technical document. JJVC manufactures contact lenses that are safe for disposal into the environment as per VIS-TD-101198.
Refer to VIS-TD-106900 for the Environmental Product Compliance &amp; Sustainability Annual Analysis of the Global Waste Classification of Contact Lens Products.</t>
  </si>
  <si>
    <t>Improper Storage Conditions for Combination Product</t>
  </si>
  <si>
    <t xml:space="preserve">During storage and Distribution lenses are exposed to temperatures exceeding the temperature specification resulting in degradation of the ketotifen.
User receives and inserts a lens into their eye and may not experience sufficient ocular itch relief.
</t>
  </si>
  <si>
    <t>Rationale for severity level is contained in the New  Harm, Hazard, Hazardous Situation Evaluation Identification Request Form: 04/18/2017:
Loss of primary function as determined by the SMEs and Medical Professionals performing the evaluation.
The evaluation is recorded in VIS-TD-101397.</t>
  </si>
  <si>
    <r>
      <t xml:space="preserve">Rationale for severity level is supported by VIS-STBRPT-005215: Storage and Shipping Temperature Range Assessment for all Currently Marketed JJVC Contact Lens Products and documented in the New Harm, Hazard, Hazardous Situation Evaluation Identification Request Form dated 05/02/2018. 
The evaluation is recorded in VIS-TD-101397.
The rationale for severity level is also supported by </t>
    </r>
    <r>
      <rPr>
        <b/>
        <sz val="10"/>
        <color rgb="FF0000FF"/>
        <rFont val="Times New Roman"/>
        <family val="1"/>
      </rPr>
      <t>VWI-0101</t>
    </r>
    <r>
      <rPr>
        <sz val="10"/>
        <rFont val="Times New Roman"/>
        <family val="1"/>
      </rPr>
      <t xml:space="preserve">: Summary of JJVC Storage, Handling, and Distribution Requirements.
</t>
    </r>
  </si>
  <si>
    <t xml:space="preserve"> </t>
  </si>
  <si>
    <t>MHES-0001</t>
  </si>
  <si>
    <t>MHES-0002</t>
  </si>
  <si>
    <t>MHES-0003</t>
  </si>
  <si>
    <t>MHES-0004</t>
  </si>
  <si>
    <t>MHES-0005</t>
  </si>
  <si>
    <t>MHES-0006</t>
  </si>
  <si>
    <t>MHES-0007</t>
  </si>
  <si>
    <t>MHES-0008</t>
  </si>
  <si>
    <t>MHES-0009</t>
  </si>
  <si>
    <t>MHES-0010</t>
  </si>
  <si>
    <t>MHES-0011</t>
  </si>
  <si>
    <t>MHES-0012</t>
  </si>
  <si>
    <t>MHES-0013</t>
  </si>
  <si>
    <t>MHES-0014</t>
  </si>
  <si>
    <t>MHES-0015</t>
  </si>
  <si>
    <t>MHES-0016</t>
  </si>
  <si>
    <t>MHES-0017</t>
  </si>
  <si>
    <t>MHES-0018</t>
  </si>
  <si>
    <t>MHES-0019</t>
  </si>
  <si>
    <t>MHES-0020</t>
  </si>
  <si>
    <t>MHES-0021</t>
  </si>
  <si>
    <t>MHES-0022</t>
  </si>
  <si>
    <t>MHES-0023</t>
  </si>
  <si>
    <t>MHES-0024</t>
  </si>
  <si>
    <t>MHES-0025</t>
  </si>
  <si>
    <t>MHES-0026</t>
  </si>
  <si>
    <t>MHES-0027</t>
  </si>
  <si>
    <t>MHES-0028</t>
  </si>
  <si>
    <t>MHES-0029</t>
  </si>
  <si>
    <t>MHES-0030</t>
  </si>
  <si>
    <t>MHES-0031</t>
  </si>
  <si>
    <t>MHES-0032</t>
  </si>
  <si>
    <t>MHES-0033</t>
  </si>
  <si>
    <t>MHES-0034</t>
  </si>
  <si>
    <t>MHES-0035</t>
  </si>
  <si>
    <t>MHES-0036</t>
  </si>
  <si>
    <t>MHES-0037</t>
  </si>
  <si>
    <t>MHES-0038</t>
  </si>
  <si>
    <t>MHES-0039</t>
  </si>
  <si>
    <t>MHES-0040</t>
  </si>
  <si>
    <t>MHES-0041</t>
  </si>
  <si>
    <t>MHES-0042</t>
  </si>
  <si>
    <t>MHES-0043</t>
  </si>
  <si>
    <t>MHES-0044</t>
  </si>
  <si>
    <t>MHES-0045</t>
  </si>
  <si>
    <t>MHES-0046</t>
  </si>
  <si>
    <t>MHES-0047</t>
  </si>
  <si>
    <t>MHES-0048</t>
  </si>
  <si>
    <t>MHES-0049</t>
  </si>
  <si>
    <t>MHES-0050</t>
  </si>
  <si>
    <t>MHES-0051</t>
  </si>
  <si>
    <t>MHES-0052</t>
  </si>
  <si>
    <t>MHES-0053</t>
  </si>
  <si>
    <t>MHES-0054</t>
  </si>
  <si>
    <t>MHES-0055</t>
  </si>
  <si>
    <t>MHES-0056</t>
  </si>
  <si>
    <t>MHES-0057</t>
  </si>
  <si>
    <t>MHES-0058</t>
  </si>
  <si>
    <t>MHES-0059</t>
  </si>
  <si>
    <t>MHES-0060</t>
  </si>
  <si>
    <t>MHES-0061</t>
  </si>
  <si>
    <t>MHES-0062</t>
  </si>
  <si>
    <t>MHES-0063</t>
  </si>
  <si>
    <t>MHES-0064</t>
  </si>
  <si>
    <t>MHES-0065</t>
  </si>
  <si>
    <t>MHES-0066</t>
  </si>
  <si>
    <t>MHES-0067</t>
  </si>
  <si>
    <t>MHES-0068</t>
  </si>
  <si>
    <t>MHES-0069</t>
  </si>
  <si>
    <t>MHES-0070</t>
  </si>
  <si>
    <t>MHES-0071</t>
  </si>
  <si>
    <t>MHES-0072</t>
  </si>
  <si>
    <t>MHES-0073</t>
  </si>
  <si>
    <t>MHES-0074</t>
  </si>
  <si>
    <t>MHES-0075</t>
  </si>
  <si>
    <t>MHES-0076</t>
  </si>
  <si>
    <t>MHES-0077</t>
  </si>
  <si>
    <t>MHES-0078</t>
  </si>
  <si>
    <t>MHES-0079</t>
  </si>
  <si>
    <t>MHES-0080</t>
  </si>
  <si>
    <t>MHES-0081</t>
  </si>
  <si>
    <t>MHES-0082</t>
  </si>
  <si>
    <t>MHES-0083</t>
  </si>
  <si>
    <t>MHES-0084</t>
  </si>
  <si>
    <t>MHES-0085</t>
  </si>
  <si>
    <t>MHES-0086</t>
  </si>
  <si>
    <t>MHES-0087</t>
  </si>
  <si>
    <t>MHES-0088</t>
  </si>
  <si>
    <t>MHES-0089</t>
  </si>
  <si>
    <t>MHES-0090</t>
  </si>
  <si>
    <t>MHES-0091</t>
  </si>
  <si>
    <t>MHES-0092</t>
  </si>
  <si>
    <t>MHES-0093</t>
  </si>
  <si>
    <t>MHES-0094</t>
  </si>
  <si>
    <t>MHES-0095</t>
  </si>
  <si>
    <t>MHES-0096</t>
  </si>
  <si>
    <t>MHES-0097</t>
  </si>
  <si>
    <t>MHES-0098</t>
  </si>
  <si>
    <t>MHES-0099</t>
  </si>
  <si>
    <t>MHES-0100</t>
  </si>
  <si>
    <t>MHES-0101</t>
  </si>
  <si>
    <t>MHES-0102</t>
  </si>
  <si>
    <t>MHES-0103</t>
  </si>
  <si>
    <t>MHES-0104</t>
  </si>
  <si>
    <t>MHES-0105</t>
  </si>
  <si>
    <t>MHES-0106</t>
  </si>
  <si>
    <t>MHES-0107</t>
  </si>
  <si>
    <t>MHES-0108</t>
  </si>
  <si>
    <t>MHES-0109</t>
  </si>
  <si>
    <t>MHES-0110</t>
  </si>
  <si>
    <t>MHES-0111</t>
  </si>
  <si>
    <t>MHES-0112</t>
  </si>
  <si>
    <t>MHES-0113</t>
  </si>
  <si>
    <t>MHES-0114</t>
  </si>
  <si>
    <t>MHES-0115</t>
  </si>
  <si>
    <t>MHES-0116</t>
  </si>
  <si>
    <t>MHES-0117</t>
  </si>
  <si>
    <t>MHES-0118</t>
  </si>
  <si>
    <t>MHES-0119</t>
  </si>
  <si>
    <t>MHES-0120</t>
  </si>
  <si>
    <t>MHES-0121</t>
  </si>
  <si>
    <t>MHES-0122</t>
  </si>
  <si>
    <t>MHES-0123</t>
  </si>
  <si>
    <t>MHES-0124</t>
  </si>
  <si>
    <t>MHES-0125</t>
  </si>
  <si>
    <t>MHES-0126</t>
  </si>
  <si>
    <t>MHES-0127</t>
  </si>
  <si>
    <t>MHES-0128</t>
  </si>
  <si>
    <t>MHES-0129</t>
  </si>
  <si>
    <t>MHES-0130</t>
  </si>
  <si>
    <t>MHES-0131</t>
  </si>
  <si>
    <t>MHES-0132</t>
  </si>
  <si>
    <t>MHES-0133</t>
  </si>
  <si>
    <t>MHES-0134</t>
  </si>
  <si>
    <t>MHES-0135</t>
  </si>
  <si>
    <t>MHES-0136</t>
  </si>
  <si>
    <t>MHES-0137</t>
  </si>
  <si>
    <t>MHES-0138</t>
  </si>
  <si>
    <t>MHES-0139</t>
  </si>
  <si>
    <t>MHES-0140</t>
  </si>
  <si>
    <t>MHES-0141</t>
  </si>
  <si>
    <t>MHES-0142</t>
  </si>
  <si>
    <t>MHES-0143</t>
  </si>
  <si>
    <t>MHES-0144</t>
  </si>
  <si>
    <t>MHES-0145</t>
  </si>
  <si>
    <t>MHES-0146</t>
  </si>
  <si>
    <t>MHES-0147</t>
  </si>
  <si>
    <t>MHES-0148</t>
  </si>
  <si>
    <t>MHES-0149</t>
  </si>
  <si>
    <t>MHES-0150</t>
  </si>
  <si>
    <t>MHES-0151</t>
  </si>
  <si>
    <t>MHES-0152</t>
  </si>
  <si>
    <t>MHES-0153</t>
  </si>
  <si>
    <t>MHES-0154</t>
  </si>
  <si>
    <t>MHES-0155</t>
  </si>
  <si>
    <t>MHES-0156</t>
  </si>
  <si>
    <t>MHES-0157</t>
  </si>
  <si>
    <t>MHES-0158</t>
  </si>
  <si>
    <t>MHES-0159</t>
  </si>
  <si>
    <t>MHES-0160</t>
  </si>
  <si>
    <t>MHES-0161</t>
  </si>
  <si>
    <t>MHES-0162</t>
  </si>
  <si>
    <t>MHES-0163</t>
  </si>
  <si>
    <t>MHES-0164</t>
  </si>
  <si>
    <t>MHES-0165</t>
  </si>
  <si>
    <t>MHES-0166</t>
  </si>
  <si>
    <t>MHES-0167</t>
  </si>
  <si>
    <t>MHES-0168</t>
  </si>
  <si>
    <t>MHES-0169</t>
  </si>
  <si>
    <t>MHES-0170</t>
  </si>
  <si>
    <t>MHES-0171</t>
  </si>
  <si>
    <t>MHES-0172</t>
  </si>
  <si>
    <t>MHES-0173</t>
  </si>
  <si>
    <t>MHES-0174</t>
  </si>
  <si>
    <t>MHES-0175</t>
  </si>
  <si>
    <t>MHES-0176</t>
  </si>
  <si>
    <t>MHES-0177</t>
  </si>
  <si>
    <t>MHES-0178</t>
  </si>
  <si>
    <t>MHES-0179</t>
  </si>
  <si>
    <t>MHES-0180</t>
  </si>
  <si>
    <t>MHES-0181</t>
  </si>
  <si>
    <t>MHES-0182</t>
  </si>
  <si>
    <t>MHES-0183</t>
  </si>
  <si>
    <t>MHES-0184</t>
  </si>
  <si>
    <t>MHES-0185</t>
  </si>
  <si>
    <t>MHES-0186</t>
  </si>
  <si>
    <t>MHES-0187</t>
  </si>
  <si>
    <t>MHES-0188</t>
  </si>
  <si>
    <t>MHES-0189</t>
  </si>
  <si>
    <t>MHES-0190</t>
  </si>
  <si>
    <t>MHES-0191</t>
  </si>
  <si>
    <t>MHES-0192</t>
  </si>
  <si>
    <t>MHES-0193</t>
  </si>
  <si>
    <t>MHES-0194</t>
  </si>
  <si>
    <t>MHES-0195</t>
  </si>
  <si>
    <t>MHES-0196</t>
  </si>
  <si>
    <t>MHES-0197</t>
  </si>
  <si>
    <t>MHES-0198</t>
  </si>
  <si>
    <t>MHES-0199</t>
  </si>
  <si>
    <t>MHES-0200</t>
  </si>
  <si>
    <t>MHES-0201</t>
  </si>
  <si>
    <t>MHES-0202</t>
  </si>
  <si>
    <t>MHES-0203</t>
  </si>
  <si>
    <t>MHES-0204</t>
  </si>
  <si>
    <t>exposes:MHES-0018</t>
  </si>
  <si>
    <t>exposes:MHES-0024</t>
  </si>
  <si>
    <t>exposes:MHES-0062</t>
  </si>
  <si>
    <t>exposes:MHES-0069</t>
  </si>
  <si>
    <t>exposes:MHES-0072</t>
  </si>
  <si>
    <t>exposes:MHES-0073</t>
  </si>
  <si>
    <t>exposes:MHES-0077</t>
  </si>
  <si>
    <t>exposes:MHES-0081</t>
  </si>
  <si>
    <t>exposes:MHES-0084</t>
  </si>
  <si>
    <t>exposes:MHES-0085</t>
  </si>
  <si>
    <t>exposes:MHES-0087</t>
  </si>
  <si>
    <t>exposes:MHES-0093</t>
  </si>
  <si>
    <t>exposes:MHES-0097</t>
  </si>
  <si>
    <t>exposes:MHES-0101</t>
  </si>
  <si>
    <t>exposes:MHES-0118</t>
  </si>
  <si>
    <t>exposes:MHES-0124</t>
  </si>
  <si>
    <t>exposes:MHES-0125</t>
  </si>
  <si>
    <t>exposes:MHES-0126</t>
  </si>
  <si>
    <t>exposes:MHES-0127</t>
  </si>
  <si>
    <t>exposes:MHES-0128</t>
  </si>
  <si>
    <t>exposes:MHES-0129</t>
  </si>
  <si>
    <t>exposes:MHES-0130</t>
  </si>
  <si>
    <t>exposes:MHES-0133</t>
  </si>
  <si>
    <t>exposes:MHES-0136</t>
  </si>
  <si>
    <t>exposes:MHES-0145</t>
  </si>
  <si>
    <t>exposes:MHES-0146</t>
  </si>
  <si>
    <t>exposes:MHES-0147</t>
  </si>
  <si>
    <t>exposes:MHES-0148</t>
  </si>
  <si>
    <t>exposes:MHES-0160</t>
  </si>
  <si>
    <t>exposes:MHES-0162</t>
  </si>
  <si>
    <t>exposes:MHES-0163</t>
  </si>
  <si>
    <t>exposes:MHES-0164</t>
  </si>
  <si>
    <t>exposes:MHES-0165</t>
  </si>
  <si>
    <t>exposes:MHES-0172</t>
  </si>
  <si>
    <t>exposes:MHES-0173</t>
  </si>
  <si>
    <t>exposes:MHES-0174</t>
  </si>
  <si>
    <t>exposes:MHES-0175</t>
  </si>
  <si>
    <t>exposes:MHES-0176</t>
  </si>
  <si>
    <t>exposes:MHES-0177</t>
  </si>
  <si>
    <t>exposes:MHES-0182</t>
  </si>
  <si>
    <t>exposes:MHES-0183</t>
  </si>
  <si>
    <t>exposes:MHES-0197</t>
  </si>
  <si>
    <t>exposes:MHES-0198</t>
  </si>
  <si>
    <t>exposes:MHES-0199</t>
  </si>
  <si>
    <t>exposes:MHES-0200</t>
  </si>
  <si>
    <t>exposes:MHES-0201</t>
  </si>
  <si>
    <t>exposes:MHES-0202</t>
  </si>
  <si>
    <t>exposes:MHES-0203</t>
  </si>
  <si>
    <t>exposes:MHES-0204</t>
  </si>
  <si>
    <t>exposes:MHES-0002, exposes:MHES-0003, exposes:MHES-0004, exposes:MHES-0005, exposes:MHES-0019, exposes:MHES-0020, exposes:MHES-0021, exposes:MHES-0022, exposes:MHES-0023</t>
  </si>
  <si>
    <t>exposes:MHES-0006, exposes:MHES-0007, exposes:MHES-0014, exposes:MHES-0015</t>
  </si>
  <si>
    <t>exposes:MHES-0008, exposes:MHES-0009, exposes:MHES-0010, exposes:MHES-0011, exposes:MHES-0012, exposes:MHES-0013, exposes:MHES-0016, exposes:MHES-0017</t>
  </si>
  <si>
    <t>exposes:MHES-0025, exposes:MHES-0026, exposes:MHES-0027, exposes:MHES-0028, exposes:MHES-0029, exposes:MHES-0030, exposes:MHES-0031, exposes:MHES-0032, exposes:MHES-0033, exposes:MHES-0034, exposes:MHES-0035, exposes:MHES-0036, exposes:MHES-0037, exposes:MHES-0038, exposes:MHES-0039, exposes:MHES-0040, exposes:MHES-0063, exposes:MHES-0086</t>
  </si>
  <si>
    <t>exposes:MHES-0041, exposes:MHES-0042, exposes:MHES-0043, exposes:MHES-0044, exposes:MHES-0045, exposes:MHES-0046, exposes:MHES-0047, exposes:MHES-0048, exposes:MHES-0049, exposes:MHES-0050, exposes:MHES-0051, exposes:MHES-0052, exposes:MHES-0053, exposes:MHES-0054, exposes:MHES-0055, exposes:MHES-0056, exposes:MHES-0057, exposes:MHES-0058, exposes:MHES-0059, exposes:MHES-0060, exposes:MHES-0061, exposes:MHES-0088, exposes:MHES-0089</t>
  </si>
  <si>
    <t>exposes:MHES-0064, exposes:MHES-0065, exposes:MHES-0066, exposes:MHES-0067, exposes:MHES-0068</t>
  </si>
  <si>
    <t>exposes:MHES-0070, exposes:MHES-0071</t>
  </si>
  <si>
    <t>exposes:MHES-0074, exposes:MHES-0075, exposes:MHES-0076</t>
  </si>
  <si>
    <t>exposes:MHES-0078, exposes:MHES-0079, exposes:MHES-0080</t>
  </si>
  <si>
    <t>exposes:MHES-0082, exposes:MHES-0083</t>
  </si>
  <si>
    <t>exposes:MHES-0090, exposes:MHES-0091, exposes:MHES-0092, exposes:MHES-0102, exposes:MHES-0107</t>
  </si>
  <si>
    <t>exposes:MHES-0094, exposes:MHES-0095, exposes:MHES-0096, exposes:MHES-0111, exposes:MHES-0112, exposes:MHES-0113, exposes:MHES-0114, exposes:MHES-0115, exposes:MHES-0123</t>
  </si>
  <si>
    <t>exposes:MHES-0098, exposes:MHES-0099, exposes:MHES-0100</t>
  </si>
  <si>
    <t>exposes:MHES-0103, exposes:MHES-0104, exposes:MHES-0105, exposes:MHES-0106, exposes:MHES-0141, exposes:MHES-0142, exposes:MHES-0143, exposes:MHES-0144</t>
  </si>
  <si>
    <t>exposes:MHES-0116, exposes:MHES-0117</t>
  </si>
  <si>
    <t>exposes:MHES-0119, exposes:MHES-0120</t>
  </si>
  <si>
    <t>exposes:MHES-0131, exposes:MHES-0132</t>
  </si>
  <si>
    <t>exposes:MHES-0134, exposes:MHES-0135, exposes:MHES-0137, exposes:MHES-0138</t>
  </si>
  <si>
    <t>exposes:MHES-0139, exposes:MHES-0140</t>
  </si>
  <si>
    <t>exposes:MHES-0149, exposes:MHES-0150, exposes:MHES-0151, exposes:MHES-0152, exposes:MHES-0153, exposes:MHES-0154, exposes:MHES-0155, exposes:MHES-0156, exposes:MHES-0157, exposes:MHES-0158, exposes:MHES-0159, exposes:MHES-0187, exposes:MHES-0188, exposes:MHES-0189, exposes:MHES-0190, exposes:MHES-0191, exposes:MHES-0192, exposes:MHES-0193, exposes:MHES-0194, exposes:MHES-0195, exposes:MHES-0196</t>
  </si>
  <si>
    <t>exposes:MHES-0161, exposes:MHES-0162</t>
  </si>
  <si>
    <t>exposes:MHES-0166, exposes:MHES-0167, exposes:MHES-0168, exposes:MHES-0171</t>
  </si>
  <si>
    <t>exposes:MHES-0169, exposes:MHES-0170</t>
  </si>
  <si>
    <t>exposes:MHES-0178, exposes:MHES-0184, exposes:MHES-0185</t>
  </si>
  <si>
    <t>exposes:MHES-0179, exposes:MHES-0180, exposes:MHES-0181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</si>
</sst>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43" x14ac:knownFonts="1">
    <font>
      <sz val="11"/>
      <color theme="1"/>
      <name val="Calibri"/>
      <family val="2"/>
      <scheme val="minor"/>
    </font>
    <font>
      <sz val="11"/>
      <color theme="1"/>
      <name val="Calibri"/>
      <family val="2"/>
      <scheme val="minor"/>
    </font>
    <font>
      <sz val="10"/>
      <name val="Arial"/>
      <family val="2"/>
    </font>
    <font>
      <b/>
      <sz val="20"/>
      <color theme="1"/>
      <name val="Calibri"/>
      <family val="2"/>
      <scheme val="minor"/>
    </font>
    <font>
      <sz val="11"/>
      <color rgb="FF000000"/>
      <name val="Calibri"/>
      <family val="2"/>
    </font>
    <font>
      <b/>
      <sz val="10"/>
      <color theme="1"/>
      <name val="Times New Roman"/>
      <family val="1"/>
    </font>
    <font>
      <sz val="10"/>
      <color theme="1"/>
      <name val="Times New Roman"/>
      <family val="1"/>
    </font>
    <font>
      <sz val="10"/>
      <name val="Times New Roman"/>
      <family val="1"/>
    </font>
    <font>
      <sz val="10"/>
      <color rgb="FF000000"/>
      <name val="Times New Roman"/>
      <family val="1"/>
    </font>
    <font>
      <sz val="10"/>
      <name val="Times New Roman"/>
      <family val="2"/>
    </font>
    <font>
      <sz val="10"/>
      <name val="Calibri"/>
      <family val="2"/>
    </font>
    <font>
      <b/>
      <sz val="10"/>
      <name val="Times New Roman"/>
      <family val="1"/>
    </font>
    <font>
      <b/>
      <sz val="10"/>
      <color rgb="FF0000FF"/>
      <name val="Times New Roman"/>
      <family val="1"/>
    </font>
    <font>
      <b/>
      <sz val="10"/>
      <color rgb="FF000000"/>
      <name val="Times New Roman"/>
      <family val="1"/>
    </font>
    <font>
      <b/>
      <sz val="10"/>
      <color rgb="FFFF0000"/>
      <name val="Times New Roman"/>
      <family val="1"/>
    </font>
    <font>
      <sz val="10"/>
      <color rgb="FFFF0000"/>
      <name val="Times New Roman"/>
      <family val="1"/>
    </font>
    <font>
      <sz val="10"/>
      <color rgb="FF0000FF"/>
      <name val="Times New Roman"/>
      <family val="1"/>
    </font>
    <font>
      <sz val="10"/>
      <color rgb="FF7030A0"/>
      <name val="Times New Roman"/>
      <family val="1"/>
    </font>
    <font>
      <sz val="10"/>
      <color rgb="FFFF6600"/>
      <name val="Times New Roman"/>
      <family val="1"/>
    </font>
    <font>
      <strike/>
      <sz val="10"/>
      <name val="Times New Roman"/>
      <family val="1"/>
    </font>
    <font>
      <sz val="10"/>
      <color theme="1"/>
      <name val="Calibri"/>
      <family val="2"/>
    </font>
    <font>
      <b/>
      <sz val="12"/>
      <color indexed="8"/>
      <name val="Arial"/>
      <family val="2"/>
    </font>
    <font>
      <b/>
      <sz val="10"/>
      <name val="Arial"/>
      <family val="2"/>
    </font>
    <font>
      <sz val="10"/>
      <color indexed="8"/>
      <name val="Arial"/>
      <family val="2"/>
    </font>
    <font>
      <vertAlign val="subscript"/>
      <sz val="11"/>
      <color indexed="8"/>
      <name val="Calibri"/>
      <family val="2"/>
    </font>
    <font>
      <sz val="8"/>
      <color theme="1"/>
      <name val="Calibri"/>
      <family val="2"/>
      <scheme val="minor"/>
    </font>
    <font>
      <sz val="10"/>
      <color theme="1"/>
      <name val="Tahoma"/>
      <family val="2"/>
    </font>
    <font>
      <b/>
      <sz val="11"/>
      <name val="Arial"/>
      <family val="2"/>
    </font>
    <font>
      <b/>
      <sz val="10"/>
      <color theme="1"/>
      <name val="Arial"/>
      <family val="2"/>
    </font>
    <font>
      <sz val="10"/>
      <color theme="1"/>
      <name val="Arial"/>
      <family val="2"/>
      <charset val="238"/>
    </font>
    <font>
      <sz val="10"/>
      <color theme="1"/>
      <name val="Calibri"/>
      <family val="2"/>
      <charset val="238"/>
      <scheme val="minor"/>
    </font>
    <font>
      <b/>
      <sz val="11"/>
      <color theme="1"/>
      <name val="Times New Roman"/>
      <family val="1"/>
    </font>
    <font>
      <sz val="11"/>
      <color theme="1"/>
      <name val="Times New Roman"/>
      <family val="1"/>
    </font>
    <font>
      <b/>
      <sz val="11"/>
      <name val="Times New Roman"/>
      <family val="1"/>
    </font>
    <font>
      <sz val="11"/>
      <name val="Times New Roman"/>
      <family val="1"/>
    </font>
    <font>
      <b/>
      <sz val="11"/>
      <color rgb="FF0000FF"/>
      <name val="Times New Roman"/>
      <family val="1"/>
    </font>
    <font>
      <sz val="10"/>
      <color indexed="8"/>
      <name val="Times New Roman"/>
      <family val="1"/>
    </font>
    <font>
      <sz val="8"/>
      <color indexed="8"/>
      <name val="Times New Roman"/>
      <family val="1"/>
    </font>
    <font>
      <sz val="10"/>
      <color indexed="10"/>
      <name val="Times New Roman"/>
      <family val="1"/>
    </font>
    <font>
      <b/>
      <sz val="10"/>
      <color rgb="FF008000"/>
      <name val="Times New Roman"/>
      <family val="1"/>
    </font>
    <font>
      <sz val="11"/>
      <color indexed="8"/>
      <name val="Times New Roman"/>
      <family val="1"/>
    </font>
    <font>
      <sz val="11"/>
      <color rgb="FFFF0000"/>
      <name val="Times New Roman"/>
      <family val="1"/>
    </font>
    <font>
      <sz val="8"/>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rgb="FFD8DBD3"/>
        <bgColor indexed="64"/>
      </patternFill>
    </fill>
    <fill>
      <patternFill patternType="solid">
        <fgColor rgb="FFF5F7F1"/>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rgb="FFD9D9D9"/>
        <bgColor indexed="64"/>
      </patternFill>
    </fill>
  </fills>
  <borders count="13">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7">
    <xf numFmtId="0" fontId="0" fillId="0" borderId="0"/>
    <xf numFmtId="0" fontId="1" fillId="0" borderId="0"/>
    <xf numFmtId="0" fontId="2" fillId="0" borderId="0"/>
    <xf numFmtId="0" fontId="1" fillId="0" borderId="0"/>
    <xf numFmtId="0" fontId="26" fillId="0" borderId="0"/>
    <xf numFmtId="0" fontId="26" fillId="0" borderId="0"/>
    <xf numFmtId="0" fontId="29" fillId="0" borderId="0"/>
  </cellStyleXfs>
  <cellXfs count="108">
    <xf numFmtId="0" fontId="0" fillId="0" borderId="0" xfId="0"/>
    <xf numFmtId="0" fontId="5" fillId="0" borderId="2" xfId="0" applyFont="1" applyBorder="1" applyAlignment="1">
      <alignment horizontal="center" vertical="center" wrapText="1"/>
    </xf>
    <xf numFmtId="0" fontId="7" fillId="0" borderId="2" xfId="0" applyFont="1" applyBorder="1" applyAlignment="1">
      <alignment horizontal="center" vertical="center" wrapText="1"/>
    </xf>
    <xf numFmtId="0" fontId="6" fillId="0" borderId="2" xfId="0" applyFont="1" applyBorder="1" applyAlignment="1">
      <alignment horizontal="center" vertical="center" wrapText="1"/>
    </xf>
    <xf numFmtId="0" fontId="5" fillId="0" borderId="2" xfId="0" applyFont="1" applyBorder="1" applyAlignment="1">
      <alignment horizontal="center" vertical="center"/>
    </xf>
    <xf numFmtId="0" fontId="9" fillId="0" borderId="2" xfId="0" applyFont="1" applyBorder="1" applyAlignment="1">
      <alignment horizontal="center" vertical="center" wrapText="1"/>
    </xf>
    <xf numFmtId="0" fontId="11" fillId="0" borderId="2" xfId="0" applyFont="1" applyBorder="1" applyAlignment="1">
      <alignment horizontal="center" vertical="center" wrapText="1"/>
    </xf>
    <xf numFmtId="0" fontId="3" fillId="2" borderId="0" xfId="0" applyFont="1" applyFill="1" applyAlignment="1">
      <alignment horizontal="center" vertical="center"/>
    </xf>
    <xf numFmtId="0" fontId="6" fillId="0" borderId="0" xfId="0" applyFont="1"/>
    <xf numFmtId="0" fontId="5" fillId="5" borderId="2" xfId="0" applyFont="1" applyFill="1" applyBorder="1" applyAlignment="1">
      <alignment horizontal="center" vertical="center" wrapText="1"/>
    </xf>
    <xf numFmtId="14" fontId="11" fillId="5" borderId="2" xfId="0" applyNumberFormat="1" applyFont="1" applyFill="1" applyBorder="1" applyAlignment="1" applyProtection="1">
      <alignment horizontal="center" vertical="center" wrapText="1"/>
      <protection locked="0"/>
    </xf>
    <xf numFmtId="0" fontId="11" fillId="5" borderId="2" xfId="0" applyFont="1" applyFill="1" applyBorder="1" applyAlignment="1">
      <alignment horizontal="center" vertical="center" textRotation="90" wrapText="1"/>
    </xf>
    <xf numFmtId="0" fontId="11" fillId="5" borderId="2" xfId="0" applyFont="1" applyFill="1" applyBorder="1" applyAlignment="1">
      <alignment horizontal="left" vertical="center" textRotation="90" wrapText="1"/>
    </xf>
    <xf numFmtId="0" fontId="7" fillId="0" borderId="2" xfId="0" applyFont="1" applyBorder="1" applyAlignment="1" applyProtection="1">
      <alignment vertical="center" wrapText="1"/>
      <protection locked="0"/>
    </xf>
    <xf numFmtId="0" fontId="7" fillId="0" borderId="2" xfId="0" applyFont="1" applyBorder="1" applyAlignment="1" applyProtection="1">
      <alignment horizontal="left" vertical="center" wrapText="1"/>
      <protection locked="0"/>
    </xf>
    <xf numFmtId="0" fontId="7" fillId="0" borderId="2" xfId="0" applyFont="1" applyBorder="1" applyAlignment="1">
      <alignment horizontal="left" vertical="center" wrapText="1"/>
    </xf>
    <xf numFmtId="0" fontId="7" fillId="0" borderId="2" xfId="0" applyFont="1" applyBorder="1" applyAlignment="1" applyProtection="1">
      <alignment horizontal="center" vertical="center" wrapText="1"/>
      <protection locked="0"/>
    </xf>
    <xf numFmtId="0" fontId="7" fillId="0" borderId="1" xfId="0" applyFont="1" applyBorder="1" applyAlignment="1" applyProtection="1">
      <alignment horizontal="center" vertical="top" wrapText="1"/>
      <protection locked="0"/>
    </xf>
    <xf numFmtId="0" fontId="7" fillId="6" borderId="1" xfId="0" applyFont="1" applyFill="1" applyBorder="1" applyAlignment="1" applyProtection="1">
      <alignment horizontal="center" vertical="top" wrapText="1"/>
      <protection locked="0"/>
    </xf>
    <xf numFmtId="0" fontId="6" fillId="0" borderId="2" xfId="0" applyFont="1" applyBorder="1" applyAlignment="1">
      <alignment vertical="center" wrapText="1"/>
    </xf>
    <xf numFmtId="0" fontId="7" fillId="0" borderId="1" xfId="0" applyFont="1" applyBorder="1" applyAlignment="1" applyProtection="1">
      <alignment horizontal="center" vertical="center" wrapText="1"/>
      <protection locked="0"/>
    </xf>
    <xf numFmtId="0" fontId="17" fillId="6" borderId="1" xfId="0" applyFont="1" applyFill="1" applyBorder="1" applyAlignment="1" applyProtection="1">
      <alignment horizontal="center" vertical="top" wrapText="1"/>
      <protection locked="0"/>
    </xf>
    <xf numFmtId="0" fontId="7" fillId="0" borderId="2" xfId="0" applyFont="1" applyBorder="1" applyAlignment="1">
      <alignment vertical="center" wrapText="1"/>
    </xf>
    <xf numFmtId="0" fontId="6" fillId="0" borderId="2" xfId="0" applyFont="1" applyBorder="1" applyAlignment="1" applyProtection="1">
      <alignment vertical="center" wrapText="1"/>
      <protection locked="0"/>
    </xf>
    <xf numFmtId="0" fontId="6" fillId="0" borderId="2" xfId="0" applyFont="1" applyBorder="1" applyAlignment="1" applyProtection="1">
      <alignment horizontal="left" vertical="center" wrapText="1"/>
      <protection locked="0"/>
    </xf>
    <xf numFmtId="0" fontId="6" fillId="0" borderId="2" xfId="0" applyFont="1" applyBorder="1" applyAlignment="1">
      <alignment horizontal="left" vertical="center" wrapText="1"/>
    </xf>
    <xf numFmtId="0" fontId="6" fillId="0" borderId="2" xfId="0" applyFont="1" applyBorder="1" applyAlignment="1" applyProtection="1">
      <alignment horizontal="center" vertical="center" wrapText="1"/>
      <protection locked="0"/>
    </xf>
    <xf numFmtId="0" fontId="7" fillId="6" borderId="2" xfId="0" applyFont="1" applyFill="1" applyBorder="1" applyAlignment="1" applyProtection="1">
      <alignment horizontal="center" vertical="top" wrapText="1"/>
      <protection locked="0"/>
    </xf>
    <xf numFmtId="0" fontId="7" fillId="0" borderId="2" xfId="0" applyFont="1" applyBorder="1" applyAlignment="1" applyProtection="1">
      <alignment horizontal="center" vertical="top" wrapText="1"/>
      <protection locked="0"/>
    </xf>
    <xf numFmtId="0" fontId="17" fillId="0" borderId="2" xfId="0" applyFont="1" applyBorder="1" applyAlignment="1" applyProtection="1">
      <alignment horizontal="center" vertical="top" wrapText="1"/>
      <protection locked="0"/>
    </xf>
    <xf numFmtId="0" fontId="18" fillId="6" borderId="2" xfId="0" applyFont="1" applyFill="1" applyBorder="1" applyAlignment="1" applyProtection="1">
      <alignment horizontal="center" vertical="top" wrapText="1"/>
      <protection locked="0"/>
    </xf>
    <xf numFmtId="0" fontId="7" fillId="0" borderId="2" xfId="0" applyFont="1" applyBorder="1" applyAlignment="1">
      <alignment horizontal="center" vertical="center"/>
    </xf>
    <xf numFmtId="0" fontId="9" fillId="0" borderId="2" xfId="0" applyFont="1" applyBorder="1" applyAlignment="1" applyProtection="1">
      <alignment horizontal="center" vertical="center" wrapText="1"/>
      <protection locked="0"/>
    </xf>
    <xf numFmtId="0" fontId="17" fillId="6" borderId="2" xfId="0" applyFont="1" applyFill="1" applyBorder="1" applyAlignment="1" applyProtection="1">
      <alignment horizontal="center" vertical="top" wrapText="1"/>
      <protection locked="0"/>
    </xf>
    <xf numFmtId="0" fontId="7" fillId="0" borderId="4" xfId="0" applyFont="1" applyBorder="1" applyAlignment="1">
      <alignment horizontal="left" vertical="center" wrapText="1"/>
    </xf>
    <xf numFmtId="0" fontId="0" fillId="6" borderId="2" xfId="0" applyFill="1" applyBorder="1" applyAlignment="1">
      <alignment horizontal="center" vertical="top"/>
    </xf>
    <xf numFmtId="0" fontId="6" fillId="0" borderId="2" xfId="0" applyFont="1" applyBorder="1" applyAlignment="1">
      <alignment horizontal="left" vertical="center"/>
    </xf>
    <xf numFmtId="0" fontId="6" fillId="0" borderId="2" xfId="0" applyFont="1" applyBorder="1" applyAlignment="1">
      <alignment horizontal="center" vertical="center"/>
    </xf>
    <xf numFmtId="0" fontId="6" fillId="0" borderId="3" xfId="0" applyFont="1" applyBorder="1" applyAlignment="1">
      <alignment horizontal="center" vertical="center" wrapText="1"/>
    </xf>
    <xf numFmtId="0" fontId="7" fillId="7" borderId="2" xfId="0" applyFont="1" applyFill="1" applyBorder="1" applyAlignment="1" applyProtection="1">
      <alignment horizontal="center" vertical="top" wrapText="1"/>
      <protection locked="0"/>
    </xf>
    <xf numFmtId="0" fontId="6" fillId="6" borderId="2" xfId="0" applyFont="1" applyFill="1" applyBorder="1" applyAlignment="1" applyProtection="1">
      <alignment horizontal="center" vertical="top" wrapText="1"/>
      <protection locked="0"/>
    </xf>
    <xf numFmtId="0" fontId="22" fillId="9" borderId="2" xfId="0" applyFont="1" applyFill="1" applyBorder="1" applyAlignment="1">
      <alignment horizontal="center" wrapText="1"/>
    </xf>
    <xf numFmtId="0" fontId="2" fillId="4" borderId="2" xfId="0" applyFont="1" applyFill="1" applyBorder="1" applyAlignment="1">
      <alignment horizontal="center" wrapText="1"/>
    </xf>
    <xf numFmtId="0" fontId="2" fillId="4" borderId="2" xfId="0" applyFont="1" applyFill="1" applyBorder="1" applyAlignment="1">
      <alignment horizontal="left" wrapText="1"/>
    </xf>
    <xf numFmtId="0" fontId="2" fillId="4" borderId="2" xfId="0" applyFont="1" applyFill="1" applyBorder="1" applyAlignment="1">
      <alignment horizontal="right" wrapText="1"/>
    </xf>
    <xf numFmtId="0" fontId="0" fillId="0" borderId="0" xfId="0" applyAlignment="1">
      <alignment horizontal="center" vertical="center"/>
    </xf>
    <xf numFmtId="0" fontId="1" fillId="10" borderId="2" xfId="3" applyFill="1" applyBorder="1" applyAlignment="1">
      <alignment horizontal="center" vertical="center"/>
    </xf>
    <xf numFmtId="164" fontId="1" fillId="10" borderId="2" xfId="3" applyNumberFormat="1" applyFill="1" applyBorder="1" applyAlignment="1">
      <alignment horizontal="center" vertical="center"/>
    </xf>
    <xf numFmtId="0" fontId="25" fillId="10" borderId="2" xfId="3" applyFont="1" applyFill="1" applyBorder="1" applyAlignment="1">
      <alignment horizontal="center" vertical="center" wrapText="1"/>
    </xf>
    <xf numFmtId="0" fontId="0" fillId="0" borderId="2" xfId="0" applyBorder="1" applyAlignment="1">
      <alignment vertical="center"/>
    </xf>
    <xf numFmtId="0" fontId="0" fillId="3" borderId="2" xfId="0" applyFill="1" applyBorder="1" applyAlignment="1">
      <alignment horizontal="center" vertical="center"/>
    </xf>
    <xf numFmtId="0" fontId="26" fillId="6" borderId="2" xfId="4" applyFill="1" applyBorder="1" applyAlignment="1">
      <alignment horizontal="center" vertical="center"/>
    </xf>
    <xf numFmtId="0" fontId="28" fillId="11" borderId="2" xfId="0" applyFont="1" applyFill="1" applyBorder="1" applyAlignment="1">
      <alignment horizontal="center" vertical="center" wrapText="1"/>
    </xf>
    <xf numFmtId="0" fontId="26" fillId="12" borderId="2" xfId="5" applyFill="1" applyBorder="1" applyAlignment="1" applyProtection="1">
      <alignment horizontal="center" vertical="center" wrapText="1"/>
      <protection locked="0"/>
    </xf>
    <xf numFmtId="0" fontId="11" fillId="0" borderId="2" xfId="0" applyFont="1" applyBorder="1" applyAlignment="1">
      <alignment horizontal="center" vertical="center"/>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0" fontId="2" fillId="4" borderId="2" xfId="0" applyFont="1" applyFill="1" applyBorder="1" applyAlignment="1">
      <alignment horizontal="right" vertical="center" wrapText="1"/>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vertical="center"/>
    </xf>
    <xf numFmtId="0" fontId="6" fillId="0" borderId="0" xfId="0" applyFont="1" applyAlignment="1">
      <alignment vertical="center"/>
    </xf>
    <xf numFmtId="0" fontId="30" fillId="0" borderId="0" xfId="0" applyFont="1"/>
    <xf numFmtId="0" fontId="31" fillId="13" borderId="5" xfId="0" applyFont="1" applyFill="1" applyBorder="1" applyAlignment="1">
      <alignment horizontal="center" vertical="center" wrapText="1"/>
    </xf>
    <xf numFmtId="0" fontId="33" fillId="13" borderId="5" xfId="0" applyFont="1" applyFill="1" applyBorder="1" applyAlignment="1">
      <alignment horizontal="center" vertical="center" wrapText="1"/>
    </xf>
    <xf numFmtId="0" fontId="32" fillId="0" borderId="0" xfId="0" applyFont="1" applyAlignment="1">
      <alignment horizontal="center"/>
    </xf>
    <xf numFmtId="0" fontId="31" fillId="0" borderId="6" xfId="0" applyFont="1" applyBorder="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left" vertical="top" wrapText="1"/>
    </xf>
    <xf numFmtId="0" fontId="7" fillId="0" borderId="1" xfId="0" applyFont="1" applyBorder="1" applyAlignment="1">
      <alignment horizontal="center" vertical="center" wrapText="1"/>
    </xf>
    <xf numFmtId="0" fontId="6" fillId="0" borderId="1" xfId="0" applyFont="1" applyBorder="1" applyAlignment="1">
      <alignment horizontal="center" vertical="center" wrapText="1"/>
    </xf>
    <xf numFmtId="0" fontId="6" fillId="0" borderId="7" xfId="0" applyFont="1" applyBorder="1" applyAlignment="1">
      <alignment horizontal="left" vertical="top" wrapText="1"/>
    </xf>
    <xf numFmtId="0" fontId="32" fillId="0" borderId="0" xfId="0" applyFont="1"/>
    <xf numFmtId="0" fontId="31" fillId="0" borderId="8" xfId="0" applyFont="1" applyBorder="1" applyAlignment="1">
      <alignment horizontal="center" vertical="center" wrapText="1"/>
    </xf>
    <xf numFmtId="0" fontId="6" fillId="0" borderId="2" xfId="0" applyFont="1" applyBorder="1" applyAlignment="1">
      <alignment horizontal="left" vertical="top" wrapText="1"/>
    </xf>
    <xf numFmtId="0" fontId="6" fillId="0" borderId="9" xfId="0" applyFont="1" applyBorder="1" applyAlignment="1">
      <alignment horizontal="left" vertical="top" wrapText="1"/>
    </xf>
    <xf numFmtId="0" fontId="7" fillId="0" borderId="2" xfId="0" applyFont="1" applyBorder="1" applyAlignment="1">
      <alignment horizontal="left" vertical="top" wrapText="1"/>
    </xf>
    <xf numFmtId="0" fontId="33" fillId="0" borderId="8" xfId="0" applyFont="1" applyBorder="1" applyAlignment="1">
      <alignment horizontal="center" vertical="center" wrapText="1"/>
    </xf>
    <xf numFmtId="0" fontId="7" fillId="0" borderId="9" xfId="0" applyFont="1" applyBorder="1" applyAlignment="1">
      <alignment horizontal="left" vertical="top" wrapText="1"/>
    </xf>
    <xf numFmtId="0" fontId="8" fillId="0" borderId="2" xfId="0" applyFont="1" applyBorder="1" applyAlignment="1">
      <alignment horizontal="left" vertical="top" wrapText="1"/>
    </xf>
    <xf numFmtId="0" fontId="8" fillId="0" borderId="9" xfId="0" applyFont="1" applyBorder="1" applyAlignment="1">
      <alignment horizontal="left" vertical="top" wrapText="1"/>
    </xf>
    <xf numFmtId="0" fontId="13" fillId="0" borderId="2" xfId="0" applyFont="1" applyBorder="1" applyAlignment="1">
      <alignment horizontal="center" vertical="center" wrapText="1"/>
    </xf>
    <xf numFmtId="0" fontId="7" fillId="0" borderId="2" xfId="0" applyFont="1" applyBorder="1" applyAlignment="1" applyProtection="1">
      <alignment horizontal="left" vertical="top" wrapText="1"/>
      <protection locked="0"/>
    </xf>
    <xf numFmtId="0" fontId="32" fillId="3" borderId="0" xfId="0" applyFont="1" applyFill="1"/>
    <xf numFmtId="0" fontId="31" fillId="0" borderId="10" xfId="0" applyFont="1" applyBorder="1" applyAlignment="1">
      <alignment horizontal="center" vertical="center" wrapText="1"/>
    </xf>
    <xf numFmtId="0" fontId="11" fillId="0" borderId="11" xfId="0" applyFont="1" applyBorder="1" applyAlignment="1">
      <alignment horizontal="center" vertical="center" wrapText="1"/>
    </xf>
    <xf numFmtId="0" fontId="7" fillId="0" borderId="11" xfId="0" applyFont="1" applyBorder="1" applyAlignment="1">
      <alignment horizontal="left" vertical="top" wrapText="1"/>
    </xf>
    <xf numFmtId="0" fontId="7" fillId="0" borderId="11" xfId="0" applyFont="1" applyBorder="1" applyAlignment="1">
      <alignment horizontal="center" vertical="center" wrapText="1"/>
    </xf>
    <xf numFmtId="0" fontId="9" fillId="0" borderId="11" xfId="0" applyFont="1" applyBorder="1" applyAlignment="1">
      <alignment horizontal="center" vertical="center" wrapText="1"/>
    </xf>
    <xf numFmtId="0" fontId="7" fillId="0" borderId="12" xfId="0" applyFont="1" applyBorder="1" applyAlignment="1">
      <alignment horizontal="left" vertical="top" wrapText="1"/>
    </xf>
    <xf numFmtId="0" fontId="31" fillId="0" borderId="0" xfId="0" applyFont="1" applyAlignment="1">
      <alignment horizontal="center" vertical="center" wrapText="1"/>
    </xf>
    <xf numFmtId="0" fontId="6" fillId="0" borderId="0" xfId="0" applyFont="1" applyAlignment="1">
      <alignment horizontal="center" vertical="top"/>
    </xf>
    <xf numFmtId="0" fontId="31" fillId="0" borderId="0" xfId="0" applyFont="1" applyAlignment="1">
      <alignment horizontal="center" vertical="center"/>
    </xf>
    <xf numFmtId="0" fontId="41" fillId="0" borderId="0" xfId="0" applyFont="1"/>
    <xf numFmtId="0" fontId="32" fillId="0" borderId="0" xfId="0" applyFont="1" applyAlignment="1">
      <alignment horizontal="center" vertical="center"/>
    </xf>
    <xf numFmtId="0" fontId="32" fillId="0" borderId="0" xfId="0" applyFont="1" applyAlignment="1">
      <alignment horizontal="center" vertical="top"/>
    </xf>
    <xf numFmtId="0" fontId="32" fillId="0" borderId="0" xfId="0" applyFont="1" applyAlignment="1">
      <alignment horizontal="left" vertical="top"/>
    </xf>
    <xf numFmtId="0" fontId="41" fillId="0" borderId="0" xfId="0" applyFont="1" applyAlignment="1">
      <alignment horizontal="center"/>
    </xf>
    <xf numFmtId="0" fontId="32" fillId="0" borderId="5" xfId="0" applyFont="1" applyBorder="1" applyAlignment="1">
      <alignment horizontal="center" vertical="top"/>
    </xf>
    <xf numFmtId="0" fontId="31" fillId="0" borderId="5" xfId="0" applyFont="1" applyBorder="1" applyAlignment="1">
      <alignment horizontal="center" vertical="center"/>
    </xf>
    <xf numFmtId="0" fontId="32" fillId="0" borderId="5" xfId="0" applyFont="1" applyBorder="1" applyAlignment="1">
      <alignment horizontal="left" vertical="top"/>
    </xf>
    <xf numFmtId="0" fontId="41" fillId="0" borderId="5" xfId="0" applyFont="1" applyBorder="1" applyAlignment="1">
      <alignment horizontal="center"/>
    </xf>
    <xf numFmtId="0" fontId="32" fillId="0" borderId="5" xfId="0" applyFont="1" applyBorder="1" applyAlignment="1">
      <alignment horizontal="center" vertical="center"/>
    </xf>
    <xf numFmtId="0" fontId="21" fillId="8" borderId="2" xfId="0" applyFont="1" applyFill="1" applyBorder="1" applyAlignment="1">
      <alignment horizontal="center" wrapText="1"/>
    </xf>
    <xf numFmtId="0" fontId="23" fillId="8" borderId="0" xfId="0" applyFont="1" applyFill="1" applyAlignment="1">
      <alignment horizontal="center" vertical="center" wrapText="1"/>
    </xf>
    <xf numFmtId="0" fontId="21" fillId="8" borderId="2" xfId="0" applyFont="1" applyFill="1" applyBorder="1" applyAlignment="1">
      <alignment horizontal="center" vertical="center" wrapText="1"/>
    </xf>
    <xf numFmtId="0" fontId="27" fillId="8" borderId="2" xfId="0" applyFont="1" applyFill="1" applyBorder="1" applyAlignment="1" applyProtection="1">
      <alignment horizontal="center" vertical="center" wrapText="1"/>
      <protection locked="0"/>
    </xf>
    <xf numFmtId="0" fontId="23" fillId="8" borderId="2" xfId="0" applyFont="1" applyFill="1" applyBorder="1" applyAlignment="1">
      <alignment horizontal="center" vertical="center" wrapText="1"/>
    </xf>
  </cellXfs>
  <cellStyles count="7">
    <cellStyle name="Normal" xfId="0" builtinId="0"/>
    <cellStyle name="Normal 10" xfId="3" xr:uid="{5AFBFB11-66B4-4E70-BAF1-E62338A7BAB0}"/>
    <cellStyle name="Normal 2" xfId="6" xr:uid="{9DD9C7A5-10F3-43AE-A9BC-70065F9A587D}"/>
    <cellStyle name="Normal 2 15" xfId="5" xr:uid="{2223557A-CBB6-46AD-B099-521AAD954325}"/>
    <cellStyle name="Normal 2 5" xfId="1" xr:uid="{67A54698-5E1A-47EC-B0E9-900245B651D5}"/>
    <cellStyle name="Normal 3 3" xfId="4" xr:uid="{A453610B-7D91-4258-AF77-41BF60F88085}"/>
    <cellStyle name="Normal 4" xfId="2" xr:uid="{D78FFC30-C4ED-4E65-937A-89536228E765}"/>
  </cellStyles>
  <dxfs count="137">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patternType="none">
          <bgColor auto="1"/>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patternType="none">
          <bgColor auto="1"/>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patternType="none">
          <bgColor auto="1"/>
        </patternFill>
      </fill>
    </dxf>
    <dxf>
      <border>
        <bottom style="thin">
          <color theme="0" tint="-4.9989318521683403E-2"/>
        </bottom>
      </border>
    </dxf>
    <dxf>
      <fill>
        <patternFill patternType="none">
          <fgColor indexed="64"/>
          <bgColor auto="1"/>
        </patternFill>
      </fill>
      <border>
        <bottom style="thin">
          <color theme="0" tint="-4.9989318521683403E-2"/>
        </bottom>
      </border>
    </dxf>
    <dxf>
      <font>
        <b/>
        <color theme="0"/>
      </font>
      <fill>
        <patternFill patternType="none">
          <fgColor auto="1"/>
          <bgColor auto="1"/>
        </patternFill>
      </fill>
      <border>
        <top style="thick">
          <color rgb="FF00B0F0"/>
        </top>
      </border>
    </dxf>
    <dxf>
      <font>
        <b/>
        <i val="0"/>
        <strike val="0"/>
        <color theme="3"/>
      </font>
      <fill>
        <patternFill patternType="solid">
          <fgColor theme="0"/>
          <bgColor theme="0"/>
        </patternFill>
      </fill>
      <border>
        <bottom style="thick">
          <color rgb="FF00B0F0"/>
        </bottom>
      </border>
    </dxf>
    <dxf>
      <font>
        <color theme="1"/>
      </font>
      <fill>
        <patternFill patternType="none">
          <fgColor indexed="64"/>
          <bgColor auto="1"/>
        </patternFill>
      </fill>
      <border>
        <vertical style="thin">
          <color theme="0"/>
        </vertical>
        <horizontal style="thin">
          <color theme="0"/>
        </horizontal>
      </border>
    </dxf>
  </dxfs>
  <tableStyles count="1" defaultTableStyle="TableStyleMedium2" defaultPivotStyle="PivotStyleLight16">
    <tableStyle name="POLARION" pivot="0" count="5" xr9:uid="{B399BD6C-E021-42F7-A392-D2B92A8F1913}">
      <tableStyleElement type="wholeTable" dxfId="136"/>
      <tableStyleElement type="headerRow" dxfId="135"/>
      <tableStyleElement type="totalRow" dxfId="134"/>
      <tableStyleElement type="firstRowStripe" dxfId="133"/>
      <tableStyleElement type="secondRowStripe" dxfId="1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xdr:row>
          <xdr:rowOff>180975</xdr:rowOff>
        </xdr:from>
        <xdr:to>
          <xdr:col>12</xdr:col>
          <xdr:colOff>0</xdr:colOff>
          <xdr:row>8</xdr:row>
          <xdr:rowOff>180975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Copy Master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0</xdr:rowOff>
        </xdr:from>
        <xdr:to>
          <xdr:col>12</xdr:col>
          <xdr:colOff>9525</xdr:colOff>
          <xdr:row>13</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goto Creation Menu</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88440-7B59-4110-A00C-D54989942B92}">
  <sheetPr codeName="Sheet1"/>
  <dimension ref="A1:L5"/>
  <sheetViews>
    <sheetView tabSelected="1" workbookViewId="0">
      <selection activeCell="F17" sqref="F17"/>
    </sheetView>
  </sheetViews>
  <sheetFormatPr defaultRowHeight="15" x14ac:dyDescent="0.25"/>
  <sheetData>
    <row r="1" spans="1:12" ht="15" customHeight="1" x14ac:dyDescent="0.25">
      <c r="A1" s="7"/>
      <c r="B1" s="7"/>
      <c r="C1" s="7"/>
      <c r="D1" s="7"/>
      <c r="E1" s="7"/>
      <c r="F1" s="7"/>
      <c r="G1" s="7"/>
      <c r="H1" s="7"/>
      <c r="I1" s="7"/>
      <c r="J1" s="7"/>
      <c r="K1" s="7"/>
      <c r="L1" s="7"/>
    </row>
    <row r="2" spans="1:12" ht="15" customHeight="1" x14ac:dyDescent="0.25">
      <c r="A2" s="7"/>
      <c r="B2" s="7"/>
      <c r="C2" s="7"/>
      <c r="D2" s="7"/>
      <c r="E2" s="7"/>
      <c r="F2" s="7"/>
      <c r="G2" s="7"/>
      <c r="H2" s="7"/>
      <c r="I2" s="7"/>
      <c r="J2" s="7"/>
      <c r="K2" s="7"/>
      <c r="L2" s="7"/>
    </row>
    <row r="3" spans="1:12" ht="15" customHeight="1" x14ac:dyDescent="0.25">
      <c r="A3" s="7"/>
      <c r="B3" s="7"/>
      <c r="C3" s="7"/>
      <c r="D3" s="7"/>
      <c r="E3" s="7"/>
      <c r="F3" s="7"/>
      <c r="G3" s="7"/>
      <c r="H3" s="7"/>
      <c r="I3" s="7"/>
      <c r="J3" s="7"/>
      <c r="K3" s="7"/>
      <c r="L3" s="7"/>
    </row>
    <row r="4" spans="1:12" ht="15" customHeight="1" x14ac:dyDescent="0.25">
      <c r="A4" s="7"/>
      <c r="B4" s="7"/>
      <c r="C4" s="7"/>
      <c r="D4" s="7"/>
      <c r="E4" s="7"/>
      <c r="F4" s="7"/>
      <c r="G4" s="7"/>
      <c r="H4" s="7"/>
      <c r="I4" s="7"/>
      <c r="J4" s="7"/>
      <c r="K4" s="7"/>
      <c r="L4" s="7"/>
    </row>
    <row r="5" spans="1:12" ht="15" customHeight="1" x14ac:dyDescent="0.25">
      <c r="A5" s="7"/>
      <c r="B5" s="7"/>
      <c r="C5" s="7"/>
      <c r="D5" s="7"/>
      <c r="E5" s="7"/>
      <c r="F5" s="7"/>
      <c r="G5" s="7"/>
      <c r="H5" s="7"/>
      <c r="I5" s="7"/>
      <c r="J5" s="7"/>
      <c r="K5" s="7"/>
      <c r="L5" s="7"/>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Main.main">
                <anchor moveWithCells="1" sizeWithCells="1">
                  <from>
                    <xdr:col>0</xdr:col>
                    <xdr:colOff>38100</xdr:colOff>
                    <xdr:row>4</xdr:row>
                    <xdr:rowOff>180975</xdr:rowOff>
                  </from>
                  <to>
                    <xdr:col>12</xdr:col>
                    <xdr:colOff>0</xdr:colOff>
                    <xdr:row>8</xdr:row>
                    <xdr:rowOff>180975</xdr:rowOff>
                  </to>
                </anchor>
              </controlPr>
            </control>
          </mc:Choice>
        </mc:AlternateContent>
        <mc:AlternateContent xmlns:mc="http://schemas.openxmlformats.org/markup-compatibility/2006">
          <mc:Choice Requires="x14">
            <control shapeId="1033" r:id="rId5" name="Button 9">
              <controlPr defaultSize="0" print="0" autoFill="0" autoPict="0" macro="[0]!Module1.input_doc">
                <anchor moveWithCells="1" sizeWithCells="1">
                  <from>
                    <xdr:col>0</xdr:col>
                    <xdr:colOff>19050</xdr:colOff>
                    <xdr:row>9</xdr:row>
                    <xdr:rowOff>0</xdr:rowOff>
                  </from>
                  <to>
                    <xdr:col>12</xdr:col>
                    <xdr:colOff>9525</xdr:colOff>
                    <xdr:row>13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75126-DAAD-42BD-8565-EE2B3B7C23D7}">
  <sheetPr codeName="Sheet3"/>
  <dimension ref="A1"/>
  <sheetViews>
    <sheetView workbookViewId="0">
      <selection activeCell="E12" sqref="E12"/>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3B73E-372D-4A00-B5CC-44159DC008EA}">
  <dimension ref="A1:C68"/>
  <sheetViews>
    <sheetView topLeftCell="A45" workbookViewId="0">
      <selection sqref="A1:C48"/>
    </sheetView>
  </sheetViews>
  <sheetFormatPr defaultRowHeight="15" x14ac:dyDescent="0.25"/>
  <cols>
    <col min="1" max="1" width="42.28515625" style="8" customWidth="1"/>
    <col min="2" max="2" width="57.85546875" style="8" customWidth="1"/>
    <col min="3" max="3" width="40.28515625" style="61" bestFit="1" customWidth="1"/>
  </cols>
  <sheetData>
    <row r="1" spans="1:3" ht="267.75" x14ac:dyDescent="0.25">
      <c r="A1" s="14" t="s">
        <v>117</v>
      </c>
      <c r="B1" s="19" t="s">
        <v>118</v>
      </c>
      <c r="C1" s="60" t="s">
        <v>748</v>
      </c>
    </row>
    <row r="2" spans="1:3" ht="76.5" x14ac:dyDescent="0.25">
      <c r="A2" s="14" t="s">
        <v>123</v>
      </c>
      <c r="B2" s="19" t="s">
        <v>124</v>
      </c>
      <c r="C2" s="60" t="s">
        <v>816</v>
      </c>
    </row>
    <row r="3" spans="1:3" ht="102" x14ac:dyDescent="0.25">
      <c r="A3" s="14" t="s">
        <v>127</v>
      </c>
      <c r="B3" s="22" t="s">
        <v>128</v>
      </c>
      <c r="C3" s="60" t="s">
        <v>817</v>
      </c>
    </row>
    <row r="4" spans="1:3" ht="242.25" x14ac:dyDescent="0.25">
      <c r="A4" s="24" t="s">
        <v>131</v>
      </c>
      <c r="B4" s="19" t="s">
        <v>132</v>
      </c>
      <c r="C4" s="60" t="s">
        <v>856</v>
      </c>
    </row>
    <row r="5" spans="1:3" ht="204" x14ac:dyDescent="0.25">
      <c r="A5" s="14" t="s">
        <v>138</v>
      </c>
      <c r="B5" s="19" t="s">
        <v>139</v>
      </c>
      <c r="C5" s="60" t="s">
        <v>818</v>
      </c>
    </row>
    <row r="6" spans="1:3" ht="76.5" x14ac:dyDescent="0.25">
      <c r="A6" s="14" t="s">
        <v>143</v>
      </c>
      <c r="B6" s="22" t="s">
        <v>144</v>
      </c>
      <c r="C6" s="60" t="s">
        <v>819</v>
      </c>
    </row>
    <row r="7" spans="1:3" ht="38.25" x14ac:dyDescent="0.25">
      <c r="A7" s="14" t="s">
        <v>207</v>
      </c>
      <c r="B7" s="22" t="s">
        <v>146</v>
      </c>
      <c r="C7" s="60" t="s">
        <v>857</v>
      </c>
    </row>
    <row r="8" spans="1:3" ht="89.25" x14ac:dyDescent="0.25">
      <c r="A8" s="14" t="s">
        <v>148</v>
      </c>
      <c r="B8" s="22" t="s">
        <v>149</v>
      </c>
      <c r="C8" s="60" t="s">
        <v>820</v>
      </c>
    </row>
    <row r="9" spans="1:3" ht="76.5" x14ac:dyDescent="0.25">
      <c r="A9" s="14" t="s">
        <v>143</v>
      </c>
      <c r="B9" s="22" t="s">
        <v>152</v>
      </c>
      <c r="C9" s="60" t="s">
        <v>821</v>
      </c>
    </row>
    <row r="10" spans="1:3" ht="89.25" x14ac:dyDescent="0.25">
      <c r="A10" s="14" t="s">
        <v>148</v>
      </c>
      <c r="B10" s="22" t="s">
        <v>155</v>
      </c>
      <c r="C10" s="60" t="s">
        <v>822</v>
      </c>
    </row>
    <row r="11" spans="1:3" ht="89.25" x14ac:dyDescent="0.25">
      <c r="A11" s="14" t="s">
        <v>148</v>
      </c>
      <c r="B11" s="22" t="s">
        <v>157</v>
      </c>
      <c r="C11" s="60" t="s">
        <v>823</v>
      </c>
    </row>
    <row r="12" spans="1:3" ht="63.75" x14ac:dyDescent="0.25">
      <c r="A12" s="14" t="s">
        <v>164</v>
      </c>
      <c r="B12" s="19" t="s">
        <v>160</v>
      </c>
      <c r="C12" s="60" t="s">
        <v>824</v>
      </c>
    </row>
    <row r="13" spans="1:3" ht="89.25" x14ac:dyDescent="0.25">
      <c r="A13" s="14" t="s">
        <v>148</v>
      </c>
      <c r="B13" s="22" t="s">
        <v>162</v>
      </c>
      <c r="C13" s="60" t="s">
        <v>825</v>
      </c>
    </row>
    <row r="14" spans="1:3" ht="51" x14ac:dyDescent="0.25">
      <c r="A14" s="14" t="s">
        <v>164</v>
      </c>
      <c r="B14" s="19" t="s">
        <v>165</v>
      </c>
      <c r="C14" s="60" t="s">
        <v>826</v>
      </c>
    </row>
    <row r="15" spans="1:3" ht="51" x14ac:dyDescent="0.25">
      <c r="A15" s="14" t="s">
        <v>164</v>
      </c>
      <c r="B15" s="19" t="s">
        <v>167</v>
      </c>
      <c r="C15" s="60" t="s">
        <v>827</v>
      </c>
    </row>
    <row r="16" spans="1:3" ht="89.25" x14ac:dyDescent="0.25">
      <c r="A16" s="14" t="s">
        <v>148</v>
      </c>
      <c r="B16" s="22" t="s">
        <v>169</v>
      </c>
      <c r="C16" s="60" t="s">
        <v>828</v>
      </c>
    </row>
    <row r="17" spans="1:3" ht="102" x14ac:dyDescent="0.25">
      <c r="A17" s="14" t="s">
        <v>148</v>
      </c>
      <c r="B17" s="22" t="s">
        <v>171</v>
      </c>
      <c r="C17" s="60" t="s">
        <v>829</v>
      </c>
    </row>
    <row r="18" spans="1:3" ht="102" x14ac:dyDescent="0.25">
      <c r="A18" s="14" t="s">
        <v>148</v>
      </c>
      <c r="B18" s="22" t="s">
        <v>173</v>
      </c>
      <c r="C18" s="60" t="s">
        <v>830</v>
      </c>
    </row>
    <row r="19" spans="1:3" ht="51" x14ac:dyDescent="0.25">
      <c r="A19" s="14" t="s">
        <v>164</v>
      </c>
      <c r="B19" s="19" t="s">
        <v>175</v>
      </c>
      <c r="C19" s="60" t="s">
        <v>831</v>
      </c>
    </row>
    <row r="20" spans="1:3" ht="89.25" x14ac:dyDescent="0.25">
      <c r="A20" s="14" t="s">
        <v>148</v>
      </c>
      <c r="B20" s="22" t="s">
        <v>177</v>
      </c>
      <c r="C20" s="60" t="s">
        <v>832</v>
      </c>
    </row>
    <row r="21" spans="1:3" ht="89.25" x14ac:dyDescent="0.25">
      <c r="A21" s="14" t="s">
        <v>148</v>
      </c>
      <c r="B21" s="22" t="s">
        <v>179</v>
      </c>
      <c r="C21" s="60" t="s">
        <v>833</v>
      </c>
    </row>
    <row r="22" spans="1:3" ht="51" x14ac:dyDescent="0.25">
      <c r="A22" s="14" t="s">
        <v>164</v>
      </c>
      <c r="B22" s="19" t="s">
        <v>181</v>
      </c>
      <c r="C22" s="60" t="s">
        <v>834</v>
      </c>
    </row>
    <row r="23" spans="1:3" ht="89.25" x14ac:dyDescent="0.25">
      <c r="A23" s="14" t="s">
        <v>182</v>
      </c>
      <c r="B23" s="19" t="s">
        <v>183</v>
      </c>
      <c r="C23" s="60" t="s">
        <v>835</v>
      </c>
    </row>
    <row r="24" spans="1:3" ht="76.5" x14ac:dyDescent="0.25">
      <c r="A24" s="14" t="s">
        <v>185</v>
      </c>
      <c r="B24" s="22" t="s">
        <v>186</v>
      </c>
      <c r="C24" s="60" t="s">
        <v>836</v>
      </c>
    </row>
    <row r="25" spans="1:3" ht="102" x14ac:dyDescent="0.25">
      <c r="A25" s="14" t="s">
        <v>148</v>
      </c>
      <c r="B25" s="22" t="s">
        <v>188</v>
      </c>
      <c r="C25" s="60" t="s">
        <v>837</v>
      </c>
    </row>
    <row r="26" spans="1:3" ht="89.25" x14ac:dyDescent="0.25">
      <c r="A26" s="14" t="s">
        <v>148</v>
      </c>
      <c r="B26" s="22" t="s">
        <v>190</v>
      </c>
      <c r="C26" s="60" t="s">
        <v>838</v>
      </c>
    </row>
    <row r="27" spans="1:3" ht="51" x14ac:dyDescent="0.25">
      <c r="A27" s="14" t="s">
        <v>193</v>
      </c>
      <c r="B27" s="19" t="s">
        <v>194</v>
      </c>
      <c r="C27" s="60" t="s">
        <v>839</v>
      </c>
    </row>
    <row r="28" spans="1:3" ht="127.5" x14ac:dyDescent="0.25">
      <c r="A28" s="14" t="s">
        <v>196</v>
      </c>
      <c r="B28" s="22" t="s">
        <v>197</v>
      </c>
      <c r="C28" s="60" t="s">
        <v>840</v>
      </c>
    </row>
    <row r="29" spans="1:3" ht="51" x14ac:dyDescent="0.25">
      <c r="A29" s="14" t="s">
        <v>201</v>
      </c>
      <c r="B29" s="19" t="s">
        <v>202</v>
      </c>
      <c r="C29" s="60" t="s">
        <v>858</v>
      </c>
    </row>
    <row r="30" spans="1:3" ht="38.25" x14ac:dyDescent="0.25">
      <c r="A30" s="14" t="s">
        <v>211</v>
      </c>
      <c r="B30" s="19" t="s">
        <v>212</v>
      </c>
      <c r="C30" s="60" t="s">
        <v>841</v>
      </c>
    </row>
    <row r="31" spans="1:3" ht="89.25" x14ac:dyDescent="0.25">
      <c r="A31" s="14" t="s">
        <v>185</v>
      </c>
      <c r="B31" s="19" t="s">
        <v>218</v>
      </c>
      <c r="C31" s="60" t="s">
        <v>842</v>
      </c>
    </row>
    <row r="32" spans="1:3" ht="76.5" x14ac:dyDescent="0.25">
      <c r="A32" s="14" t="s">
        <v>221</v>
      </c>
      <c r="B32" s="22" t="s">
        <v>222</v>
      </c>
      <c r="C32" s="60" t="s">
        <v>843</v>
      </c>
    </row>
    <row r="33" spans="1:3" ht="38.25" x14ac:dyDescent="0.25">
      <c r="A33" s="15" t="s">
        <v>224</v>
      </c>
      <c r="B33" s="19" t="s">
        <v>225</v>
      </c>
      <c r="C33" s="60" t="s">
        <v>844</v>
      </c>
    </row>
    <row r="34" spans="1:3" ht="178.5" x14ac:dyDescent="0.25">
      <c r="A34" s="14" t="s">
        <v>230</v>
      </c>
      <c r="B34" s="19" t="s">
        <v>231</v>
      </c>
      <c r="C34" s="60" t="s">
        <v>845</v>
      </c>
    </row>
    <row r="35" spans="1:3" ht="178.5" x14ac:dyDescent="0.25">
      <c r="A35" s="14" t="s">
        <v>232</v>
      </c>
      <c r="B35" s="19" t="s">
        <v>231</v>
      </c>
      <c r="C35" s="60" t="s">
        <v>846</v>
      </c>
    </row>
    <row r="36" spans="1:3" ht="178.5" x14ac:dyDescent="0.25">
      <c r="A36" s="13" t="s">
        <v>234</v>
      </c>
      <c r="B36" s="19" t="s">
        <v>231</v>
      </c>
      <c r="C36" s="60" t="s">
        <v>859</v>
      </c>
    </row>
    <row r="37" spans="1:3" ht="178.5" x14ac:dyDescent="0.25">
      <c r="A37" s="13" t="s">
        <v>237</v>
      </c>
      <c r="B37" s="19" t="s">
        <v>231</v>
      </c>
      <c r="C37" s="60" t="s">
        <v>847</v>
      </c>
    </row>
    <row r="38" spans="1:3" ht="178.5" x14ac:dyDescent="0.25">
      <c r="A38" s="14" t="s">
        <v>239</v>
      </c>
      <c r="B38" s="19" t="s">
        <v>231</v>
      </c>
      <c r="C38" s="60" t="s">
        <v>848</v>
      </c>
    </row>
    <row r="39" spans="1:3" ht="178.5" x14ac:dyDescent="0.25">
      <c r="A39" s="14" t="s">
        <v>241</v>
      </c>
      <c r="B39" s="19" t="s">
        <v>231</v>
      </c>
      <c r="C39" s="60" t="s">
        <v>849</v>
      </c>
    </row>
    <row r="40" spans="1:3" ht="178.5" x14ac:dyDescent="0.25">
      <c r="A40" s="14" t="s">
        <v>243</v>
      </c>
      <c r="B40" s="19" t="s">
        <v>231</v>
      </c>
      <c r="C40" s="60" t="s">
        <v>850</v>
      </c>
    </row>
    <row r="41" spans="1:3" ht="178.5" x14ac:dyDescent="0.25">
      <c r="A41" s="14" t="s">
        <v>535</v>
      </c>
      <c r="B41" s="19" t="s">
        <v>231</v>
      </c>
      <c r="C41" s="60" t="s">
        <v>860</v>
      </c>
    </row>
    <row r="42" spans="1:3" ht="178.5" x14ac:dyDescent="0.25">
      <c r="A42" s="14" t="s">
        <v>246</v>
      </c>
      <c r="B42" s="19" t="s">
        <v>231</v>
      </c>
      <c r="C42" s="60" t="s">
        <v>851</v>
      </c>
    </row>
    <row r="43" spans="1:3" ht="178.5" x14ac:dyDescent="0.25">
      <c r="A43" s="14" t="s">
        <v>247</v>
      </c>
      <c r="B43" s="19" t="s">
        <v>231</v>
      </c>
      <c r="C43" s="60" t="s">
        <v>852</v>
      </c>
    </row>
    <row r="44" spans="1:3" ht="178.5" x14ac:dyDescent="0.25">
      <c r="A44" s="14" t="s">
        <v>248</v>
      </c>
      <c r="B44" s="19" t="s">
        <v>231</v>
      </c>
      <c r="C44" s="60" t="s">
        <v>853</v>
      </c>
    </row>
    <row r="45" spans="1:3" ht="267.75" x14ac:dyDescent="0.25">
      <c r="A45" s="14" t="s">
        <v>250</v>
      </c>
      <c r="B45" s="19" t="s">
        <v>251</v>
      </c>
      <c r="C45" s="60" t="s">
        <v>861</v>
      </c>
    </row>
    <row r="46" spans="1:3" ht="63.75" x14ac:dyDescent="0.25">
      <c r="A46" s="14" t="s">
        <v>185</v>
      </c>
      <c r="B46" s="19" t="s">
        <v>255</v>
      </c>
      <c r="C46" s="60" t="s">
        <v>854</v>
      </c>
    </row>
    <row r="47" spans="1:3" ht="178.5" x14ac:dyDescent="0.25">
      <c r="A47" s="14" t="s">
        <v>260</v>
      </c>
      <c r="B47" s="19" t="s">
        <v>257</v>
      </c>
      <c r="C47" s="60" t="s">
        <v>862</v>
      </c>
    </row>
    <row r="48" spans="1:3" ht="89.25" x14ac:dyDescent="0.25">
      <c r="A48" s="25" t="s">
        <v>267</v>
      </c>
      <c r="B48" s="22" t="s">
        <v>268</v>
      </c>
      <c r="C48" s="60" t="s">
        <v>855</v>
      </c>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47A74-B886-40FF-9F6E-85351F374612}">
  <sheetPr codeName="Sheet4">
    <pageSetUpPr fitToPage="1"/>
  </sheetPr>
  <dimension ref="A1:O69"/>
  <sheetViews>
    <sheetView showGridLines="0" view="pageBreakPreview" topLeftCell="E1" zoomScale="70" zoomScaleNormal="55" zoomScaleSheetLayoutView="70" zoomScalePageLayoutView="85" workbookViewId="0">
      <selection activeCell="H2" sqref="H2"/>
    </sheetView>
  </sheetViews>
  <sheetFormatPr defaultColWidth="9.140625" defaultRowHeight="12.75" x14ac:dyDescent="0.2"/>
  <cols>
    <col min="1" max="1" width="24" style="8" customWidth="1"/>
    <col min="2" max="2" width="15.42578125" style="8" customWidth="1"/>
    <col min="3" max="3" width="19.7109375" style="8" customWidth="1"/>
    <col min="4" max="4" width="8.42578125" style="8" customWidth="1"/>
    <col min="5" max="5" width="40.28515625" style="61" bestFit="1" customWidth="1"/>
    <col min="6" max="6" width="66.85546875" style="8" customWidth="1"/>
    <col min="7" max="9" width="7.7109375" style="8" customWidth="1"/>
    <col min="10" max="10" width="42.28515625" style="8" customWidth="1"/>
    <col min="11" max="13" width="7.7109375" style="8" customWidth="1"/>
    <col min="14" max="14" width="57.85546875" style="8" customWidth="1"/>
    <col min="15" max="15" width="17.85546875" style="8" customWidth="1"/>
    <col min="16" max="16384" width="9.140625" style="8"/>
  </cols>
  <sheetData>
    <row r="1" spans="1:15" ht="168.6" customHeight="1" x14ac:dyDescent="0.2">
      <c r="A1" s="9" t="s">
        <v>102</v>
      </c>
      <c r="B1" s="10" t="s">
        <v>0</v>
      </c>
      <c r="C1" s="10" t="s">
        <v>103</v>
      </c>
      <c r="D1" s="10" t="s">
        <v>104</v>
      </c>
      <c r="E1" s="10" t="s">
        <v>104</v>
      </c>
      <c r="F1" s="10" t="s">
        <v>105</v>
      </c>
      <c r="G1" s="11" t="s">
        <v>106</v>
      </c>
      <c r="H1" s="12" t="s">
        <v>107</v>
      </c>
      <c r="I1" s="11" t="s">
        <v>108</v>
      </c>
      <c r="J1" s="10" t="s">
        <v>109</v>
      </c>
      <c r="K1" s="11" t="s">
        <v>106</v>
      </c>
      <c r="L1" s="12" t="s">
        <v>107</v>
      </c>
      <c r="M1" s="11" t="s">
        <v>108</v>
      </c>
      <c r="N1" s="9" t="s">
        <v>110</v>
      </c>
      <c r="O1" s="9" t="s">
        <v>111</v>
      </c>
    </row>
    <row r="2" spans="1:15" ht="288" customHeight="1" x14ac:dyDescent="0.2">
      <c r="A2" s="13" t="s">
        <v>112</v>
      </c>
      <c r="B2" s="2" t="s">
        <v>113</v>
      </c>
      <c r="C2" s="14" t="s">
        <v>1</v>
      </c>
      <c r="D2" s="2" t="s">
        <v>114</v>
      </c>
      <c r="E2" s="60" t="s">
        <v>748</v>
      </c>
      <c r="F2" s="15" t="s">
        <v>115</v>
      </c>
      <c r="G2" s="2">
        <v>5</v>
      </c>
      <c r="H2" s="16" t="s">
        <v>116</v>
      </c>
      <c r="I2" s="17"/>
      <c r="J2" s="14" t="s">
        <v>117</v>
      </c>
      <c r="K2" s="2">
        <v>5</v>
      </c>
      <c r="L2" s="16" t="s">
        <v>116</v>
      </c>
      <c r="M2" s="18"/>
      <c r="N2" s="19" t="s">
        <v>118</v>
      </c>
      <c r="O2" s="16" t="s">
        <v>119</v>
      </c>
    </row>
    <row r="3" spans="1:15" ht="152.44999999999999" customHeight="1" x14ac:dyDescent="0.2">
      <c r="A3" s="13" t="s">
        <v>112</v>
      </c>
      <c r="B3" s="2" t="s">
        <v>113</v>
      </c>
      <c r="C3" s="14" t="s">
        <v>1</v>
      </c>
      <c r="D3" s="2" t="s">
        <v>120</v>
      </c>
      <c r="E3" s="60" t="s">
        <v>749</v>
      </c>
      <c r="F3" s="15" t="s">
        <v>121</v>
      </c>
      <c r="G3" s="16" t="s">
        <v>122</v>
      </c>
      <c r="H3" s="16" t="s">
        <v>116</v>
      </c>
      <c r="I3" s="18"/>
      <c r="J3" s="14" t="s">
        <v>123</v>
      </c>
      <c r="K3" s="16" t="s">
        <v>122</v>
      </c>
      <c r="L3" s="16" t="s">
        <v>116</v>
      </c>
      <c r="M3" s="18"/>
      <c r="N3" s="19" t="s">
        <v>124</v>
      </c>
      <c r="O3" s="16" t="s">
        <v>119</v>
      </c>
    </row>
    <row r="4" spans="1:15" ht="135" customHeight="1" x14ac:dyDescent="0.2">
      <c r="A4" s="13" t="s">
        <v>125</v>
      </c>
      <c r="B4" s="2" t="s">
        <v>113</v>
      </c>
      <c r="C4" s="14" t="s">
        <v>1</v>
      </c>
      <c r="D4" s="2" t="s">
        <v>126</v>
      </c>
      <c r="E4" s="60" t="s">
        <v>750</v>
      </c>
      <c r="F4" s="15" t="s">
        <v>3</v>
      </c>
      <c r="G4" s="20">
        <v>5</v>
      </c>
      <c r="H4" s="20" t="s">
        <v>116</v>
      </c>
      <c r="I4" s="18"/>
      <c r="J4" s="14" t="s">
        <v>127</v>
      </c>
      <c r="K4" s="20">
        <v>5</v>
      </c>
      <c r="L4" s="20" t="s">
        <v>116</v>
      </c>
      <c r="M4" s="21"/>
      <c r="N4" s="22" t="s">
        <v>128</v>
      </c>
      <c r="O4" s="20" t="s">
        <v>119</v>
      </c>
    </row>
    <row r="5" spans="1:15" ht="279.75" customHeight="1" x14ac:dyDescent="0.2">
      <c r="A5" s="23" t="s">
        <v>129</v>
      </c>
      <c r="B5" s="3" t="s">
        <v>113</v>
      </c>
      <c r="C5" s="24" t="s">
        <v>1</v>
      </c>
      <c r="D5" s="3" t="s">
        <v>130</v>
      </c>
      <c r="E5" s="60" t="s">
        <v>751</v>
      </c>
      <c r="F5" s="25" t="s">
        <v>4</v>
      </c>
      <c r="G5" s="26">
        <v>5</v>
      </c>
      <c r="H5" s="20" t="s">
        <v>116</v>
      </c>
      <c r="I5" s="18"/>
      <c r="J5" s="24" t="s">
        <v>131</v>
      </c>
      <c r="K5" s="26">
        <v>5</v>
      </c>
      <c r="L5" s="20" t="s">
        <v>116</v>
      </c>
      <c r="M5" s="21"/>
      <c r="N5" s="19" t="s">
        <v>132</v>
      </c>
      <c r="O5" s="16" t="s">
        <v>119</v>
      </c>
    </row>
    <row r="6" spans="1:15" ht="261" customHeight="1" x14ac:dyDescent="0.2">
      <c r="A6" s="23" t="s">
        <v>129</v>
      </c>
      <c r="B6" s="3" t="s">
        <v>113</v>
      </c>
      <c r="C6" s="24" t="s">
        <v>1</v>
      </c>
      <c r="D6" s="3" t="s">
        <v>133</v>
      </c>
      <c r="E6" s="60" t="s">
        <v>752</v>
      </c>
      <c r="F6" s="25" t="s">
        <v>5</v>
      </c>
      <c r="G6" s="26">
        <v>4</v>
      </c>
      <c r="H6" s="20" t="s">
        <v>116</v>
      </c>
      <c r="I6" s="18"/>
      <c r="J6" s="24" t="s">
        <v>131</v>
      </c>
      <c r="K6" s="26">
        <v>4</v>
      </c>
      <c r="L6" s="20" t="s">
        <v>116</v>
      </c>
      <c r="M6" s="21"/>
      <c r="N6" s="19" t="s">
        <v>132</v>
      </c>
      <c r="O6" s="16" t="s">
        <v>119</v>
      </c>
    </row>
    <row r="7" spans="1:15" ht="273" customHeight="1" x14ac:dyDescent="0.2">
      <c r="A7" s="23" t="s">
        <v>129</v>
      </c>
      <c r="B7" s="3" t="s">
        <v>113</v>
      </c>
      <c r="C7" s="24" t="s">
        <v>1</v>
      </c>
      <c r="D7" s="3" t="s">
        <v>134</v>
      </c>
      <c r="E7" s="60" t="s">
        <v>753</v>
      </c>
      <c r="F7" s="25" t="s">
        <v>6</v>
      </c>
      <c r="G7" s="16" t="s">
        <v>87</v>
      </c>
      <c r="H7" s="20" t="s">
        <v>116</v>
      </c>
      <c r="I7" s="18"/>
      <c r="J7" s="24" t="s">
        <v>131</v>
      </c>
      <c r="K7" s="16" t="s">
        <v>87</v>
      </c>
      <c r="L7" s="20" t="s">
        <v>116</v>
      </c>
      <c r="M7" s="21"/>
      <c r="N7" s="19" t="s">
        <v>132</v>
      </c>
      <c r="O7" s="16" t="s">
        <v>119</v>
      </c>
    </row>
    <row r="8" spans="1:15" ht="353.1" customHeight="1" x14ac:dyDescent="0.2">
      <c r="A8" s="13" t="s">
        <v>135</v>
      </c>
      <c r="B8" s="16" t="s">
        <v>136</v>
      </c>
      <c r="C8" s="14" t="s">
        <v>7</v>
      </c>
      <c r="D8" s="2" t="s">
        <v>8</v>
      </c>
      <c r="E8" s="60" t="s">
        <v>754</v>
      </c>
      <c r="F8" s="15" t="s">
        <v>137</v>
      </c>
      <c r="G8" s="2">
        <v>4</v>
      </c>
      <c r="H8" s="16" t="s">
        <v>116</v>
      </c>
      <c r="I8" s="18"/>
      <c r="J8" s="14" t="s">
        <v>138</v>
      </c>
      <c r="K8" s="2">
        <v>4</v>
      </c>
      <c r="L8" s="16" t="s">
        <v>116</v>
      </c>
      <c r="M8" s="21"/>
      <c r="N8" s="19" t="s">
        <v>139</v>
      </c>
      <c r="O8" s="16" t="s">
        <v>119</v>
      </c>
    </row>
    <row r="9" spans="1:15" ht="109.5" customHeight="1" x14ac:dyDescent="0.2">
      <c r="A9" s="13" t="s">
        <v>140</v>
      </c>
      <c r="B9" s="16" t="s">
        <v>136</v>
      </c>
      <c r="C9" s="14" t="s">
        <v>9</v>
      </c>
      <c r="D9" s="2" t="s">
        <v>141</v>
      </c>
      <c r="E9" s="60" t="s">
        <v>755</v>
      </c>
      <c r="F9" s="15" t="s">
        <v>142</v>
      </c>
      <c r="G9" s="16" t="s">
        <v>122</v>
      </c>
      <c r="H9" s="16" t="s">
        <v>116</v>
      </c>
      <c r="I9" s="18"/>
      <c r="J9" s="14" t="s">
        <v>143</v>
      </c>
      <c r="K9" s="16" t="s">
        <v>122</v>
      </c>
      <c r="L9" s="16" t="s">
        <v>116</v>
      </c>
      <c r="M9" s="27"/>
      <c r="N9" s="22" t="s">
        <v>144</v>
      </c>
      <c r="O9" s="16" t="s">
        <v>119</v>
      </c>
    </row>
    <row r="10" spans="1:15" ht="96.95" customHeight="1" x14ac:dyDescent="0.2">
      <c r="A10" s="13" t="s">
        <v>140</v>
      </c>
      <c r="B10" s="16" t="s">
        <v>136</v>
      </c>
      <c r="C10" s="14" t="s">
        <v>9</v>
      </c>
      <c r="D10" s="2" t="s">
        <v>145</v>
      </c>
      <c r="E10" s="60" t="s">
        <v>756</v>
      </c>
      <c r="F10" s="15" t="s">
        <v>10</v>
      </c>
      <c r="G10" s="16" t="s">
        <v>122</v>
      </c>
      <c r="H10" s="16" t="s">
        <v>116</v>
      </c>
      <c r="I10" s="18"/>
      <c r="J10" s="14" t="s">
        <v>207</v>
      </c>
      <c r="K10" s="16" t="s">
        <v>122</v>
      </c>
      <c r="L10" s="16" t="s">
        <v>116</v>
      </c>
      <c r="M10" s="27"/>
      <c r="N10" s="22" t="s">
        <v>146</v>
      </c>
      <c r="O10" s="16" t="s">
        <v>119</v>
      </c>
    </row>
    <row r="11" spans="1:15" ht="141" customHeight="1" x14ac:dyDescent="0.2">
      <c r="A11" s="13" t="s">
        <v>140</v>
      </c>
      <c r="B11" s="16" t="s">
        <v>136</v>
      </c>
      <c r="C11" s="14" t="s">
        <v>9</v>
      </c>
      <c r="D11" s="2" t="s">
        <v>147</v>
      </c>
      <c r="E11" s="60" t="s">
        <v>757</v>
      </c>
      <c r="F11" s="15" t="s">
        <v>11</v>
      </c>
      <c r="G11" s="16" t="s">
        <v>122</v>
      </c>
      <c r="H11" s="16" t="s">
        <v>116</v>
      </c>
      <c r="I11" s="18"/>
      <c r="J11" s="14" t="s">
        <v>148</v>
      </c>
      <c r="K11" s="16" t="s">
        <v>122</v>
      </c>
      <c r="L11" s="16" t="s">
        <v>116</v>
      </c>
      <c r="M11" s="27"/>
      <c r="N11" s="22" t="s">
        <v>149</v>
      </c>
      <c r="O11" s="16" t="s">
        <v>119</v>
      </c>
    </row>
    <row r="12" spans="1:15" ht="146.1" customHeight="1" x14ac:dyDescent="0.2">
      <c r="A12" s="13" t="s">
        <v>140</v>
      </c>
      <c r="B12" s="16" t="s">
        <v>136</v>
      </c>
      <c r="C12" s="14" t="s">
        <v>9</v>
      </c>
      <c r="D12" s="2" t="s">
        <v>150</v>
      </c>
      <c r="E12" s="60" t="s">
        <v>758</v>
      </c>
      <c r="F12" s="15" t="s">
        <v>12</v>
      </c>
      <c r="G12" s="16" t="s">
        <v>151</v>
      </c>
      <c r="H12" s="16" t="s">
        <v>116</v>
      </c>
      <c r="I12" s="18"/>
      <c r="J12" s="14" t="s">
        <v>143</v>
      </c>
      <c r="K12" s="16" t="s">
        <v>151</v>
      </c>
      <c r="L12" s="16" t="s">
        <v>116</v>
      </c>
      <c r="M12" s="27"/>
      <c r="N12" s="22" t="s">
        <v>152</v>
      </c>
      <c r="O12" s="16" t="s">
        <v>119</v>
      </c>
    </row>
    <row r="13" spans="1:15" ht="153.6" customHeight="1" x14ac:dyDescent="0.2">
      <c r="A13" s="13" t="s">
        <v>153</v>
      </c>
      <c r="B13" s="16" t="s">
        <v>136</v>
      </c>
      <c r="C13" s="14" t="s">
        <v>13</v>
      </c>
      <c r="D13" s="2" t="s">
        <v>154</v>
      </c>
      <c r="E13" s="60" t="s">
        <v>759</v>
      </c>
      <c r="F13" s="15" t="s">
        <v>14</v>
      </c>
      <c r="G13" s="16" t="s">
        <v>122</v>
      </c>
      <c r="H13" s="16" t="s">
        <v>116</v>
      </c>
      <c r="I13" s="18"/>
      <c r="J13" s="14" t="s">
        <v>148</v>
      </c>
      <c r="K13" s="16" t="s">
        <v>122</v>
      </c>
      <c r="L13" s="16" t="s">
        <v>116</v>
      </c>
      <c r="M13" s="27"/>
      <c r="N13" s="22" t="s">
        <v>155</v>
      </c>
      <c r="O13" s="16" t="s">
        <v>119</v>
      </c>
    </row>
    <row r="14" spans="1:15" ht="111.6" customHeight="1" x14ac:dyDescent="0.2">
      <c r="A14" s="13" t="s">
        <v>153</v>
      </c>
      <c r="B14" s="16" t="s">
        <v>136</v>
      </c>
      <c r="C14" s="14" t="s">
        <v>13</v>
      </c>
      <c r="D14" s="2" t="s">
        <v>156</v>
      </c>
      <c r="E14" s="60" t="s">
        <v>760</v>
      </c>
      <c r="F14" s="15" t="s">
        <v>15</v>
      </c>
      <c r="G14" s="16" t="s">
        <v>122</v>
      </c>
      <c r="H14" s="16" t="s">
        <v>116</v>
      </c>
      <c r="I14" s="18"/>
      <c r="J14" s="14" t="s">
        <v>148</v>
      </c>
      <c r="K14" s="16" t="s">
        <v>122</v>
      </c>
      <c r="L14" s="16" t="s">
        <v>116</v>
      </c>
      <c r="M14" s="27"/>
      <c r="N14" s="22" t="s">
        <v>157</v>
      </c>
      <c r="O14" s="16" t="s">
        <v>119</v>
      </c>
    </row>
    <row r="15" spans="1:15" ht="163.5" customHeight="1" x14ac:dyDescent="0.2">
      <c r="A15" s="13" t="s">
        <v>158</v>
      </c>
      <c r="B15" s="16" t="s">
        <v>136</v>
      </c>
      <c r="C15" s="14" t="s">
        <v>13</v>
      </c>
      <c r="D15" s="2" t="s">
        <v>159</v>
      </c>
      <c r="E15" s="60" t="s">
        <v>761</v>
      </c>
      <c r="F15" s="15" t="s">
        <v>16</v>
      </c>
      <c r="G15" s="16" t="s">
        <v>122</v>
      </c>
      <c r="H15" s="16" t="s">
        <v>116</v>
      </c>
      <c r="I15" s="18"/>
      <c r="J15" s="14" t="s">
        <v>164</v>
      </c>
      <c r="K15" s="16" t="s">
        <v>122</v>
      </c>
      <c r="L15" s="16" t="s">
        <v>116</v>
      </c>
      <c r="M15" s="27"/>
      <c r="N15" s="19" t="s">
        <v>160</v>
      </c>
      <c r="O15" s="16" t="s">
        <v>119</v>
      </c>
    </row>
    <row r="16" spans="1:15" ht="122.25" customHeight="1" x14ac:dyDescent="0.2">
      <c r="A16" s="13" t="s">
        <v>153</v>
      </c>
      <c r="B16" s="16" t="s">
        <v>136</v>
      </c>
      <c r="C16" s="14" t="s">
        <v>13</v>
      </c>
      <c r="D16" s="2" t="s">
        <v>161</v>
      </c>
      <c r="E16" s="60" t="s">
        <v>762</v>
      </c>
      <c r="F16" s="15" t="s">
        <v>17</v>
      </c>
      <c r="G16" s="16" t="s">
        <v>122</v>
      </c>
      <c r="H16" s="16" t="s">
        <v>116</v>
      </c>
      <c r="I16" s="18"/>
      <c r="J16" s="14" t="s">
        <v>148</v>
      </c>
      <c r="K16" s="16" t="s">
        <v>122</v>
      </c>
      <c r="L16" s="16" t="s">
        <v>116</v>
      </c>
      <c r="M16" s="27"/>
      <c r="N16" s="22" t="s">
        <v>162</v>
      </c>
      <c r="O16" s="16" t="s">
        <v>119</v>
      </c>
    </row>
    <row r="17" spans="1:15" ht="105.95" customHeight="1" x14ac:dyDescent="0.2">
      <c r="A17" s="13" t="s">
        <v>158</v>
      </c>
      <c r="B17" s="16" t="s">
        <v>136</v>
      </c>
      <c r="C17" s="14" t="s">
        <v>13</v>
      </c>
      <c r="D17" s="2" t="s">
        <v>163</v>
      </c>
      <c r="E17" s="60" t="s">
        <v>763</v>
      </c>
      <c r="F17" s="15" t="s">
        <v>18</v>
      </c>
      <c r="G17" s="16" t="s">
        <v>122</v>
      </c>
      <c r="H17" s="16" t="s">
        <v>116</v>
      </c>
      <c r="I17" s="18"/>
      <c r="J17" s="14" t="s">
        <v>164</v>
      </c>
      <c r="K17" s="16" t="s">
        <v>122</v>
      </c>
      <c r="L17" s="16" t="s">
        <v>116</v>
      </c>
      <c r="M17" s="27"/>
      <c r="N17" s="19" t="s">
        <v>165</v>
      </c>
      <c r="O17" s="16" t="s">
        <v>119</v>
      </c>
    </row>
    <row r="18" spans="1:15" ht="143.1" customHeight="1" x14ac:dyDescent="0.2">
      <c r="A18" s="13" t="s">
        <v>158</v>
      </c>
      <c r="B18" s="16" t="s">
        <v>136</v>
      </c>
      <c r="C18" s="14" t="s">
        <v>13</v>
      </c>
      <c r="D18" s="2" t="s">
        <v>166</v>
      </c>
      <c r="E18" s="60" t="s">
        <v>764</v>
      </c>
      <c r="F18" s="15" t="s">
        <v>19</v>
      </c>
      <c r="G18" s="16" t="s">
        <v>122</v>
      </c>
      <c r="H18" s="16" t="s">
        <v>116</v>
      </c>
      <c r="I18" s="18"/>
      <c r="J18" s="14" t="s">
        <v>164</v>
      </c>
      <c r="K18" s="16" t="s">
        <v>122</v>
      </c>
      <c r="L18" s="16" t="s">
        <v>116</v>
      </c>
      <c r="M18" s="27"/>
      <c r="N18" s="19" t="s">
        <v>167</v>
      </c>
      <c r="O18" s="16" t="s">
        <v>119</v>
      </c>
    </row>
    <row r="19" spans="1:15" ht="163.5" customHeight="1" x14ac:dyDescent="0.2">
      <c r="A19" s="13" t="s">
        <v>153</v>
      </c>
      <c r="B19" s="16" t="s">
        <v>136</v>
      </c>
      <c r="C19" s="14" t="s">
        <v>13</v>
      </c>
      <c r="D19" s="2" t="s">
        <v>168</v>
      </c>
      <c r="E19" s="60" t="s">
        <v>765</v>
      </c>
      <c r="F19" s="15" t="s">
        <v>20</v>
      </c>
      <c r="G19" s="16" t="s">
        <v>122</v>
      </c>
      <c r="H19" s="16" t="s">
        <v>116</v>
      </c>
      <c r="I19" s="18"/>
      <c r="J19" s="14" t="s">
        <v>148</v>
      </c>
      <c r="K19" s="16" t="s">
        <v>122</v>
      </c>
      <c r="L19" s="16" t="s">
        <v>116</v>
      </c>
      <c r="M19" s="27"/>
      <c r="N19" s="22" t="s">
        <v>169</v>
      </c>
      <c r="O19" s="16" t="s">
        <v>119</v>
      </c>
    </row>
    <row r="20" spans="1:15" ht="163.5" customHeight="1" x14ac:dyDescent="0.2">
      <c r="A20" s="13" t="s">
        <v>153</v>
      </c>
      <c r="B20" s="16" t="s">
        <v>136</v>
      </c>
      <c r="C20" s="14" t="s">
        <v>13</v>
      </c>
      <c r="D20" s="2" t="s">
        <v>170</v>
      </c>
      <c r="E20" s="60" t="s">
        <v>766</v>
      </c>
      <c r="F20" s="15" t="s">
        <v>21</v>
      </c>
      <c r="G20" s="16" t="s">
        <v>122</v>
      </c>
      <c r="H20" s="16" t="s">
        <v>116</v>
      </c>
      <c r="I20" s="18"/>
      <c r="J20" s="14" t="s">
        <v>148</v>
      </c>
      <c r="K20" s="16" t="s">
        <v>122</v>
      </c>
      <c r="L20" s="16" t="s">
        <v>116</v>
      </c>
      <c r="M20" s="27"/>
      <c r="N20" s="22" t="s">
        <v>171</v>
      </c>
      <c r="O20" s="16" t="s">
        <v>119</v>
      </c>
    </row>
    <row r="21" spans="1:15" ht="143.25" customHeight="1" x14ac:dyDescent="0.2">
      <c r="A21" s="13" t="s">
        <v>153</v>
      </c>
      <c r="B21" s="16" t="s">
        <v>136</v>
      </c>
      <c r="C21" s="14" t="s">
        <v>13</v>
      </c>
      <c r="D21" s="2" t="s">
        <v>172</v>
      </c>
      <c r="E21" s="60" t="s">
        <v>767</v>
      </c>
      <c r="F21" s="15" t="s">
        <v>22</v>
      </c>
      <c r="G21" s="16" t="s">
        <v>122</v>
      </c>
      <c r="H21" s="16" t="s">
        <v>116</v>
      </c>
      <c r="I21" s="18"/>
      <c r="J21" s="14" t="s">
        <v>148</v>
      </c>
      <c r="K21" s="16" t="s">
        <v>122</v>
      </c>
      <c r="L21" s="16" t="s">
        <v>116</v>
      </c>
      <c r="M21" s="27"/>
      <c r="N21" s="22" t="s">
        <v>173</v>
      </c>
      <c r="O21" s="16" t="s">
        <v>119</v>
      </c>
    </row>
    <row r="22" spans="1:15" ht="148.5" customHeight="1" x14ac:dyDescent="0.2">
      <c r="A22" s="13" t="s">
        <v>158</v>
      </c>
      <c r="B22" s="16" t="s">
        <v>136</v>
      </c>
      <c r="C22" s="14" t="s">
        <v>13</v>
      </c>
      <c r="D22" s="2" t="s">
        <v>174</v>
      </c>
      <c r="E22" s="60" t="s">
        <v>768</v>
      </c>
      <c r="F22" s="15" t="s">
        <v>23</v>
      </c>
      <c r="G22" s="16" t="s">
        <v>122</v>
      </c>
      <c r="H22" s="16" t="s">
        <v>116</v>
      </c>
      <c r="I22" s="18"/>
      <c r="J22" s="14" t="s">
        <v>164</v>
      </c>
      <c r="K22" s="16" t="s">
        <v>122</v>
      </c>
      <c r="L22" s="16" t="s">
        <v>116</v>
      </c>
      <c r="M22" s="27"/>
      <c r="N22" s="19" t="s">
        <v>175</v>
      </c>
      <c r="O22" s="16" t="s">
        <v>119</v>
      </c>
    </row>
    <row r="23" spans="1:15" ht="143.1" customHeight="1" x14ac:dyDescent="0.2">
      <c r="A23" s="13" t="s">
        <v>153</v>
      </c>
      <c r="B23" s="16" t="s">
        <v>136</v>
      </c>
      <c r="C23" s="14" t="s">
        <v>13</v>
      </c>
      <c r="D23" s="2" t="s">
        <v>176</v>
      </c>
      <c r="E23" s="60" t="s">
        <v>769</v>
      </c>
      <c r="F23" s="15" t="s">
        <v>24</v>
      </c>
      <c r="G23" s="16" t="s">
        <v>122</v>
      </c>
      <c r="H23" s="16" t="s">
        <v>116</v>
      </c>
      <c r="I23" s="18"/>
      <c r="J23" s="14" t="s">
        <v>148</v>
      </c>
      <c r="K23" s="16" t="s">
        <v>122</v>
      </c>
      <c r="L23" s="16" t="s">
        <v>116</v>
      </c>
      <c r="M23" s="27"/>
      <c r="N23" s="22" t="s">
        <v>177</v>
      </c>
      <c r="O23" s="16" t="s">
        <v>119</v>
      </c>
    </row>
    <row r="24" spans="1:15" ht="111.6" customHeight="1" x14ac:dyDescent="0.2">
      <c r="A24" s="13" t="s">
        <v>153</v>
      </c>
      <c r="B24" s="16" t="s">
        <v>136</v>
      </c>
      <c r="C24" s="14" t="s">
        <v>13</v>
      </c>
      <c r="D24" s="2" t="s">
        <v>178</v>
      </c>
      <c r="E24" s="60" t="s">
        <v>770</v>
      </c>
      <c r="F24" s="15" t="s">
        <v>25</v>
      </c>
      <c r="G24" s="16" t="s">
        <v>122</v>
      </c>
      <c r="H24" s="16" t="s">
        <v>116</v>
      </c>
      <c r="I24" s="18"/>
      <c r="J24" s="14" t="s">
        <v>148</v>
      </c>
      <c r="K24" s="16" t="s">
        <v>122</v>
      </c>
      <c r="L24" s="16" t="s">
        <v>116</v>
      </c>
      <c r="M24" s="27"/>
      <c r="N24" s="22" t="s">
        <v>179</v>
      </c>
      <c r="O24" s="16" t="s">
        <v>119</v>
      </c>
    </row>
    <row r="25" spans="1:15" ht="146.1" customHeight="1" x14ac:dyDescent="0.2">
      <c r="A25" s="13" t="s">
        <v>158</v>
      </c>
      <c r="B25" s="16" t="s">
        <v>136</v>
      </c>
      <c r="C25" s="14" t="s">
        <v>13</v>
      </c>
      <c r="D25" s="2" t="s">
        <v>180</v>
      </c>
      <c r="E25" s="60" t="s">
        <v>771</v>
      </c>
      <c r="F25" s="15" t="s">
        <v>26</v>
      </c>
      <c r="G25" s="16" t="s">
        <v>122</v>
      </c>
      <c r="H25" s="16" t="s">
        <v>116</v>
      </c>
      <c r="I25" s="18"/>
      <c r="J25" s="14" t="s">
        <v>164</v>
      </c>
      <c r="K25" s="16" t="s">
        <v>122</v>
      </c>
      <c r="L25" s="16" t="s">
        <v>116</v>
      </c>
      <c r="M25" s="27"/>
      <c r="N25" s="19" t="s">
        <v>181</v>
      </c>
      <c r="O25" s="16" t="s">
        <v>119</v>
      </c>
    </row>
    <row r="26" spans="1:15" ht="136.5" customHeight="1" x14ac:dyDescent="0.2">
      <c r="A26" s="13" t="s">
        <v>158</v>
      </c>
      <c r="B26" s="16" t="s">
        <v>136</v>
      </c>
      <c r="C26" s="14" t="s">
        <v>27</v>
      </c>
      <c r="D26" s="2" t="s">
        <v>28</v>
      </c>
      <c r="E26" s="60" t="s">
        <v>772</v>
      </c>
      <c r="F26" s="15" t="s">
        <v>29</v>
      </c>
      <c r="G26" s="16" t="s">
        <v>122</v>
      </c>
      <c r="H26" s="16" t="s">
        <v>116</v>
      </c>
      <c r="I26" s="18"/>
      <c r="J26" s="14" t="s">
        <v>182</v>
      </c>
      <c r="K26" s="16" t="s">
        <v>122</v>
      </c>
      <c r="L26" s="16" t="s">
        <v>116</v>
      </c>
      <c r="M26" s="27"/>
      <c r="N26" s="19" t="s">
        <v>183</v>
      </c>
      <c r="O26" s="16" t="s">
        <v>119</v>
      </c>
    </row>
    <row r="27" spans="1:15" ht="156.6" customHeight="1" x14ac:dyDescent="0.2">
      <c r="A27" s="13" t="s">
        <v>153</v>
      </c>
      <c r="B27" s="16" t="s">
        <v>136</v>
      </c>
      <c r="C27" s="14" t="s">
        <v>9</v>
      </c>
      <c r="D27" s="2" t="s">
        <v>184</v>
      </c>
      <c r="E27" s="60" t="s">
        <v>773</v>
      </c>
      <c r="F27" s="15" t="s">
        <v>30</v>
      </c>
      <c r="G27" s="16" t="s">
        <v>87</v>
      </c>
      <c r="H27" s="16" t="s">
        <v>116</v>
      </c>
      <c r="I27" s="28"/>
      <c r="J27" s="14" t="s">
        <v>185</v>
      </c>
      <c r="K27" s="16" t="s">
        <v>87</v>
      </c>
      <c r="L27" s="16" t="s">
        <v>116</v>
      </c>
      <c r="M27" s="29"/>
      <c r="N27" s="22" t="s">
        <v>186</v>
      </c>
      <c r="O27" s="20" t="s">
        <v>119</v>
      </c>
    </row>
    <row r="28" spans="1:15" ht="153.6" customHeight="1" x14ac:dyDescent="0.2">
      <c r="A28" s="13" t="s">
        <v>153</v>
      </c>
      <c r="B28" s="16" t="s">
        <v>136</v>
      </c>
      <c r="C28" s="14" t="s">
        <v>13</v>
      </c>
      <c r="D28" s="2" t="s">
        <v>187</v>
      </c>
      <c r="E28" s="60" t="s">
        <v>774</v>
      </c>
      <c r="F28" s="15" t="s">
        <v>31</v>
      </c>
      <c r="G28" s="16" t="s">
        <v>122</v>
      </c>
      <c r="H28" s="16" t="s">
        <v>116</v>
      </c>
      <c r="I28" s="27"/>
      <c r="J28" s="14" t="s">
        <v>148</v>
      </c>
      <c r="K28" s="16" t="s">
        <v>122</v>
      </c>
      <c r="L28" s="16" t="s">
        <v>116</v>
      </c>
      <c r="M28" s="30"/>
      <c r="N28" s="22" t="s">
        <v>188</v>
      </c>
      <c r="O28" s="16" t="s">
        <v>119</v>
      </c>
    </row>
    <row r="29" spans="1:15" ht="146.25" customHeight="1" x14ac:dyDescent="0.2">
      <c r="A29" s="13" t="s">
        <v>153</v>
      </c>
      <c r="B29" s="16" t="s">
        <v>136</v>
      </c>
      <c r="C29" s="14" t="s">
        <v>13</v>
      </c>
      <c r="D29" s="2" t="s">
        <v>189</v>
      </c>
      <c r="E29" s="60" t="s">
        <v>775</v>
      </c>
      <c r="F29" s="15" t="s">
        <v>32</v>
      </c>
      <c r="G29" s="16" t="s">
        <v>122</v>
      </c>
      <c r="H29" s="16" t="s">
        <v>116</v>
      </c>
      <c r="I29" s="27"/>
      <c r="J29" s="14" t="s">
        <v>148</v>
      </c>
      <c r="K29" s="16" t="s">
        <v>122</v>
      </c>
      <c r="L29" s="16" t="s">
        <v>116</v>
      </c>
      <c r="M29" s="30"/>
      <c r="N29" s="22" t="s">
        <v>190</v>
      </c>
      <c r="O29" s="16" t="s">
        <v>119</v>
      </c>
    </row>
    <row r="30" spans="1:15" ht="162.6" customHeight="1" x14ac:dyDescent="0.2">
      <c r="A30" s="13" t="s">
        <v>191</v>
      </c>
      <c r="B30" s="31" t="s">
        <v>192</v>
      </c>
      <c r="C30" s="22" t="s">
        <v>95</v>
      </c>
      <c r="D30" s="2" t="s">
        <v>96</v>
      </c>
      <c r="E30" s="60" t="s">
        <v>776</v>
      </c>
      <c r="F30" s="15" t="s">
        <v>97</v>
      </c>
      <c r="G30" s="16" t="s">
        <v>122</v>
      </c>
      <c r="H30" s="16" t="s">
        <v>116</v>
      </c>
      <c r="I30" s="18"/>
      <c r="J30" s="14" t="s">
        <v>193</v>
      </c>
      <c r="K30" s="16" t="s">
        <v>122</v>
      </c>
      <c r="L30" s="16" t="s">
        <v>116</v>
      </c>
      <c r="M30" s="27"/>
      <c r="N30" s="19" t="s">
        <v>194</v>
      </c>
      <c r="O30" s="16" t="s">
        <v>119</v>
      </c>
    </row>
    <row r="31" spans="1:15" ht="170.25" customHeight="1" x14ac:dyDescent="0.2">
      <c r="A31" s="13" t="s">
        <v>191</v>
      </c>
      <c r="B31" s="31" t="s">
        <v>192</v>
      </c>
      <c r="C31" s="22" t="s">
        <v>98</v>
      </c>
      <c r="D31" s="2" t="s">
        <v>195</v>
      </c>
      <c r="E31" s="60" t="s">
        <v>777</v>
      </c>
      <c r="F31" s="15" t="s">
        <v>99</v>
      </c>
      <c r="G31" s="16" t="s">
        <v>122</v>
      </c>
      <c r="H31" s="16" t="s">
        <v>116</v>
      </c>
      <c r="I31" s="18"/>
      <c r="J31" s="14" t="s">
        <v>196</v>
      </c>
      <c r="K31" s="16" t="s">
        <v>122</v>
      </c>
      <c r="L31" s="16" t="s">
        <v>116</v>
      </c>
      <c r="M31" s="27"/>
      <c r="N31" s="22" t="s">
        <v>197</v>
      </c>
      <c r="O31" s="16" t="s">
        <v>119</v>
      </c>
    </row>
    <row r="32" spans="1:15" ht="101.1" customHeight="1" x14ac:dyDescent="0.2">
      <c r="A32" s="13" t="s">
        <v>198</v>
      </c>
      <c r="B32" s="16" t="s">
        <v>199</v>
      </c>
      <c r="C32" s="22" t="s">
        <v>33</v>
      </c>
      <c r="D32" s="2" t="s">
        <v>200</v>
      </c>
      <c r="E32" s="60" t="s">
        <v>778</v>
      </c>
      <c r="F32" s="15" t="s">
        <v>34</v>
      </c>
      <c r="G32" s="16" t="s">
        <v>122</v>
      </c>
      <c r="H32" s="16" t="s">
        <v>116</v>
      </c>
      <c r="I32" s="18"/>
      <c r="J32" s="14" t="s">
        <v>201</v>
      </c>
      <c r="K32" s="16" t="s">
        <v>122</v>
      </c>
      <c r="L32" s="16" t="s">
        <v>116</v>
      </c>
      <c r="M32" s="27"/>
      <c r="N32" s="19" t="s">
        <v>202</v>
      </c>
      <c r="O32" s="16" t="s">
        <v>119</v>
      </c>
    </row>
    <row r="33" spans="1:15" ht="87.95" customHeight="1" x14ac:dyDescent="0.2">
      <c r="A33" s="13" t="s">
        <v>198</v>
      </c>
      <c r="B33" s="16" t="s">
        <v>199</v>
      </c>
      <c r="C33" s="22" t="s">
        <v>33</v>
      </c>
      <c r="D33" s="2" t="s">
        <v>203</v>
      </c>
      <c r="E33" s="60" t="s">
        <v>779</v>
      </c>
      <c r="F33" s="15" t="s">
        <v>35</v>
      </c>
      <c r="G33" s="16" t="s">
        <v>122</v>
      </c>
      <c r="H33" s="16" t="s">
        <v>116</v>
      </c>
      <c r="I33" s="18"/>
      <c r="J33" s="14" t="s">
        <v>201</v>
      </c>
      <c r="K33" s="16" t="s">
        <v>122</v>
      </c>
      <c r="L33" s="16" t="s">
        <v>116</v>
      </c>
      <c r="M33" s="27"/>
      <c r="N33" s="19" t="s">
        <v>202</v>
      </c>
      <c r="O33" s="16" t="s">
        <v>119</v>
      </c>
    </row>
    <row r="34" spans="1:15" ht="78" customHeight="1" x14ac:dyDescent="0.2">
      <c r="A34" s="13" t="s">
        <v>198</v>
      </c>
      <c r="B34" s="16" t="s">
        <v>199</v>
      </c>
      <c r="C34" s="22" t="s">
        <v>33</v>
      </c>
      <c r="D34" s="2" t="s">
        <v>204</v>
      </c>
      <c r="E34" s="60" t="s">
        <v>780</v>
      </c>
      <c r="F34" s="15" t="s">
        <v>36</v>
      </c>
      <c r="G34" s="16" t="s">
        <v>122</v>
      </c>
      <c r="H34" s="16" t="s">
        <v>116</v>
      </c>
      <c r="I34" s="18"/>
      <c r="J34" s="14" t="s">
        <v>201</v>
      </c>
      <c r="K34" s="16" t="s">
        <v>122</v>
      </c>
      <c r="L34" s="16" t="s">
        <v>116</v>
      </c>
      <c r="M34" s="27"/>
      <c r="N34" s="19" t="s">
        <v>202</v>
      </c>
      <c r="O34" s="16" t="s">
        <v>119</v>
      </c>
    </row>
    <row r="35" spans="1:15" ht="74.45" customHeight="1" x14ac:dyDescent="0.2">
      <c r="A35" s="13" t="s">
        <v>198</v>
      </c>
      <c r="B35" s="16" t="s">
        <v>199</v>
      </c>
      <c r="C35" s="22" t="s">
        <v>37</v>
      </c>
      <c r="D35" s="2" t="s">
        <v>38</v>
      </c>
      <c r="E35" s="60" t="s">
        <v>781</v>
      </c>
      <c r="F35" s="15" t="s">
        <v>39</v>
      </c>
      <c r="G35" s="16" t="s">
        <v>122</v>
      </c>
      <c r="H35" s="16" t="s">
        <v>116</v>
      </c>
      <c r="I35" s="18"/>
      <c r="J35" s="14" t="s">
        <v>201</v>
      </c>
      <c r="K35" s="16" t="s">
        <v>122</v>
      </c>
      <c r="L35" s="16" t="s">
        <v>116</v>
      </c>
      <c r="M35" s="27"/>
      <c r="N35" s="19" t="s">
        <v>202</v>
      </c>
      <c r="O35" s="16" t="s">
        <v>119</v>
      </c>
    </row>
    <row r="36" spans="1:15" ht="81" customHeight="1" x14ac:dyDescent="0.2">
      <c r="A36" s="13" t="s">
        <v>198</v>
      </c>
      <c r="B36" s="16" t="s">
        <v>199</v>
      </c>
      <c r="C36" s="14" t="s">
        <v>33</v>
      </c>
      <c r="D36" s="2" t="s">
        <v>205</v>
      </c>
      <c r="E36" s="60" t="s">
        <v>782</v>
      </c>
      <c r="F36" s="15" t="s">
        <v>41</v>
      </c>
      <c r="G36" s="16" t="s">
        <v>122</v>
      </c>
      <c r="H36" s="16" t="s">
        <v>206</v>
      </c>
      <c r="I36" s="18"/>
      <c r="J36" s="14" t="s">
        <v>207</v>
      </c>
      <c r="K36" s="16" t="s">
        <v>122</v>
      </c>
      <c r="L36" s="16" t="s">
        <v>206</v>
      </c>
      <c r="M36" s="27"/>
      <c r="N36" s="22" t="s">
        <v>146</v>
      </c>
      <c r="O36" s="16" t="s">
        <v>119</v>
      </c>
    </row>
    <row r="37" spans="1:15" ht="76.5" customHeight="1" x14ac:dyDescent="0.2">
      <c r="A37" s="13" t="s">
        <v>198</v>
      </c>
      <c r="B37" s="16" t="s">
        <v>199</v>
      </c>
      <c r="C37" s="14" t="s">
        <v>42</v>
      </c>
      <c r="D37" s="2" t="s">
        <v>208</v>
      </c>
      <c r="E37" s="60" t="s">
        <v>783</v>
      </c>
      <c r="F37" s="15" t="s">
        <v>43</v>
      </c>
      <c r="G37" s="16" t="s">
        <v>122</v>
      </c>
      <c r="H37" s="16" t="s">
        <v>116</v>
      </c>
      <c r="I37" s="18"/>
      <c r="J37" s="14" t="s">
        <v>201</v>
      </c>
      <c r="K37" s="16" t="s">
        <v>122</v>
      </c>
      <c r="L37" s="16" t="s">
        <v>116</v>
      </c>
      <c r="M37" s="27"/>
      <c r="N37" s="19" t="s">
        <v>202</v>
      </c>
      <c r="O37" s="16" t="s">
        <v>119</v>
      </c>
    </row>
    <row r="38" spans="1:15" ht="86.1" customHeight="1" x14ac:dyDescent="0.2">
      <c r="A38" s="13" t="s">
        <v>198</v>
      </c>
      <c r="B38" s="16" t="s">
        <v>199</v>
      </c>
      <c r="C38" s="14" t="s">
        <v>42</v>
      </c>
      <c r="D38" s="2" t="s">
        <v>209</v>
      </c>
      <c r="E38" s="60" t="s">
        <v>784</v>
      </c>
      <c r="F38" s="15" t="s">
        <v>44</v>
      </c>
      <c r="G38" s="16" t="s">
        <v>122</v>
      </c>
      <c r="H38" s="16" t="s">
        <v>116</v>
      </c>
      <c r="I38" s="18"/>
      <c r="J38" s="14" t="s">
        <v>201</v>
      </c>
      <c r="K38" s="16" t="s">
        <v>122</v>
      </c>
      <c r="L38" s="16" t="s">
        <v>116</v>
      </c>
      <c r="M38" s="27"/>
      <c r="N38" s="19" t="s">
        <v>202</v>
      </c>
      <c r="O38" s="16" t="s">
        <v>119</v>
      </c>
    </row>
    <row r="39" spans="1:15" ht="107.1" customHeight="1" x14ac:dyDescent="0.2">
      <c r="A39" s="13" t="s">
        <v>198</v>
      </c>
      <c r="B39" s="16" t="s">
        <v>199</v>
      </c>
      <c r="C39" s="14" t="s">
        <v>42</v>
      </c>
      <c r="D39" s="2" t="s">
        <v>210</v>
      </c>
      <c r="E39" s="60" t="s">
        <v>785</v>
      </c>
      <c r="F39" s="15" t="s">
        <v>45</v>
      </c>
      <c r="G39" s="16" t="s">
        <v>122</v>
      </c>
      <c r="H39" s="16" t="s">
        <v>116</v>
      </c>
      <c r="I39" s="18"/>
      <c r="J39" s="14" t="s">
        <v>211</v>
      </c>
      <c r="K39" s="16" t="s">
        <v>122</v>
      </c>
      <c r="L39" s="16" t="s">
        <v>116</v>
      </c>
      <c r="M39" s="27"/>
      <c r="N39" s="19" t="s">
        <v>212</v>
      </c>
      <c r="O39" s="16" t="s">
        <v>119</v>
      </c>
    </row>
    <row r="40" spans="1:15" ht="158.1" customHeight="1" x14ac:dyDescent="0.2">
      <c r="A40" s="13" t="s">
        <v>198</v>
      </c>
      <c r="B40" s="16" t="s">
        <v>199</v>
      </c>
      <c r="C40" s="14" t="s">
        <v>33</v>
      </c>
      <c r="D40" s="2" t="s">
        <v>213</v>
      </c>
      <c r="E40" s="60" t="s">
        <v>786</v>
      </c>
      <c r="F40" s="15" t="s">
        <v>214</v>
      </c>
      <c r="G40" s="16" t="s">
        <v>122</v>
      </c>
      <c r="H40" s="16" t="s">
        <v>116</v>
      </c>
      <c r="I40" s="18"/>
      <c r="J40" s="14" t="s">
        <v>215</v>
      </c>
      <c r="K40" s="16" t="s">
        <v>122</v>
      </c>
      <c r="L40" s="16" t="s">
        <v>116</v>
      </c>
      <c r="M40" s="18"/>
      <c r="N40" s="19" t="s">
        <v>216</v>
      </c>
      <c r="O40" s="16" t="s">
        <v>119</v>
      </c>
    </row>
    <row r="41" spans="1:15" ht="141.6" customHeight="1" x14ac:dyDescent="0.2">
      <c r="A41" s="13" t="s">
        <v>198</v>
      </c>
      <c r="B41" s="16" t="s">
        <v>199</v>
      </c>
      <c r="C41" s="14" t="s">
        <v>46</v>
      </c>
      <c r="D41" s="2" t="s">
        <v>217</v>
      </c>
      <c r="E41" s="60" t="s">
        <v>787</v>
      </c>
      <c r="F41" s="15" t="s">
        <v>47</v>
      </c>
      <c r="G41" s="16" t="s">
        <v>122</v>
      </c>
      <c r="H41" s="16" t="s">
        <v>116</v>
      </c>
      <c r="I41" s="18"/>
      <c r="J41" s="14" t="s">
        <v>185</v>
      </c>
      <c r="K41" s="16" t="s">
        <v>122</v>
      </c>
      <c r="L41" s="16" t="s">
        <v>116</v>
      </c>
      <c r="M41" s="27"/>
      <c r="N41" s="19" t="s">
        <v>218</v>
      </c>
      <c r="O41" s="16" t="s">
        <v>119</v>
      </c>
    </row>
    <row r="42" spans="1:15" ht="124.5" customHeight="1" x14ac:dyDescent="0.2">
      <c r="A42" s="13" t="s">
        <v>112</v>
      </c>
      <c r="B42" s="2" t="s">
        <v>199</v>
      </c>
      <c r="C42" s="14" t="s">
        <v>46</v>
      </c>
      <c r="D42" s="2" t="s">
        <v>219</v>
      </c>
      <c r="E42" s="60" t="s">
        <v>788</v>
      </c>
      <c r="F42" s="15" t="s">
        <v>220</v>
      </c>
      <c r="G42" s="16" t="s">
        <v>122</v>
      </c>
      <c r="H42" s="16" t="s">
        <v>116</v>
      </c>
      <c r="I42" s="18"/>
      <c r="J42" s="14" t="s">
        <v>221</v>
      </c>
      <c r="K42" s="16" t="s">
        <v>122</v>
      </c>
      <c r="L42" s="16" t="s">
        <v>116</v>
      </c>
      <c r="M42" s="27"/>
      <c r="N42" s="22" t="s">
        <v>222</v>
      </c>
      <c r="O42" s="16" t="s">
        <v>119</v>
      </c>
    </row>
    <row r="43" spans="1:15" ht="73.5" customHeight="1" x14ac:dyDescent="0.2">
      <c r="A43" s="13" t="s">
        <v>198</v>
      </c>
      <c r="B43" s="16" t="s">
        <v>199</v>
      </c>
      <c r="C43" s="14" t="s">
        <v>48</v>
      </c>
      <c r="D43" s="2" t="s">
        <v>223</v>
      </c>
      <c r="E43" s="60" t="s">
        <v>789</v>
      </c>
      <c r="F43" s="15" t="s">
        <v>49</v>
      </c>
      <c r="G43" s="16" t="s">
        <v>122</v>
      </c>
      <c r="H43" s="16" t="s">
        <v>116</v>
      </c>
      <c r="I43" s="18"/>
      <c r="J43" s="15" t="s">
        <v>224</v>
      </c>
      <c r="K43" s="16" t="s">
        <v>122</v>
      </c>
      <c r="L43" s="16" t="s">
        <v>116</v>
      </c>
      <c r="M43" s="27"/>
      <c r="N43" s="19" t="s">
        <v>225</v>
      </c>
      <c r="O43" s="16" t="s">
        <v>119</v>
      </c>
    </row>
    <row r="44" spans="1:15" ht="174" customHeight="1" x14ac:dyDescent="0.2">
      <c r="A44" s="13" t="s">
        <v>198</v>
      </c>
      <c r="B44" s="16" t="s">
        <v>199</v>
      </c>
      <c r="C44" s="14" t="s">
        <v>50</v>
      </c>
      <c r="D44" s="2" t="s">
        <v>226</v>
      </c>
      <c r="E44" s="60" t="s">
        <v>790</v>
      </c>
      <c r="F44" s="15" t="s">
        <v>51</v>
      </c>
      <c r="G44" s="32" t="s">
        <v>2</v>
      </c>
      <c r="H44" s="16" t="s">
        <v>116</v>
      </c>
      <c r="I44" s="28"/>
      <c r="J44" s="15" t="s">
        <v>201</v>
      </c>
      <c r="K44" s="2" t="s">
        <v>87</v>
      </c>
      <c r="L44" s="16" t="s">
        <v>116</v>
      </c>
      <c r="M44" s="29"/>
      <c r="N44" s="19" t="s">
        <v>202</v>
      </c>
      <c r="O44" s="20" t="s">
        <v>119</v>
      </c>
    </row>
    <row r="45" spans="1:15" ht="205.5" customHeight="1" x14ac:dyDescent="0.2">
      <c r="A45" s="13" t="s">
        <v>227</v>
      </c>
      <c r="B45" s="16" t="s">
        <v>228</v>
      </c>
      <c r="C45" s="14" t="s">
        <v>52</v>
      </c>
      <c r="D45" s="2" t="s">
        <v>53</v>
      </c>
      <c r="E45" s="60" t="s">
        <v>791</v>
      </c>
      <c r="F45" s="15" t="s">
        <v>229</v>
      </c>
      <c r="G45" s="16" t="s">
        <v>122</v>
      </c>
      <c r="H45" s="16" t="s">
        <v>116</v>
      </c>
      <c r="I45" s="27"/>
      <c r="J45" s="14" t="s">
        <v>230</v>
      </c>
      <c r="K45" s="16" t="s">
        <v>122</v>
      </c>
      <c r="L45" s="16" t="s">
        <v>116</v>
      </c>
      <c r="M45" s="33"/>
      <c r="N45" s="19" t="s">
        <v>231</v>
      </c>
      <c r="O45" s="16" t="s">
        <v>119</v>
      </c>
    </row>
    <row r="46" spans="1:15" ht="207.75" customHeight="1" x14ac:dyDescent="0.2">
      <c r="A46" s="13" t="s">
        <v>227</v>
      </c>
      <c r="B46" s="16" t="s">
        <v>228</v>
      </c>
      <c r="C46" s="14" t="s">
        <v>54</v>
      </c>
      <c r="D46" s="2" t="s">
        <v>55</v>
      </c>
      <c r="E46" s="60" t="s">
        <v>792</v>
      </c>
      <c r="F46" s="15" t="s">
        <v>56</v>
      </c>
      <c r="G46" s="16" t="s">
        <v>122</v>
      </c>
      <c r="H46" s="16" t="s">
        <v>116</v>
      </c>
      <c r="I46" s="27"/>
      <c r="J46" s="14" t="s">
        <v>232</v>
      </c>
      <c r="K46" s="16" t="s">
        <v>122</v>
      </c>
      <c r="L46" s="16" t="s">
        <v>116</v>
      </c>
      <c r="M46" s="33"/>
      <c r="N46" s="19" t="s">
        <v>231</v>
      </c>
      <c r="O46" s="16" t="s">
        <v>119</v>
      </c>
    </row>
    <row r="47" spans="1:15" ht="227.25" customHeight="1" x14ac:dyDescent="0.2">
      <c r="A47" s="13" t="s">
        <v>227</v>
      </c>
      <c r="B47" s="16" t="s">
        <v>228</v>
      </c>
      <c r="C47" s="14" t="s">
        <v>57</v>
      </c>
      <c r="D47" s="2" t="s">
        <v>233</v>
      </c>
      <c r="E47" s="60" t="s">
        <v>793</v>
      </c>
      <c r="F47" s="15" t="s">
        <v>58</v>
      </c>
      <c r="G47" s="16" t="s">
        <v>122</v>
      </c>
      <c r="H47" s="16" t="s">
        <v>116</v>
      </c>
      <c r="I47" s="18"/>
      <c r="J47" s="13" t="s">
        <v>234</v>
      </c>
      <c r="K47" s="16" t="s">
        <v>122</v>
      </c>
      <c r="L47" s="16" t="s">
        <v>116</v>
      </c>
      <c r="M47" s="27"/>
      <c r="N47" s="19" t="s">
        <v>231</v>
      </c>
      <c r="O47" s="16" t="s">
        <v>119</v>
      </c>
    </row>
    <row r="48" spans="1:15" ht="225.75" customHeight="1" x14ac:dyDescent="0.2">
      <c r="A48" s="13" t="s">
        <v>227</v>
      </c>
      <c r="B48" s="16" t="s">
        <v>228</v>
      </c>
      <c r="C48" s="14" t="s">
        <v>57</v>
      </c>
      <c r="D48" s="2" t="s">
        <v>235</v>
      </c>
      <c r="E48" s="60" t="s">
        <v>794</v>
      </c>
      <c r="F48" s="15" t="s">
        <v>59</v>
      </c>
      <c r="G48" s="2">
        <v>5</v>
      </c>
      <c r="H48" s="16" t="s">
        <v>116</v>
      </c>
      <c r="I48" s="18"/>
      <c r="J48" s="13" t="s">
        <v>234</v>
      </c>
      <c r="K48" s="2">
        <v>5</v>
      </c>
      <c r="L48" s="16" t="s">
        <v>116</v>
      </c>
      <c r="M48" s="18"/>
      <c r="N48" s="19" t="s">
        <v>231</v>
      </c>
      <c r="O48" s="16" t="s">
        <v>119</v>
      </c>
    </row>
    <row r="49" spans="1:15" ht="207.75" customHeight="1" x14ac:dyDescent="0.2">
      <c r="A49" s="13" t="s">
        <v>227</v>
      </c>
      <c r="B49" s="16" t="s">
        <v>228</v>
      </c>
      <c r="C49" s="14" t="s">
        <v>57</v>
      </c>
      <c r="D49" s="2" t="s">
        <v>236</v>
      </c>
      <c r="E49" s="60" t="s">
        <v>795</v>
      </c>
      <c r="F49" s="15" t="s">
        <v>60</v>
      </c>
      <c r="G49" s="2">
        <v>4</v>
      </c>
      <c r="H49" s="16" t="s">
        <v>116</v>
      </c>
      <c r="I49" s="18"/>
      <c r="J49" s="13" t="s">
        <v>237</v>
      </c>
      <c r="K49" s="2">
        <v>4</v>
      </c>
      <c r="L49" s="16" t="s">
        <v>116</v>
      </c>
      <c r="M49" s="18"/>
      <c r="N49" s="19" t="s">
        <v>231</v>
      </c>
      <c r="O49" s="16" t="s">
        <v>119</v>
      </c>
    </row>
    <row r="50" spans="1:15" ht="198.75" customHeight="1" x14ac:dyDescent="0.2">
      <c r="A50" s="13" t="s">
        <v>227</v>
      </c>
      <c r="B50" s="16" t="s">
        <v>228</v>
      </c>
      <c r="C50" s="14" t="s">
        <v>57</v>
      </c>
      <c r="D50" s="2" t="s">
        <v>238</v>
      </c>
      <c r="E50" s="60" t="s">
        <v>796</v>
      </c>
      <c r="F50" s="15" t="s">
        <v>61</v>
      </c>
      <c r="G50" s="16" t="s">
        <v>122</v>
      </c>
      <c r="H50" s="16" t="s">
        <v>116</v>
      </c>
      <c r="I50" s="18"/>
      <c r="J50" s="14" t="s">
        <v>239</v>
      </c>
      <c r="K50" s="16" t="s">
        <v>122</v>
      </c>
      <c r="L50" s="16" t="s">
        <v>116</v>
      </c>
      <c r="M50" s="18"/>
      <c r="N50" s="19" t="s">
        <v>231</v>
      </c>
      <c r="O50" s="16" t="s">
        <v>119</v>
      </c>
    </row>
    <row r="51" spans="1:15" ht="196.5" customHeight="1" x14ac:dyDescent="0.2">
      <c r="A51" s="13" t="s">
        <v>227</v>
      </c>
      <c r="B51" s="16" t="s">
        <v>228</v>
      </c>
      <c r="C51" s="14" t="s">
        <v>57</v>
      </c>
      <c r="D51" s="2" t="s">
        <v>240</v>
      </c>
      <c r="E51" s="60" t="s">
        <v>797</v>
      </c>
      <c r="F51" s="15" t="s">
        <v>62</v>
      </c>
      <c r="G51" s="2">
        <v>5</v>
      </c>
      <c r="H51" s="16" t="s">
        <v>116</v>
      </c>
      <c r="I51" s="18"/>
      <c r="J51" s="14" t="s">
        <v>241</v>
      </c>
      <c r="K51" s="2">
        <v>5</v>
      </c>
      <c r="L51" s="16" t="s">
        <v>116</v>
      </c>
      <c r="M51" s="18"/>
      <c r="N51" s="19" t="s">
        <v>231</v>
      </c>
      <c r="O51" s="16" t="s">
        <v>119</v>
      </c>
    </row>
    <row r="52" spans="1:15" ht="207" customHeight="1" x14ac:dyDescent="0.2">
      <c r="A52" s="13" t="s">
        <v>227</v>
      </c>
      <c r="B52" s="16" t="s">
        <v>228</v>
      </c>
      <c r="C52" s="14" t="s">
        <v>57</v>
      </c>
      <c r="D52" s="2" t="s">
        <v>242</v>
      </c>
      <c r="E52" s="60" t="s">
        <v>798</v>
      </c>
      <c r="F52" s="15" t="s">
        <v>63</v>
      </c>
      <c r="G52" s="16" t="s">
        <v>122</v>
      </c>
      <c r="H52" s="16" t="s">
        <v>116</v>
      </c>
      <c r="I52" s="18"/>
      <c r="J52" s="14" t="s">
        <v>243</v>
      </c>
      <c r="K52" s="16" t="s">
        <v>122</v>
      </c>
      <c r="L52" s="16" t="s">
        <v>116</v>
      </c>
      <c r="M52" s="18"/>
      <c r="N52" s="19" t="s">
        <v>231</v>
      </c>
      <c r="O52" s="16" t="s">
        <v>119</v>
      </c>
    </row>
    <row r="53" spans="1:15" ht="204" customHeight="1" x14ac:dyDescent="0.2">
      <c r="A53" s="13" t="s">
        <v>227</v>
      </c>
      <c r="B53" s="16" t="s">
        <v>228</v>
      </c>
      <c r="C53" s="14" t="s">
        <v>57</v>
      </c>
      <c r="D53" s="2" t="s">
        <v>244</v>
      </c>
      <c r="E53" s="60" t="s">
        <v>799</v>
      </c>
      <c r="F53" s="15" t="s">
        <v>64</v>
      </c>
      <c r="G53" s="16" t="s">
        <v>122</v>
      </c>
      <c r="H53" s="16" t="s">
        <v>116</v>
      </c>
      <c r="I53" s="18"/>
      <c r="J53" s="14" t="s">
        <v>535</v>
      </c>
      <c r="K53" s="16" t="s">
        <v>122</v>
      </c>
      <c r="L53" s="16" t="s">
        <v>116</v>
      </c>
      <c r="M53" s="18"/>
      <c r="N53" s="19" t="s">
        <v>231</v>
      </c>
      <c r="O53" s="16" t="s">
        <v>119</v>
      </c>
    </row>
    <row r="54" spans="1:15" ht="201.75" customHeight="1" x14ac:dyDescent="0.2">
      <c r="A54" s="13" t="s">
        <v>227</v>
      </c>
      <c r="B54" s="16" t="s">
        <v>228</v>
      </c>
      <c r="C54" s="14" t="s">
        <v>57</v>
      </c>
      <c r="D54" s="2" t="s">
        <v>245</v>
      </c>
      <c r="E54" s="60" t="s">
        <v>800</v>
      </c>
      <c r="F54" s="15" t="s">
        <v>65</v>
      </c>
      <c r="G54" s="16" t="s">
        <v>122</v>
      </c>
      <c r="H54" s="16" t="s">
        <v>116</v>
      </c>
      <c r="I54" s="18"/>
      <c r="J54" s="14" t="s">
        <v>234</v>
      </c>
      <c r="K54" s="16" t="s">
        <v>122</v>
      </c>
      <c r="L54" s="16" t="s">
        <v>116</v>
      </c>
      <c r="M54" s="27"/>
      <c r="N54" s="19" t="s">
        <v>231</v>
      </c>
      <c r="O54" s="16" t="s">
        <v>119</v>
      </c>
    </row>
    <row r="55" spans="1:15" ht="207.75" customHeight="1" x14ac:dyDescent="0.2">
      <c r="A55" s="13" t="s">
        <v>112</v>
      </c>
      <c r="B55" s="16" t="s">
        <v>228</v>
      </c>
      <c r="C55" s="14" t="s">
        <v>66</v>
      </c>
      <c r="D55" s="2" t="s">
        <v>67</v>
      </c>
      <c r="E55" s="60" t="s">
        <v>801</v>
      </c>
      <c r="F55" s="15" t="s">
        <v>68</v>
      </c>
      <c r="G55" s="2">
        <v>4</v>
      </c>
      <c r="H55" s="16" t="s">
        <v>116</v>
      </c>
      <c r="I55" s="18"/>
      <c r="J55" s="14" t="s">
        <v>246</v>
      </c>
      <c r="K55" s="2">
        <v>4</v>
      </c>
      <c r="L55" s="16" t="s">
        <v>116</v>
      </c>
      <c r="M55" s="18"/>
      <c r="N55" s="19" t="s">
        <v>231</v>
      </c>
      <c r="O55" s="16" t="s">
        <v>119</v>
      </c>
    </row>
    <row r="56" spans="1:15" ht="228" customHeight="1" x14ac:dyDescent="0.2">
      <c r="A56" s="13" t="s">
        <v>227</v>
      </c>
      <c r="B56" s="16" t="s">
        <v>228</v>
      </c>
      <c r="C56" s="14" t="s">
        <v>69</v>
      </c>
      <c r="D56" s="2" t="s">
        <v>70</v>
      </c>
      <c r="E56" s="60" t="s">
        <v>802</v>
      </c>
      <c r="F56" s="15" t="s">
        <v>71</v>
      </c>
      <c r="G56" s="16" t="s">
        <v>122</v>
      </c>
      <c r="H56" s="16" t="s">
        <v>116</v>
      </c>
      <c r="I56" s="18"/>
      <c r="J56" s="14" t="s">
        <v>247</v>
      </c>
      <c r="K56" s="16" t="s">
        <v>122</v>
      </c>
      <c r="L56" s="16" t="s">
        <v>116</v>
      </c>
      <c r="M56" s="18"/>
      <c r="N56" s="19" t="s">
        <v>231</v>
      </c>
      <c r="O56" s="16" t="s">
        <v>119</v>
      </c>
    </row>
    <row r="57" spans="1:15" ht="225.75" customHeight="1" x14ac:dyDescent="0.2">
      <c r="A57" s="13" t="s">
        <v>227</v>
      </c>
      <c r="B57" s="16" t="s">
        <v>228</v>
      </c>
      <c r="C57" s="14" t="s">
        <v>72</v>
      </c>
      <c r="D57" s="2" t="s">
        <v>73</v>
      </c>
      <c r="E57" s="60" t="s">
        <v>803</v>
      </c>
      <c r="F57" s="15" t="s">
        <v>74</v>
      </c>
      <c r="G57" s="2">
        <v>4</v>
      </c>
      <c r="H57" s="16" t="s">
        <v>116</v>
      </c>
      <c r="I57" s="18"/>
      <c r="J57" s="14" t="s">
        <v>248</v>
      </c>
      <c r="K57" s="2">
        <v>4</v>
      </c>
      <c r="L57" s="16" t="s">
        <v>116</v>
      </c>
      <c r="M57" s="18"/>
      <c r="N57" s="19" t="s">
        <v>231</v>
      </c>
      <c r="O57" s="16" t="s">
        <v>119</v>
      </c>
    </row>
    <row r="58" spans="1:15" ht="326.10000000000002" customHeight="1" x14ac:dyDescent="0.2">
      <c r="A58" s="13" t="s">
        <v>112</v>
      </c>
      <c r="B58" s="16" t="s">
        <v>228</v>
      </c>
      <c r="C58" s="14" t="s">
        <v>76</v>
      </c>
      <c r="D58" s="2" t="s">
        <v>249</v>
      </c>
      <c r="E58" s="60" t="s">
        <v>804</v>
      </c>
      <c r="F58" s="15" t="s">
        <v>77</v>
      </c>
      <c r="G58" s="16">
        <v>5</v>
      </c>
      <c r="H58" s="16" t="s">
        <v>116</v>
      </c>
      <c r="I58" s="18"/>
      <c r="J58" s="14" t="s">
        <v>250</v>
      </c>
      <c r="K58" s="16">
        <v>5</v>
      </c>
      <c r="L58" s="16" t="s">
        <v>116</v>
      </c>
      <c r="M58" s="18"/>
      <c r="N58" s="19" t="s">
        <v>251</v>
      </c>
      <c r="O58" s="16" t="s">
        <v>119</v>
      </c>
    </row>
    <row r="59" spans="1:15" ht="309.95" customHeight="1" x14ac:dyDescent="0.2">
      <c r="A59" s="13" t="s">
        <v>112</v>
      </c>
      <c r="B59" s="16" t="s">
        <v>228</v>
      </c>
      <c r="C59" s="14" t="s">
        <v>76</v>
      </c>
      <c r="D59" s="2" t="s">
        <v>252</v>
      </c>
      <c r="E59" s="60" t="s">
        <v>805</v>
      </c>
      <c r="F59" s="15" t="s">
        <v>78</v>
      </c>
      <c r="G59" s="16">
        <v>4</v>
      </c>
      <c r="H59" s="16" t="s">
        <v>116</v>
      </c>
      <c r="I59" s="18"/>
      <c r="J59" s="14" t="s">
        <v>250</v>
      </c>
      <c r="K59" s="16">
        <v>4</v>
      </c>
      <c r="L59" s="16" t="s">
        <v>116</v>
      </c>
      <c r="M59" s="18"/>
      <c r="N59" s="19" t="s">
        <v>251</v>
      </c>
      <c r="O59" s="16" t="s">
        <v>119</v>
      </c>
    </row>
    <row r="60" spans="1:15" ht="309.75" customHeight="1" x14ac:dyDescent="0.2">
      <c r="A60" s="13" t="s">
        <v>112</v>
      </c>
      <c r="B60" s="16" t="s">
        <v>228</v>
      </c>
      <c r="C60" s="14" t="s">
        <v>76</v>
      </c>
      <c r="D60" s="2" t="s">
        <v>253</v>
      </c>
      <c r="E60" s="60" t="s">
        <v>806</v>
      </c>
      <c r="F60" s="15" t="s">
        <v>79</v>
      </c>
      <c r="G60" s="16" t="s">
        <v>122</v>
      </c>
      <c r="H60" s="16" t="s">
        <v>116</v>
      </c>
      <c r="I60" s="18"/>
      <c r="J60" s="14" t="s">
        <v>250</v>
      </c>
      <c r="K60" s="16" t="s">
        <v>122</v>
      </c>
      <c r="L60" s="16" t="s">
        <v>116</v>
      </c>
      <c r="M60" s="27"/>
      <c r="N60" s="19" t="s">
        <v>251</v>
      </c>
      <c r="O60" s="16" t="s">
        <v>119</v>
      </c>
    </row>
    <row r="61" spans="1:15" ht="188.1" customHeight="1" x14ac:dyDescent="0.2">
      <c r="A61" s="13" t="s">
        <v>153</v>
      </c>
      <c r="B61" s="14" t="s">
        <v>228</v>
      </c>
      <c r="C61" s="14" t="s">
        <v>80</v>
      </c>
      <c r="D61" s="2" t="s">
        <v>254</v>
      </c>
      <c r="E61" s="60" t="s">
        <v>807</v>
      </c>
      <c r="F61" s="34" t="s">
        <v>81</v>
      </c>
      <c r="G61" s="16" t="s">
        <v>122</v>
      </c>
      <c r="H61" s="16" t="s">
        <v>116</v>
      </c>
      <c r="I61" s="18"/>
      <c r="J61" s="14" t="s">
        <v>185</v>
      </c>
      <c r="K61" s="16" t="s">
        <v>122</v>
      </c>
      <c r="L61" s="16" t="s">
        <v>116</v>
      </c>
      <c r="M61" s="27"/>
      <c r="N61" s="19" t="s">
        <v>255</v>
      </c>
      <c r="O61" s="20" t="s">
        <v>119</v>
      </c>
    </row>
    <row r="62" spans="1:15" ht="203.25" customHeight="1" x14ac:dyDescent="0.2">
      <c r="A62" s="22" t="s">
        <v>227</v>
      </c>
      <c r="B62" s="2" t="s">
        <v>100</v>
      </c>
      <c r="C62" s="15" t="s">
        <v>75</v>
      </c>
      <c r="D62" s="2" t="s">
        <v>256</v>
      </c>
      <c r="E62" s="60" t="s">
        <v>808</v>
      </c>
      <c r="F62" s="15" t="s">
        <v>82</v>
      </c>
      <c r="G62" s="16">
        <v>4</v>
      </c>
      <c r="H62" s="16" t="s">
        <v>116</v>
      </c>
      <c r="I62" s="27"/>
      <c r="J62" s="14" t="s">
        <v>535</v>
      </c>
      <c r="K62" s="16">
        <v>4</v>
      </c>
      <c r="L62" s="16" t="s">
        <v>116</v>
      </c>
      <c r="M62" s="35"/>
      <c r="N62" s="19" t="s">
        <v>257</v>
      </c>
      <c r="O62" s="16" t="s">
        <v>119</v>
      </c>
    </row>
    <row r="63" spans="1:15" ht="204" customHeight="1" x14ac:dyDescent="0.2">
      <c r="A63" s="22" t="s">
        <v>227</v>
      </c>
      <c r="B63" s="3" t="s">
        <v>100</v>
      </c>
      <c r="C63" s="36" t="s">
        <v>75</v>
      </c>
      <c r="D63" s="37" t="s">
        <v>258</v>
      </c>
      <c r="E63" s="60" t="s">
        <v>809</v>
      </c>
      <c r="F63" s="15" t="s">
        <v>83</v>
      </c>
      <c r="G63" s="16">
        <v>5</v>
      </c>
      <c r="H63" s="16" t="s">
        <v>116</v>
      </c>
      <c r="I63" s="27"/>
      <c r="J63" s="14" t="s">
        <v>535</v>
      </c>
      <c r="K63" s="16">
        <v>5</v>
      </c>
      <c r="L63" s="16" t="s">
        <v>116</v>
      </c>
      <c r="M63" s="35"/>
      <c r="N63" s="19" t="s">
        <v>257</v>
      </c>
      <c r="O63" s="16" t="s">
        <v>119</v>
      </c>
    </row>
    <row r="64" spans="1:15" ht="215.25" customHeight="1" x14ac:dyDescent="0.2">
      <c r="A64" s="22" t="s">
        <v>227</v>
      </c>
      <c r="B64" s="3" t="s">
        <v>228</v>
      </c>
      <c r="C64" s="36" t="s">
        <v>75</v>
      </c>
      <c r="D64" s="37" t="s">
        <v>259</v>
      </c>
      <c r="E64" s="60" t="s">
        <v>810</v>
      </c>
      <c r="F64" s="15" t="s">
        <v>84</v>
      </c>
      <c r="G64" s="16">
        <v>4</v>
      </c>
      <c r="H64" s="16" t="s">
        <v>116</v>
      </c>
      <c r="I64" s="28"/>
      <c r="J64" s="14" t="s">
        <v>260</v>
      </c>
      <c r="K64" s="16">
        <v>4</v>
      </c>
      <c r="L64" s="16" t="s">
        <v>116</v>
      </c>
      <c r="M64" s="28"/>
      <c r="N64" s="19" t="s">
        <v>257</v>
      </c>
      <c r="O64" s="16" t="s">
        <v>119</v>
      </c>
    </row>
    <row r="65" spans="1:15" ht="207.75" customHeight="1" x14ac:dyDescent="0.2">
      <c r="A65" s="22" t="s">
        <v>227</v>
      </c>
      <c r="B65" s="3" t="s">
        <v>228</v>
      </c>
      <c r="C65" s="36" t="s">
        <v>75</v>
      </c>
      <c r="D65" s="37" t="s">
        <v>261</v>
      </c>
      <c r="E65" s="60" t="s">
        <v>811</v>
      </c>
      <c r="F65" s="15" t="s">
        <v>85</v>
      </c>
      <c r="G65" s="16">
        <v>5</v>
      </c>
      <c r="H65" s="16" t="s">
        <v>116</v>
      </c>
      <c r="I65" s="28"/>
      <c r="J65" s="14" t="s">
        <v>260</v>
      </c>
      <c r="K65" s="16">
        <v>5</v>
      </c>
      <c r="L65" s="16" t="s">
        <v>116</v>
      </c>
      <c r="M65" s="28"/>
      <c r="N65" s="19" t="s">
        <v>257</v>
      </c>
      <c r="O65" s="16" t="s">
        <v>119</v>
      </c>
    </row>
    <row r="66" spans="1:15" ht="207" customHeight="1" x14ac:dyDescent="0.2">
      <c r="A66" s="22" t="s">
        <v>227</v>
      </c>
      <c r="B66" s="3" t="s">
        <v>228</v>
      </c>
      <c r="C66" s="36" t="s">
        <v>75</v>
      </c>
      <c r="D66" s="37" t="s">
        <v>262</v>
      </c>
      <c r="E66" s="60" t="s">
        <v>812</v>
      </c>
      <c r="F66" s="15" t="s">
        <v>86</v>
      </c>
      <c r="G66" s="16" t="s">
        <v>87</v>
      </c>
      <c r="H66" s="16" t="s">
        <v>116</v>
      </c>
      <c r="I66" s="28"/>
      <c r="J66" s="14" t="s">
        <v>260</v>
      </c>
      <c r="K66" s="16" t="s">
        <v>87</v>
      </c>
      <c r="L66" s="16" t="s">
        <v>116</v>
      </c>
      <c r="M66" s="28"/>
      <c r="N66" s="19" t="s">
        <v>257</v>
      </c>
      <c r="O66" s="16" t="s">
        <v>119</v>
      </c>
    </row>
    <row r="67" spans="1:15" ht="221.25" customHeight="1" x14ac:dyDescent="0.2">
      <c r="A67" s="22" t="s">
        <v>227</v>
      </c>
      <c r="B67" s="3" t="s">
        <v>228</v>
      </c>
      <c r="C67" s="36" t="s">
        <v>75</v>
      </c>
      <c r="D67" s="37" t="s">
        <v>263</v>
      </c>
      <c r="E67" s="60" t="s">
        <v>813</v>
      </c>
      <c r="F67" s="15" t="s">
        <v>88</v>
      </c>
      <c r="G67" s="16" t="s">
        <v>87</v>
      </c>
      <c r="H67" s="16" t="s">
        <v>116</v>
      </c>
      <c r="I67" s="28"/>
      <c r="J67" s="14" t="s">
        <v>535</v>
      </c>
      <c r="K67" s="16" t="s">
        <v>87</v>
      </c>
      <c r="L67" s="16" t="s">
        <v>116</v>
      </c>
      <c r="M67" s="28"/>
      <c r="N67" s="19" t="s">
        <v>257</v>
      </c>
      <c r="O67" s="16" t="s">
        <v>119</v>
      </c>
    </row>
    <row r="68" spans="1:15" ht="237" customHeight="1" x14ac:dyDescent="0.2">
      <c r="A68" s="13" t="s">
        <v>227</v>
      </c>
      <c r="B68" s="16" t="s">
        <v>228</v>
      </c>
      <c r="C68" s="14" t="s">
        <v>75</v>
      </c>
      <c r="D68" s="38" t="s">
        <v>264</v>
      </c>
      <c r="E68" s="60" t="s">
        <v>814</v>
      </c>
      <c r="F68" s="34" t="s">
        <v>89</v>
      </c>
      <c r="G68" s="16">
        <v>4</v>
      </c>
      <c r="H68" s="16" t="s">
        <v>116</v>
      </c>
      <c r="I68" s="39"/>
      <c r="J68" s="14" t="s">
        <v>535</v>
      </c>
      <c r="K68" s="16">
        <v>4</v>
      </c>
      <c r="L68" s="16" t="s">
        <v>116</v>
      </c>
      <c r="M68" s="39"/>
      <c r="N68" s="19" t="s">
        <v>257</v>
      </c>
      <c r="O68" s="16" t="s">
        <v>119</v>
      </c>
    </row>
    <row r="69" spans="1:15" ht="143.25" customHeight="1" x14ac:dyDescent="0.2">
      <c r="A69" s="23" t="s">
        <v>198</v>
      </c>
      <c r="B69" s="26" t="s">
        <v>90</v>
      </c>
      <c r="C69" s="24" t="s">
        <v>101</v>
      </c>
      <c r="D69" s="3" t="s">
        <v>265</v>
      </c>
      <c r="E69" s="60" t="s">
        <v>815</v>
      </c>
      <c r="F69" s="25" t="s">
        <v>92</v>
      </c>
      <c r="G69" s="26" t="s">
        <v>266</v>
      </c>
      <c r="H69" s="26" t="s">
        <v>116</v>
      </c>
      <c r="I69" s="40"/>
      <c r="J69" s="25" t="s">
        <v>267</v>
      </c>
      <c r="K69" s="26" t="s">
        <v>266</v>
      </c>
      <c r="L69" s="26" t="s">
        <v>116</v>
      </c>
      <c r="M69" s="40"/>
      <c r="N69" s="22" t="s">
        <v>268</v>
      </c>
      <c r="O69" s="20" t="s">
        <v>119</v>
      </c>
    </row>
  </sheetData>
  <autoFilter ref="A1:O69" xr:uid="{B2E47A74-B886-40FF-9F6E-85351F374612}"/>
  <conditionalFormatting sqref="M54 M47 M30:M39 M41:M43 M60:M61 M10:M26">
    <cfRule type="expression" dxfId="131" priority="127">
      <formula>OR($K10="",$L10="")</formula>
    </cfRule>
    <cfRule type="expression" dxfId="130" priority="128">
      <formula>AND($K10=5,$L10="L")</formula>
    </cfRule>
    <cfRule type="expression" dxfId="129" priority="129">
      <formula>AND($K10=4,$L10="H")</formula>
    </cfRule>
    <cfRule type="expression" dxfId="128" priority="130">
      <formula>AND(OR($K10="≤ 3",$K10=2,$K10=1),OR($L10="L",$L10="M",$L10="H"))</formula>
    </cfRule>
    <cfRule type="expression" dxfId="127" priority="131">
      <formula>AND($K10=4, OR($L10="L",$L10="M"))</formula>
    </cfRule>
    <cfRule type="expression" dxfId="126" priority="132">
      <formula>AND($K10=5,OR($L10="M",$L10="H"))</formula>
    </cfRule>
  </conditionalFormatting>
  <conditionalFormatting sqref="M9">
    <cfRule type="expression" dxfId="125" priority="121">
      <formula>OR($K9="",$L9="")</formula>
    </cfRule>
    <cfRule type="expression" dxfId="124" priority="122">
      <formula>AND($K9=5,$L9="L")</formula>
    </cfRule>
    <cfRule type="expression" dxfId="123" priority="123">
      <formula>AND($K9=4,$L9="H")</formula>
    </cfRule>
    <cfRule type="expression" dxfId="122" priority="124">
      <formula>AND(OR($K9="≤ 3",$K9=2,$K9=1),OR($L9="L",$L9="M",$L9="H"))</formula>
    </cfRule>
    <cfRule type="expression" dxfId="121" priority="125">
      <formula>AND($K9=4, OR($L9="L",$L9="M"))</formula>
    </cfRule>
    <cfRule type="expression" dxfId="120" priority="126">
      <formula>AND($K9=5,OR($L9="M",$L9="H"))</formula>
    </cfRule>
  </conditionalFormatting>
  <conditionalFormatting sqref="I30:I39 I41:I43 I47:I61 I2:I26">
    <cfRule type="expression" dxfId="119" priority="115">
      <formula>OR($G2="",$H2="")</formula>
    </cfRule>
    <cfRule type="expression" dxfId="118" priority="116">
      <formula>AND($G2=5,$H2="L")</formula>
    </cfRule>
    <cfRule type="expression" dxfId="117" priority="117">
      <formula>AND($G2=4,$H2="H")</formula>
    </cfRule>
    <cfRule type="expression" dxfId="116" priority="118">
      <formula>AND(OR($G2="≤ 3",$G2=2,$G2=1),OR($H2="L",$H2="M",$H2="H"))</formula>
    </cfRule>
    <cfRule type="expression" dxfId="115" priority="119">
      <formula>AND($G2=4, OR($H2="L",$H2="M"))</formula>
    </cfRule>
    <cfRule type="expression" dxfId="114" priority="120">
      <formula>AND($G2=5,OR($H2="M",$H2="H"))</formula>
    </cfRule>
  </conditionalFormatting>
  <conditionalFormatting sqref="M2:M7">
    <cfRule type="expression" dxfId="113" priority="85">
      <formula>OR($G2="",$H2="")</formula>
    </cfRule>
    <cfRule type="expression" dxfId="112" priority="86">
      <formula>AND($G2=5,$H2="L")</formula>
    </cfRule>
    <cfRule type="expression" dxfId="111" priority="87">
      <formula>AND($G2=4,$H2="H")</formula>
    </cfRule>
    <cfRule type="expression" dxfId="110" priority="88">
      <formula>AND(OR($G2="≤ 3",$G2=2,$G2=1),OR($H2="L",$H2="M",$H2="H"))</formula>
    </cfRule>
    <cfRule type="expression" dxfId="109" priority="89">
      <formula>AND($G2=4, OR($H2="L",$H2="M"))</formula>
    </cfRule>
    <cfRule type="expression" dxfId="108" priority="90">
      <formula>AND($G2=5,OR($H2="M",$H2="H"))</formula>
    </cfRule>
  </conditionalFormatting>
  <conditionalFormatting sqref="M58:M59">
    <cfRule type="expression" dxfId="107" priority="109">
      <formula>OR($G58="",$H58="")</formula>
    </cfRule>
    <cfRule type="expression" dxfId="106" priority="110">
      <formula>AND($G58=5,$H58="L")</formula>
    </cfRule>
    <cfRule type="expression" dxfId="105" priority="111">
      <formula>AND($G58=4,$H58="H")</formula>
    </cfRule>
    <cfRule type="expression" dxfId="104" priority="112">
      <formula>AND(OR($G58="≤ 3",$G58=2,$G58=1),OR($H58="L",$H58="M",$H58="H"))</formula>
    </cfRule>
    <cfRule type="expression" dxfId="103" priority="113">
      <formula>AND($G58=4, OR($H58="L",$H58="M"))</formula>
    </cfRule>
    <cfRule type="expression" dxfId="102" priority="114">
      <formula>AND($G58=5,OR($H58="M",$H58="H"))</formula>
    </cfRule>
  </conditionalFormatting>
  <conditionalFormatting sqref="M55:M57">
    <cfRule type="expression" dxfId="101" priority="103">
      <formula>OR($G55="",$H55="")</formula>
    </cfRule>
    <cfRule type="expression" dxfId="100" priority="104">
      <formula>AND($G55=5,$H55="L")</formula>
    </cfRule>
    <cfRule type="expression" dxfId="99" priority="105">
      <formula>AND($G55=4,$H55="H")</formula>
    </cfRule>
    <cfRule type="expression" dxfId="98" priority="106">
      <formula>AND(OR($G55="≤ 3",$G55=2,$G55=1),OR($H55="L",$H55="M",$H55="H"))</formula>
    </cfRule>
    <cfRule type="expression" dxfId="97" priority="107">
      <formula>AND($G55=4, OR($H55="L",$H55="M"))</formula>
    </cfRule>
    <cfRule type="expression" dxfId="96" priority="108">
      <formula>AND($G55=5,OR($H55="M",$H55="H"))</formula>
    </cfRule>
  </conditionalFormatting>
  <conditionalFormatting sqref="M48:M50">
    <cfRule type="expression" dxfId="95" priority="97">
      <formula>OR($G48="",$H48="")</formula>
    </cfRule>
    <cfRule type="expression" dxfId="94" priority="98">
      <formula>AND($G48=5,$H48="L")</formula>
    </cfRule>
    <cfRule type="expression" dxfId="93" priority="99">
      <formula>AND($G48=4,$H48="H")</formula>
    </cfRule>
    <cfRule type="expression" dxfId="92" priority="100">
      <formula>AND(OR($G48="≤ 3",$G48=2,$G48=1),OR($H48="L",$H48="M",$H48="H"))</formula>
    </cfRule>
    <cfRule type="expression" dxfId="91" priority="101">
      <formula>AND($G48=4, OR($H48="L",$H48="M"))</formula>
    </cfRule>
    <cfRule type="expression" dxfId="90" priority="102">
      <formula>AND($G48=5,OR($H48="M",$H48="H"))</formula>
    </cfRule>
  </conditionalFormatting>
  <conditionalFormatting sqref="M51:M53">
    <cfRule type="expression" dxfId="89" priority="91">
      <formula>OR($G51="",$H51="")</formula>
    </cfRule>
    <cfRule type="expression" dxfId="88" priority="92">
      <formula>AND($G51=5,$H51="L")</formula>
    </cfRule>
    <cfRule type="expression" dxfId="87" priority="93">
      <formula>AND($G51=4,$H51="H")</formula>
    </cfRule>
    <cfRule type="expression" dxfId="86" priority="94">
      <formula>AND(OR($G51="≤ 3",$G51=2,$G51=1),OR($H51="L",$H51="M",$H51="H"))</formula>
    </cfRule>
    <cfRule type="expression" dxfId="85" priority="95">
      <formula>AND($G51=4, OR($H51="L",$H51="M"))</formula>
    </cfRule>
    <cfRule type="expression" dxfId="84" priority="96">
      <formula>AND($G51=5,OR($H51="M",$H51="H"))</formula>
    </cfRule>
  </conditionalFormatting>
  <conditionalFormatting sqref="I27">
    <cfRule type="expression" dxfId="83" priority="73">
      <formula>OR($G27="",$H27="")</formula>
    </cfRule>
    <cfRule type="expression" dxfId="82" priority="74">
      <formula>AND($G27=5,$H27="L")</formula>
    </cfRule>
    <cfRule type="expression" dxfId="81" priority="75">
      <formula>AND($G27=4,$H27="H")</formula>
    </cfRule>
    <cfRule type="expression" dxfId="80" priority="76">
      <formula>AND(OR($G27="≤ 3",$G27=2,$G27=1),OR($H27="L",$H27="M",$H27="H"))</formula>
    </cfRule>
    <cfRule type="expression" dxfId="79" priority="77">
      <formula>AND($G27=4, OR($H27="L",$H27="M"))</formula>
    </cfRule>
    <cfRule type="expression" dxfId="78" priority="78">
      <formula>AND($G27=5,OR($H27="M",$H27="H"))</formula>
    </cfRule>
  </conditionalFormatting>
  <conditionalFormatting sqref="M27 M44:M46 I44:I46 I69 M69">
    <cfRule type="expression" dxfId="77" priority="79">
      <formula>OR($K27="",$L27="")</formula>
    </cfRule>
    <cfRule type="expression" dxfId="76" priority="80">
      <formula>AND($K27=5,$L27="L")</formula>
    </cfRule>
    <cfRule type="expression" dxfId="75" priority="81">
      <formula>AND($K27=4,$L27="H")</formula>
    </cfRule>
    <cfRule type="expression" dxfId="74" priority="82">
      <formula>AND(OR($K27="≤ 3",$K27=2,$K27=1),OR($L27="L",$L27="M",$L27="H"))</formula>
    </cfRule>
    <cfRule type="expression" dxfId="73" priority="83">
      <formula>AND($K27=4, OR($L27="L",$L27="M"))</formula>
    </cfRule>
    <cfRule type="expression" dxfId="72" priority="84">
      <formula>AND($K27=5,OR($L27="M",$L27="H"))</formula>
    </cfRule>
  </conditionalFormatting>
  <conditionalFormatting sqref="M8">
    <cfRule type="expression" dxfId="71" priority="67">
      <formula>OR($G8="",$H8="")</formula>
    </cfRule>
    <cfRule type="expression" dxfId="70" priority="68">
      <formula>AND($G8=5,$H8="L")</formula>
    </cfRule>
    <cfRule type="expression" dxfId="69" priority="69">
      <formula>AND($G8=4,$H8="H")</formula>
    </cfRule>
    <cfRule type="expression" dxfId="68" priority="70">
      <formula>AND(OR($G8="≤ 3",$G8=2,$G8=1),OR($H8="L",$H8="M",$H8="H"))</formula>
    </cfRule>
    <cfRule type="expression" dxfId="67" priority="71">
      <formula>AND($G8=4, OR($H8="L",$H8="M"))</formula>
    </cfRule>
    <cfRule type="expression" dxfId="66" priority="72">
      <formula>AND($G8=5,OR($H8="M",$H8="H"))</formula>
    </cfRule>
  </conditionalFormatting>
  <conditionalFormatting sqref="I40">
    <cfRule type="expression" dxfId="65" priority="61">
      <formula>OR($G40="",$H40="")</formula>
    </cfRule>
    <cfRule type="expression" dxfId="64" priority="62">
      <formula>AND($G40=5,$H40="L")</formula>
    </cfRule>
    <cfRule type="expression" dxfId="63" priority="63">
      <formula>AND($G40=4,$H40="H")</formula>
    </cfRule>
    <cfRule type="expression" dxfId="62" priority="64">
      <formula>AND(OR($G40="≤ 3",$G40=2,$G40=1),OR($H40="L",$H40="M",$H40="H"))</formula>
    </cfRule>
    <cfRule type="expression" dxfId="61" priority="65">
      <formula>AND($G40=4, OR($H40="L",$H40="M"))</formula>
    </cfRule>
    <cfRule type="expression" dxfId="60" priority="66">
      <formula>AND($G40=5,OR($H40="M",$H40="H"))</formula>
    </cfRule>
  </conditionalFormatting>
  <conditionalFormatting sqref="M40">
    <cfRule type="expression" dxfId="59" priority="55">
      <formula>OR($G40="",$H40="")</formula>
    </cfRule>
    <cfRule type="expression" dxfId="58" priority="56">
      <formula>AND($G40=5,$H40="L")</formula>
    </cfRule>
    <cfRule type="expression" dxfId="57" priority="57">
      <formula>AND($G40=4,$H40="H")</formula>
    </cfRule>
    <cfRule type="expression" dxfId="56" priority="58">
      <formula>AND(OR($G40="≤ 3",$G40=2,$G40=1),OR($H40="L",$H40="M",$H40="H"))</formula>
    </cfRule>
    <cfRule type="expression" dxfId="55" priority="59">
      <formula>AND($G40=4, OR($H40="L",$H40="M"))</formula>
    </cfRule>
    <cfRule type="expression" dxfId="54" priority="60">
      <formula>AND($G40=5,OR($H40="M",$H40="H"))</formula>
    </cfRule>
  </conditionalFormatting>
  <conditionalFormatting sqref="I64:I67">
    <cfRule type="expression" dxfId="53" priority="49">
      <formula>OR($G64="",$H64="")</formula>
    </cfRule>
    <cfRule type="expression" dxfId="52" priority="50">
      <formula>AND($G64=5,$H64="L")</formula>
    </cfRule>
    <cfRule type="expression" dxfId="51" priority="51">
      <formula>AND($G64=4,$H64="H")</formula>
    </cfRule>
    <cfRule type="expression" dxfId="50" priority="52">
      <formula>AND(OR($G64="≤ 3",$G64=2,$G64=1),OR($H64="L",$H64="M",$H64="H"))</formula>
    </cfRule>
    <cfRule type="expression" dxfId="49" priority="53">
      <formula>AND($G64=4, OR($H64="L",$H64="M"))</formula>
    </cfRule>
    <cfRule type="expression" dxfId="48" priority="54">
      <formula>AND($G64=5,OR($H64="M",$H64="H"))</formula>
    </cfRule>
  </conditionalFormatting>
  <conditionalFormatting sqref="M64:M67">
    <cfRule type="expression" dxfId="47" priority="43">
      <formula>OR($K64="",$L64="")</formula>
    </cfRule>
    <cfRule type="expression" dxfId="46" priority="44">
      <formula>AND($K64=5,$L64="L")</formula>
    </cfRule>
    <cfRule type="expression" dxfId="45" priority="45">
      <formula>AND($K64=4,$L64="H")</formula>
    </cfRule>
    <cfRule type="expression" dxfId="44" priority="46">
      <formula>AND(OR($K64="≤ 3",$K64=2,$K64=1),OR($L64="L",$L64="M",$L64="H"))</formula>
    </cfRule>
    <cfRule type="expression" dxfId="43" priority="47">
      <formula>AND($K64=4, OR($L64="L",$L64="M"))</formula>
    </cfRule>
    <cfRule type="expression" dxfId="42" priority="48">
      <formula>AND($K64=5,OR($L64="M",$L64="H"))</formula>
    </cfRule>
  </conditionalFormatting>
  <conditionalFormatting sqref="I63">
    <cfRule type="expression" dxfId="41" priority="31">
      <formula>OR($G63="",$H63="")</formula>
    </cfRule>
    <cfRule type="expression" dxfId="40" priority="32">
      <formula>AND($G63=5,$H63="L")</formula>
    </cfRule>
    <cfRule type="expression" dxfId="39" priority="33">
      <formula>AND($G63=4,$H63="H")</formula>
    </cfRule>
    <cfRule type="expression" dxfId="38" priority="34">
      <formula>AND(OR($G63="≤ 3",$G63=2,$G63=1),OR($H63="L",$H63="M",$H63="H"))</formula>
    </cfRule>
    <cfRule type="expression" dxfId="37" priority="35">
      <formula>AND($G63=4, OR($H63="L",$H63="M"))</formula>
    </cfRule>
    <cfRule type="expression" dxfId="36" priority="36">
      <formula>AND($G63=5,OR($H63="M",$H63="H"))</formula>
    </cfRule>
  </conditionalFormatting>
  <conditionalFormatting sqref="I62">
    <cfRule type="expression" dxfId="35" priority="37">
      <formula>OR($G62="",$H62="")</formula>
    </cfRule>
    <cfRule type="expression" dxfId="34" priority="38">
      <formula>AND($G62=5,$H62="L")</formula>
    </cfRule>
    <cfRule type="expression" dxfId="33" priority="39">
      <formula>AND($G62=4,$H62="H")</formula>
    </cfRule>
    <cfRule type="expression" dxfId="32" priority="40">
      <formula>AND(OR($G62="≤ 3",$G62=2,$G62=1),OR($H62="L",$H62="M",$H62="H"))</formula>
    </cfRule>
    <cfRule type="expression" dxfId="31" priority="41">
      <formula>AND($G62=4, OR($H62="L",$H62="M"))</formula>
    </cfRule>
    <cfRule type="expression" dxfId="30" priority="42">
      <formula>AND($G62=5,OR($H62="M",$H62="H"))</formula>
    </cfRule>
  </conditionalFormatting>
  <conditionalFormatting sqref="M28">
    <cfRule type="expression" dxfId="29" priority="25">
      <formula>OR($K28="",$L28="")</formula>
    </cfRule>
    <cfRule type="expression" dxfId="28" priority="26">
      <formula>AND($K28=5,$L28="L")</formula>
    </cfRule>
    <cfRule type="expression" dxfId="27" priority="27">
      <formula>AND($K28=4,$L28="H")</formula>
    </cfRule>
    <cfRule type="expression" dxfId="26" priority="28">
      <formula>AND(OR($K28="≤ 3",$K28=2,$K28=1),OR($L28="L",$L28="M",$L28="H"))</formula>
    </cfRule>
    <cfRule type="expression" dxfId="25" priority="29">
      <formula>AND($K28=4, OR($L28="L",$L28="M"))</formula>
    </cfRule>
    <cfRule type="expression" dxfId="24" priority="30">
      <formula>AND($K28=5,OR($L28="M",$L28="H"))</formula>
    </cfRule>
  </conditionalFormatting>
  <conditionalFormatting sqref="M29">
    <cfRule type="expression" dxfId="23" priority="19">
      <formula>OR($K29="",$L29="")</formula>
    </cfRule>
    <cfRule type="expression" dxfId="22" priority="20">
      <formula>AND($K29=5,$L29="L")</formula>
    </cfRule>
    <cfRule type="expression" dxfId="21" priority="21">
      <formula>AND($K29=4,$L29="H")</formula>
    </cfRule>
    <cfRule type="expression" dxfId="20" priority="22">
      <formula>AND(OR($K29="≤ 3",$K29=2,$K29=1),OR($L29="L",$L29="M",$L29="H"))</formula>
    </cfRule>
    <cfRule type="expression" dxfId="19" priority="23">
      <formula>AND($K29=4, OR($L29="L",$L29="M"))</formula>
    </cfRule>
    <cfRule type="expression" dxfId="18" priority="24">
      <formula>AND($K29=5,OR($L29="M",$L29="H"))</formula>
    </cfRule>
  </conditionalFormatting>
  <conditionalFormatting sqref="I28:I29">
    <cfRule type="expression" dxfId="17" priority="13">
      <formula>OR($G28="",$H28="")</formula>
    </cfRule>
    <cfRule type="expression" dxfId="16" priority="14">
      <formula>AND($G28=5,$H28="L")</formula>
    </cfRule>
    <cfRule type="expression" dxfId="15" priority="15">
      <formula>AND($G28=4,$H28="H")</formula>
    </cfRule>
    <cfRule type="expression" dxfId="14" priority="16">
      <formula>AND(OR($G28="≤ 3",$G28=2,$G28=1),OR($H28="L",$H28="M",$H28="H"))</formula>
    </cfRule>
    <cfRule type="expression" dxfId="13" priority="17">
      <formula>AND($G28=4, OR($H28="L",$H28="M"))</formula>
    </cfRule>
    <cfRule type="expression" dxfId="12" priority="18">
      <formula>AND($G28=5,OR($H28="M",$H28="H"))</formula>
    </cfRule>
  </conditionalFormatting>
  <conditionalFormatting sqref="M68">
    <cfRule type="expression" dxfId="11" priority="1">
      <formula>OR($K68="",$L68="")</formula>
    </cfRule>
    <cfRule type="expression" dxfId="10" priority="2">
      <formula>AND($K68=5,$L68="L")</formula>
    </cfRule>
    <cfRule type="expression" dxfId="9" priority="3">
      <formula>AND($K68=4,$L68="H")</formula>
    </cfRule>
    <cfRule type="expression" dxfId="8" priority="4">
      <formula>AND(OR($K68="≤ 3",$K68=2,$K68=1),OR($L68="L",$L68="M",$L68="H"))</formula>
    </cfRule>
    <cfRule type="expression" dxfId="7" priority="5">
      <formula>AND($K68=4, OR($L68="L",$L68="M"))</formula>
    </cfRule>
    <cfRule type="expression" dxfId="6" priority="6">
      <formula>AND($K68=5,OR($L68="M",$L68="H"))</formula>
    </cfRule>
  </conditionalFormatting>
  <conditionalFormatting sqref="I68">
    <cfRule type="expression" dxfId="5" priority="7">
      <formula>OR($G68="",$H68="")</formula>
    </cfRule>
    <cfRule type="expression" dxfId="4" priority="8">
      <formula>AND($G68=5,$H68="L")</formula>
    </cfRule>
    <cfRule type="expression" dxfId="3" priority="9">
      <formula>AND($G68=4,$H68="H")</formula>
    </cfRule>
    <cfRule type="expression" dxfId="2" priority="10">
      <formula>AND(OR($G68="≤ 3",$G68=2,$G68=1),OR($H68="L",$H68="M",$H68="H"))</formula>
    </cfRule>
    <cfRule type="expression" dxfId="1" priority="11">
      <formula>AND($G68=4, OR($H68="L",$H68="M"))</formula>
    </cfRule>
    <cfRule type="expression" dxfId="0" priority="12">
      <formula>AND($G68=5,OR($H68="M",$H68="H"))</formula>
    </cfRule>
  </conditionalFormatting>
  <printOptions horizontalCentered="1" gridLines="1"/>
  <pageMargins left="0.2" right="0.2" top="0.5" bottom="0.75" header="0.3" footer="0.3"/>
  <pageSetup paperSize="3" scale="62" fitToHeight="0" orientation="landscape" r:id="rId1"/>
  <headerFooter>
    <oddHeader>&amp;C&amp;"Times New Roman,Bold"PHS4-0056 Product Health and Safety Design Risk Assessment</oddHeader>
    <oddFooter>&amp;C&amp;"Times New Roman,Bold"&amp;9VCT-0301 (7)
Page &amp;P of &amp;N&amp;R&amp;"Times New Roman,Bold"&amp;9JJVC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0A354-37B1-4E46-99AB-CDA87D8951B9}">
  <sheetPr codeName="Sheet5"/>
  <dimension ref="A1:M207"/>
  <sheetViews>
    <sheetView topLeftCell="B1" workbookViewId="0">
      <selection activeCell="E2" sqref="E2"/>
    </sheetView>
  </sheetViews>
  <sheetFormatPr defaultRowHeight="15" x14ac:dyDescent="0.25"/>
  <cols>
    <col min="1" max="1" width="25.7109375" customWidth="1"/>
    <col min="2" max="2" width="13.42578125" style="62" customWidth="1"/>
    <col min="3" max="4" width="12.7109375" style="62" customWidth="1"/>
    <col min="5" max="5" width="17.140625" customWidth="1"/>
    <col min="8" max="8" width="19.7109375" customWidth="1"/>
    <col min="10" max="10" width="32.140625" customWidth="1"/>
    <col min="13" max="13" width="24.85546875" customWidth="1"/>
  </cols>
  <sheetData>
    <row r="1" spans="1:13" x14ac:dyDescent="0.25">
      <c r="F1" s="10" t="s">
        <v>104</v>
      </c>
    </row>
    <row r="2" spans="1:13" x14ac:dyDescent="0.25">
      <c r="A2" t="s">
        <v>534</v>
      </c>
      <c r="B2" s="62" t="s">
        <v>530</v>
      </c>
      <c r="C2" s="62" t="s">
        <v>529</v>
      </c>
      <c r="E2" t="str">
        <f>VLOOKUP(F2,B2:C206,2,FALSE)</f>
        <v>CL-241</v>
      </c>
      <c r="F2" s="2" t="s">
        <v>114</v>
      </c>
      <c r="H2" t="s">
        <v>747</v>
      </c>
      <c r="I2" t="s">
        <v>538</v>
      </c>
      <c r="J2" t="s">
        <v>748</v>
      </c>
      <c r="M2" t="str">
        <f>_xlfn.CONCAT(H2,I2)</f>
        <v>Contact_Lens/CL-241</v>
      </c>
    </row>
    <row r="3" spans="1:13" x14ac:dyDescent="0.25">
      <c r="A3" t="s">
        <v>534</v>
      </c>
      <c r="B3" t="s">
        <v>531</v>
      </c>
      <c r="C3" t="s">
        <v>536</v>
      </c>
      <c r="D3"/>
      <c r="E3" t="str">
        <f t="shared" ref="E3:E66" si="0">VLOOKUP(F3,B3:C207,2,FALSE)</f>
        <v>CL-243</v>
      </c>
      <c r="F3" s="2" t="s">
        <v>120</v>
      </c>
      <c r="H3" t="s">
        <v>747</v>
      </c>
      <c r="I3" t="s">
        <v>540</v>
      </c>
      <c r="J3" t="s">
        <v>749</v>
      </c>
      <c r="M3" t="str">
        <f t="shared" ref="M3:M66" si="1">_xlfn.CONCAT(H3,I3)</f>
        <v>Contact_Lens/CL-243</v>
      </c>
    </row>
    <row r="4" spans="1:13" x14ac:dyDescent="0.25">
      <c r="A4" t="s">
        <v>534</v>
      </c>
      <c r="B4" t="s">
        <v>740</v>
      </c>
      <c r="C4" t="s">
        <v>537</v>
      </c>
      <c r="D4"/>
      <c r="E4" t="str">
        <f t="shared" si="0"/>
        <v>CL-258</v>
      </c>
      <c r="F4" s="2" t="s">
        <v>126</v>
      </c>
      <c r="H4" t="s">
        <v>747</v>
      </c>
      <c r="I4" t="s">
        <v>555</v>
      </c>
      <c r="J4" t="s">
        <v>750</v>
      </c>
      <c r="M4" t="str">
        <f t="shared" si="1"/>
        <v>Contact_Lens/CL-258</v>
      </c>
    </row>
    <row r="5" spans="1:13" x14ac:dyDescent="0.25">
      <c r="A5" t="s">
        <v>534</v>
      </c>
      <c r="B5" t="s">
        <v>114</v>
      </c>
      <c r="C5" t="s">
        <v>538</v>
      </c>
      <c r="D5"/>
      <c r="E5" t="str">
        <f t="shared" si="0"/>
        <v>CL-259</v>
      </c>
      <c r="F5" s="3" t="s">
        <v>130</v>
      </c>
      <c r="H5" t="s">
        <v>747</v>
      </c>
      <c r="I5" t="s">
        <v>556</v>
      </c>
      <c r="J5" t="s">
        <v>751</v>
      </c>
      <c r="M5" t="str">
        <f t="shared" si="1"/>
        <v>Contact_Lens/CL-259</v>
      </c>
    </row>
    <row r="6" spans="1:13" x14ac:dyDescent="0.25">
      <c r="A6" t="s">
        <v>534</v>
      </c>
      <c r="B6" t="s">
        <v>532</v>
      </c>
      <c r="C6" t="s">
        <v>539</v>
      </c>
      <c r="D6"/>
      <c r="E6" t="str">
        <f t="shared" si="0"/>
        <v>CL-260</v>
      </c>
      <c r="F6" s="3" t="s">
        <v>133</v>
      </c>
      <c r="H6" t="s">
        <v>747</v>
      </c>
      <c r="I6" t="s">
        <v>557</v>
      </c>
      <c r="J6" t="s">
        <v>752</v>
      </c>
      <c r="M6" t="str">
        <f t="shared" si="1"/>
        <v>Contact_Lens/CL-260</v>
      </c>
    </row>
    <row r="7" spans="1:13" x14ac:dyDescent="0.25">
      <c r="A7" t="s">
        <v>534</v>
      </c>
      <c r="B7" t="s">
        <v>120</v>
      </c>
      <c r="C7" t="s">
        <v>540</v>
      </c>
      <c r="D7"/>
      <c r="E7" t="str">
        <f t="shared" si="0"/>
        <v>CL-261</v>
      </c>
      <c r="F7" s="3" t="s">
        <v>134</v>
      </c>
      <c r="H7" t="s">
        <v>747</v>
      </c>
      <c r="I7" t="s">
        <v>558</v>
      </c>
      <c r="J7" t="s">
        <v>753</v>
      </c>
      <c r="M7" t="str">
        <f t="shared" si="1"/>
        <v>Contact_Lens/CL-261</v>
      </c>
    </row>
    <row r="8" spans="1:13" x14ac:dyDescent="0.25">
      <c r="A8" t="s">
        <v>534</v>
      </c>
      <c r="B8" t="s">
        <v>385</v>
      </c>
      <c r="C8" t="s">
        <v>541</v>
      </c>
      <c r="D8"/>
      <c r="E8" t="str">
        <f t="shared" si="0"/>
        <v>CL-262</v>
      </c>
      <c r="F8" s="2" t="s">
        <v>8</v>
      </c>
      <c r="H8" t="s">
        <v>747</v>
      </c>
      <c r="I8" t="s">
        <v>559</v>
      </c>
      <c r="J8" t="s">
        <v>754</v>
      </c>
      <c r="M8" t="str">
        <f t="shared" si="1"/>
        <v>Contact_Lens/CL-262</v>
      </c>
    </row>
    <row r="9" spans="1:13" x14ac:dyDescent="0.25">
      <c r="A9" t="s">
        <v>534</v>
      </c>
      <c r="B9" t="s">
        <v>386</v>
      </c>
      <c r="C9" t="s">
        <v>542</v>
      </c>
      <c r="D9"/>
      <c r="E9" t="str">
        <f t="shared" si="0"/>
        <v>CL-264</v>
      </c>
      <c r="F9" s="2" t="s">
        <v>141</v>
      </c>
      <c r="H9" t="s">
        <v>747</v>
      </c>
      <c r="I9" t="s">
        <v>561</v>
      </c>
      <c r="J9" t="s">
        <v>755</v>
      </c>
      <c r="M9" t="str">
        <f t="shared" si="1"/>
        <v>Contact_Lens/CL-264</v>
      </c>
    </row>
    <row r="10" spans="1:13" x14ac:dyDescent="0.25">
      <c r="A10" t="s">
        <v>534</v>
      </c>
      <c r="B10" t="s">
        <v>387</v>
      </c>
      <c r="C10" t="s">
        <v>543</v>
      </c>
      <c r="D10"/>
      <c r="E10" t="str">
        <f t="shared" si="0"/>
        <v>CL-269</v>
      </c>
      <c r="F10" s="2" t="s">
        <v>145</v>
      </c>
      <c r="H10" t="s">
        <v>747</v>
      </c>
      <c r="I10" t="s">
        <v>566</v>
      </c>
      <c r="J10" t="s">
        <v>756</v>
      </c>
      <c r="M10" t="str">
        <f t="shared" si="1"/>
        <v>Contact_Lens/CL-269</v>
      </c>
    </row>
    <row r="11" spans="1:13" x14ac:dyDescent="0.25">
      <c r="A11" t="s">
        <v>534</v>
      </c>
      <c r="B11" t="s">
        <v>388</v>
      </c>
      <c r="C11" t="s">
        <v>544</v>
      </c>
      <c r="D11"/>
      <c r="E11" t="str">
        <f t="shared" si="0"/>
        <v>CL-272</v>
      </c>
      <c r="F11" s="2" t="s">
        <v>147</v>
      </c>
      <c r="H11" t="s">
        <v>747</v>
      </c>
      <c r="I11" t="s">
        <v>569</v>
      </c>
      <c r="J11" t="s">
        <v>757</v>
      </c>
      <c r="M11" t="str">
        <f t="shared" si="1"/>
        <v>Contact_Lens/CL-272</v>
      </c>
    </row>
    <row r="12" spans="1:13" x14ac:dyDescent="0.25">
      <c r="A12" t="s">
        <v>534</v>
      </c>
      <c r="B12" t="s">
        <v>389</v>
      </c>
      <c r="C12" t="s">
        <v>545</v>
      </c>
      <c r="D12"/>
      <c r="E12" t="str">
        <f t="shared" si="0"/>
        <v>CL-278</v>
      </c>
      <c r="F12" s="2" t="s">
        <v>150</v>
      </c>
      <c r="H12" t="s">
        <v>747</v>
      </c>
      <c r="I12" t="s">
        <v>575</v>
      </c>
      <c r="J12" t="s">
        <v>758</v>
      </c>
      <c r="M12" t="str">
        <f t="shared" si="1"/>
        <v>Contact_Lens/CL-278</v>
      </c>
    </row>
    <row r="13" spans="1:13" x14ac:dyDescent="0.25">
      <c r="A13" t="s">
        <v>534</v>
      </c>
      <c r="B13" t="s">
        <v>390</v>
      </c>
      <c r="C13" t="s">
        <v>546</v>
      </c>
      <c r="D13"/>
      <c r="E13" t="str">
        <f t="shared" si="0"/>
        <v>CL-279</v>
      </c>
      <c r="F13" s="2" t="s">
        <v>154</v>
      </c>
      <c r="H13" t="s">
        <v>747</v>
      </c>
      <c r="I13" t="s">
        <v>576</v>
      </c>
      <c r="J13" t="s">
        <v>759</v>
      </c>
      <c r="M13" t="str">
        <f t="shared" si="1"/>
        <v>Contact_Lens/CL-279</v>
      </c>
    </row>
    <row r="14" spans="1:13" x14ac:dyDescent="0.25">
      <c r="A14" t="s">
        <v>534</v>
      </c>
      <c r="B14" t="s">
        <v>391</v>
      </c>
      <c r="C14" t="s">
        <v>547</v>
      </c>
      <c r="D14"/>
      <c r="E14" t="str">
        <f t="shared" si="0"/>
        <v>CL-283</v>
      </c>
      <c r="F14" s="2" t="s">
        <v>156</v>
      </c>
      <c r="H14" t="s">
        <v>747</v>
      </c>
      <c r="I14" t="s">
        <v>580</v>
      </c>
      <c r="J14" t="s">
        <v>760</v>
      </c>
      <c r="M14" t="str">
        <f t="shared" si="1"/>
        <v>Contact_Lens/CL-283</v>
      </c>
    </row>
    <row r="15" spans="1:13" x14ac:dyDescent="0.25">
      <c r="A15" t="s">
        <v>534</v>
      </c>
      <c r="B15" t="s">
        <v>392</v>
      </c>
      <c r="C15" t="s">
        <v>548</v>
      </c>
      <c r="D15"/>
      <c r="E15" t="str">
        <f t="shared" si="0"/>
        <v>CL-284</v>
      </c>
      <c r="F15" s="2" t="s">
        <v>159</v>
      </c>
      <c r="H15" t="s">
        <v>747</v>
      </c>
      <c r="I15" t="s">
        <v>581</v>
      </c>
      <c r="J15" t="s">
        <v>761</v>
      </c>
      <c r="M15" t="str">
        <f t="shared" si="1"/>
        <v>Contact_Lens/CL-284</v>
      </c>
    </row>
    <row r="16" spans="1:13" x14ac:dyDescent="0.25">
      <c r="A16" t="s">
        <v>534</v>
      </c>
      <c r="B16" t="s">
        <v>393</v>
      </c>
      <c r="C16" t="s">
        <v>549</v>
      </c>
      <c r="D16"/>
      <c r="E16" t="str">
        <f t="shared" si="0"/>
        <v>CL-288</v>
      </c>
      <c r="F16" s="2" t="s">
        <v>161</v>
      </c>
      <c r="H16" t="s">
        <v>747</v>
      </c>
      <c r="I16" t="s">
        <v>585</v>
      </c>
      <c r="J16" t="s">
        <v>762</v>
      </c>
      <c r="M16" t="str">
        <f t="shared" si="1"/>
        <v>Contact_Lens/CL-288</v>
      </c>
    </row>
    <row r="17" spans="1:13" x14ac:dyDescent="0.25">
      <c r="A17" t="s">
        <v>534</v>
      </c>
      <c r="B17" t="s">
        <v>394</v>
      </c>
      <c r="C17" t="s">
        <v>550</v>
      </c>
      <c r="D17"/>
      <c r="E17" t="str">
        <f t="shared" si="0"/>
        <v>CL-289</v>
      </c>
      <c r="F17" s="2" t="s">
        <v>163</v>
      </c>
      <c r="H17" t="s">
        <v>747</v>
      </c>
      <c r="I17" t="s">
        <v>586</v>
      </c>
      <c r="J17" t="s">
        <v>763</v>
      </c>
      <c r="M17" t="str">
        <f t="shared" si="1"/>
        <v>Contact_Lens/CL-289</v>
      </c>
    </row>
    <row r="18" spans="1:13" x14ac:dyDescent="0.25">
      <c r="A18" t="s">
        <v>534</v>
      </c>
      <c r="B18" t="s">
        <v>395</v>
      </c>
      <c r="C18" t="s">
        <v>551</v>
      </c>
      <c r="D18"/>
      <c r="E18" t="str">
        <f t="shared" si="0"/>
        <v>CL-290</v>
      </c>
      <c r="F18" s="2" t="s">
        <v>166</v>
      </c>
      <c r="H18" t="s">
        <v>747</v>
      </c>
      <c r="I18" t="s">
        <v>587</v>
      </c>
      <c r="J18" t="s">
        <v>764</v>
      </c>
      <c r="M18" t="str">
        <f t="shared" si="1"/>
        <v>Contact_Lens/CL-290</v>
      </c>
    </row>
    <row r="19" spans="1:13" x14ac:dyDescent="0.25">
      <c r="A19" t="s">
        <v>534</v>
      </c>
      <c r="B19" t="s">
        <v>397</v>
      </c>
      <c r="C19" t="s">
        <v>552</v>
      </c>
      <c r="D19"/>
      <c r="E19" t="str">
        <f t="shared" si="0"/>
        <v>CL-292</v>
      </c>
      <c r="F19" s="2" t="s">
        <v>168</v>
      </c>
      <c r="H19" t="s">
        <v>747</v>
      </c>
      <c r="I19" t="s">
        <v>589</v>
      </c>
      <c r="J19" t="s">
        <v>765</v>
      </c>
      <c r="M19" t="str">
        <f t="shared" si="1"/>
        <v>Contact_Lens/CL-292</v>
      </c>
    </row>
    <row r="20" spans="1:13" x14ac:dyDescent="0.25">
      <c r="A20" t="s">
        <v>534</v>
      </c>
      <c r="B20" t="s">
        <v>398</v>
      </c>
      <c r="C20" t="s">
        <v>553</v>
      </c>
      <c r="D20"/>
      <c r="E20" t="str">
        <f t="shared" si="0"/>
        <v>CL-293</v>
      </c>
      <c r="F20" s="2" t="s">
        <v>170</v>
      </c>
      <c r="H20" t="s">
        <v>747</v>
      </c>
      <c r="I20" t="s">
        <v>590</v>
      </c>
      <c r="J20" t="s">
        <v>766</v>
      </c>
      <c r="M20" t="str">
        <f t="shared" si="1"/>
        <v>Contact_Lens/CL-293</v>
      </c>
    </row>
    <row r="21" spans="1:13" x14ac:dyDescent="0.25">
      <c r="A21" t="s">
        <v>534</v>
      </c>
      <c r="B21" t="s">
        <v>400</v>
      </c>
      <c r="C21" t="s">
        <v>554</v>
      </c>
      <c r="D21"/>
      <c r="E21" t="str">
        <f t="shared" si="0"/>
        <v>CL-294</v>
      </c>
      <c r="F21" s="2" t="s">
        <v>172</v>
      </c>
      <c r="H21" t="s">
        <v>747</v>
      </c>
      <c r="I21" t="s">
        <v>591</v>
      </c>
      <c r="J21" t="s">
        <v>767</v>
      </c>
      <c r="M21" t="str">
        <f t="shared" si="1"/>
        <v>Contact_Lens/CL-294</v>
      </c>
    </row>
    <row r="22" spans="1:13" x14ac:dyDescent="0.25">
      <c r="A22" t="s">
        <v>534</v>
      </c>
      <c r="B22" t="s">
        <v>126</v>
      </c>
      <c r="C22" t="s">
        <v>555</v>
      </c>
      <c r="D22"/>
      <c r="E22" t="str">
        <f t="shared" si="0"/>
        <v>CL-296</v>
      </c>
      <c r="F22" s="2" t="s">
        <v>174</v>
      </c>
      <c r="H22" t="s">
        <v>747</v>
      </c>
      <c r="I22" t="s">
        <v>593</v>
      </c>
      <c r="J22" t="s">
        <v>768</v>
      </c>
      <c r="M22" t="str">
        <f t="shared" si="1"/>
        <v>Contact_Lens/CL-296</v>
      </c>
    </row>
    <row r="23" spans="1:13" x14ac:dyDescent="0.25">
      <c r="A23" t="s">
        <v>534</v>
      </c>
      <c r="B23" t="s">
        <v>130</v>
      </c>
      <c r="C23" t="s">
        <v>556</v>
      </c>
      <c r="D23"/>
      <c r="E23" t="str">
        <f t="shared" si="0"/>
        <v>CL-297</v>
      </c>
      <c r="F23" s="2" t="s">
        <v>176</v>
      </c>
      <c r="H23" t="s">
        <v>747</v>
      </c>
      <c r="I23" t="s">
        <v>594</v>
      </c>
      <c r="J23" t="s">
        <v>769</v>
      </c>
      <c r="M23" t="str">
        <f t="shared" si="1"/>
        <v>Contact_Lens/CL-297</v>
      </c>
    </row>
    <row r="24" spans="1:13" x14ac:dyDescent="0.25">
      <c r="A24" t="s">
        <v>534</v>
      </c>
      <c r="B24" t="s">
        <v>133</v>
      </c>
      <c r="C24" t="s">
        <v>557</v>
      </c>
      <c r="D24"/>
      <c r="E24" t="str">
        <f t="shared" si="0"/>
        <v>CL-298</v>
      </c>
      <c r="F24" s="2" t="s">
        <v>178</v>
      </c>
      <c r="H24" t="s">
        <v>747</v>
      </c>
      <c r="I24" t="s">
        <v>595</v>
      </c>
      <c r="J24" t="s">
        <v>770</v>
      </c>
      <c r="M24" t="str">
        <f t="shared" si="1"/>
        <v>Contact_Lens/CL-298</v>
      </c>
    </row>
    <row r="25" spans="1:13" x14ac:dyDescent="0.25">
      <c r="A25" t="s">
        <v>534</v>
      </c>
      <c r="B25" t="s">
        <v>134</v>
      </c>
      <c r="C25" t="s">
        <v>558</v>
      </c>
      <c r="D25"/>
      <c r="E25" t="str">
        <f t="shared" si="0"/>
        <v>CL-299</v>
      </c>
      <c r="F25" s="2" t="s">
        <v>180</v>
      </c>
      <c r="H25" t="s">
        <v>747</v>
      </c>
      <c r="I25" t="s">
        <v>596</v>
      </c>
      <c r="J25" t="s">
        <v>771</v>
      </c>
      <c r="M25" t="str">
        <f t="shared" si="1"/>
        <v>Contact_Lens/CL-299</v>
      </c>
    </row>
    <row r="26" spans="1:13" x14ac:dyDescent="0.25">
      <c r="A26" t="s">
        <v>534</v>
      </c>
      <c r="B26" t="s">
        <v>8</v>
      </c>
      <c r="C26" t="s">
        <v>559</v>
      </c>
      <c r="D26"/>
      <c r="E26" t="str">
        <f t="shared" si="0"/>
        <v>CL-300</v>
      </c>
      <c r="F26" s="2" t="s">
        <v>28</v>
      </c>
      <c r="H26" t="s">
        <v>747</v>
      </c>
      <c r="I26" t="s">
        <v>597</v>
      </c>
      <c r="J26" t="s">
        <v>772</v>
      </c>
      <c r="M26" t="str">
        <f t="shared" si="1"/>
        <v>Contact_Lens/CL-300</v>
      </c>
    </row>
    <row r="27" spans="1:13" x14ac:dyDescent="0.25">
      <c r="A27" t="s">
        <v>534</v>
      </c>
      <c r="B27" t="s">
        <v>741</v>
      </c>
      <c r="C27" t="s">
        <v>560</v>
      </c>
      <c r="D27"/>
      <c r="E27" t="str">
        <f t="shared" si="0"/>
        <v>CL-324</v>
      </c>
      <c r="F27" s="2" t="s">
        <v>184</v>
      </c>
      <c r="H27" t="s">
        <v>747</v>
      </c>
      <c r="I27" t="s">
        <v>621</v>
      </c>
      <c r="J27" t="s">
        <v>773</v>
      </c>
      <c r="M27" t="str">
        <f t="shared" si="1"/>
        <v>Contact_Lens/CL-324</v>
      </c>
    </row>
    <row r="28" spans="1:13" x14ac:dyDescent="0.25">
      <c r="A28" t="s">
        <v>534</v>
      </c>
      <c r="B28" t="s">
        <v>141</v>
      </c>
      <c r="C28" t="s">
        <v>561</v>
      </c>
      <c r="D28"/>
      <c r="E28" t="str">
        <f t="shared" si="0"/>
        <v>CL-326</v>
      </c>
      <c r="F28" s="2" t="s">
        <v>187</v>
      </c>
      <c r="H28" t="s">
        <v>747</v>
      </c>
      <c r="I28" t="s">
        <v>623</v>
      </c>
      <c r="J28" t="s">
        <v>774</v>
      </c>
      <c r="M28" t="str">
        <f t="shared" si="1"/>
        <v>Contact_Lens/CL-326</v>
      </c>
    </row>
    <row r="29" spans="1:13" x14ac:dyDescent="0.25">
      <c r="A29" t="s">
        <v>534</v>
      </c>
      <c r="B29" t="s">
        <v>742</v>
      </c>
      <c r="C29" t="s">
        <v>562</v>
      </c>
      <c r="D29"/>
      <c r="E29" t="str">
        <f t="shared" si="0"/>
        <v>CL-327</v>
      </c>
      <c r="F29" s="2" t="s">
        <v>189</v>
      </c>
      <c r="H29" t="s">
        <v>747</v>
      </c>
      <c r="I29" t="s">
        <v>624</v>
      </c>
      <c r="J29" t="s">
        <v>775</v>
      </c>
      <c r="M29" t="str">
        <f t="shared" si="1"/>
        <v>Contact_Lens/CL-327</v>
      </c>
    </row>
    <row r="30" spans="1:13" x14ac:dyDescent="0.25">
      <c r="A30" t="s">
        <v>534</v>
      </c>
      <c r="B30" t="s">
        <v>743</v>
      </c>
      <c r="C30" t="s">
        <v>563</v>
      </c>
      <c r="D30"/>
      <c r="E30" t="str">
        <f t="shared" si="0"/>
        <v>CL-440</v>
      </c>
      <c r="F30" s="2" t="s">
        <v>96</v>
      </c>
      <c r="H30" t="s">
        <v>747</v>
      </c>
      <c r="I30" t="s">
        <v>737</v>
      </c>
      <c r="J30" t="s">
        <v>776</v>
      </c>
      <c r="M30" t="str">
        <f t="shared" si="1"/>
        <v>Contact_Lens/CL-440</v>
      </c>
    </row>
    <row r="31" spans="1:13" x14ac:dyDescent="0.25">
      <c r="A31" t="s">
        <v>534</v>
      </c>
      <c r="B31" t="s">
        <v>533</v>
      </c>
      <c r="C31" t="s">
        <v>564</v>
      </c>
      <c r="D31"/>
      <c r="E31" t="str">
        <f t="shared" si="0"/>
        <v>CL-442</v>
      </c>
      <c r="F31" s="2" t="s">
        <v>195</v>
      </c>
      <c r="H31" t="s">
        <v>747</v>
      </c>
      <c r="I31" t="s">
        <v>739</v>
      </c>
      <c r="J31" t="s">
        <v>777</v>
      </c>
      <c r="M31" t="str">
        <f t="shared" si="1"/>
        <v>Contact_Lens/CL-442</v>
      </c>
    </row>
    <row r="32" spans="1:13" x14ac:dyDescent="0.25">
      <c r="A32" t="s">
        <v>534</v>
      </c>
      <c r="B32" t="s">
        <v>744</v>
      </c>
      <c r="C32" t="s">
        <v>565</v>
      </c>
      <c r="D32"/>
      <c r="E32" t="str">
        <f t="shared" si="0"/>
        <v>CL-328</v>
      </c>
      <c r="F32" s="2" t="s">
        <v>200</v>
      </c>
      <c r="H32" t="s">
        <v>747</v>
      </c>
      <c r="I32" t="s">
        <v>625</v>
      </c>
      <c r="J32" t="s">
        <v>778</v>
      </c>
      <c r="M32" t="str">
        <f t="shared" si="1"/>
        <v>Contact_Lens/CL-328</v>
      </c>
    </row>
    <row r="33" spans="1:13" x14ac:dyDescent="0.25">
      <c r="A33" t="s">
        <v>534</v>
      </c>
      <c r="B33" t="s">
        <v>145</v>
      </c>
      <c r="C33" t="s">
        <v>566</v>
      </c>
      <c r="D33"/>
      <c r="E33" t="str">
        <f t="shared" si="0"/>
        <v>CL-329</v>
      </c>
      <c r="F33" s="2" t="s">
        <v>203</v>
      </c>
      <c r="H33" t="s">
        <v>747</v>
      </c>
      <c r="I33" t="s">
        <v>626</v>
      </c>
      <c r="J33" t="s">
        <v>779</v>
      </c>
      <c r="M33" t="str">
        <f t="shared" si="1"/>
        <v>Contact_Lens/CL-329</v>
      </c>
    </row>
    <row r="34" spans="1:13" x14ac:dyDescent="0.25">
      <c r="A34" t="s">
        <v>534</v>
      </c>
      <c r="B34" t="s">
        <v>745</v>
      </c>
      <c r="C34" t="s">
        <v>567</v>
      </c>
      <c r="D34"/>
      <c r="E34" t="str">
        <f t="shared" si="0"/>
        <v>CL-330</v>
      </c>
      <c r="F34" s="2" t="s">
        <v>204</v>
      </c>
      <c r="H34" t="s">
        <v>747</v>
      </c>
      <c r="I34" t="s">
        <v>627</v>
      </c>
      <c r="J34" t="s">
        <v>780</v>
      </c>
      <c r="M34" t="str">
        <f t="shared" si="1"/>
        <v>Contact_Lens/CL-330</v>
      </c>
    </row>
    <row r="35" spans="1:13" x14ac:dyDescent="0.25">
      <c r="A35" t="s">
        <v>534</v>
      </c>
      <c r="B35" t="s">
        <v>415</v>
      </c>
      <c r="C35" t="s">
        <v>568</v>
      </c>
      <c r="D35"/>
      <c r="E35" t="str">
        <f t="shared" si="0"/>
        <v>CL-331</v>
      </c>
      <c r="F35" s="2" t="s">
        <v>38</v>
      </c>
      <c r="H35" t="s">
        <v>747</v>
      </c>
      <c r="I35" t="s">
        <v>628</v>
      </c>
      <c r="J35" t="s">
        <v>781</v>
      </c>
      <c r="M35" t="str">
        <f t="shared" si="1"/>
        <v>Contact_Lens/CL-331</v>
      </c>
    </row>
    <row r="36" spans="1:13" x14ac:dyDescent="0.25">
      <c r="A36" t="s">
        <v>534</v>
      </c>
      <c r="B36" t="s">
        <v>147</v>
      </c>
      <c r="C36" t="s">
        <v>569</v>
      </c>
      <c r="D36"/>
      <c r="E36" t="str">
        <f t="shared" si="0"/>
        <v>CL-340</v>
      </c>
      <c r="F36" s="2" t="s">
        <v>205</v>
      </c>
      <c r="H36" t="s">
        <v>747</v>
      </c>
      <c r="I36" t="s">
        <v>637</v>
      </c>
      <c r="J36" t="s">
        <v>782</v>
      </c>
      <c r="M36" t="str">
        <f t="shared" si="1"/>
        <v>Contact_Lens/CL-340</v>
      </c>
    </row>
    <row r="37" spans="1:13" x14ac:dyDescent="0.25">
      <c r="A37" t="s">
        <v>534</v>
      </c>
      <c r="B37" t="s">
        <v>416</v>
      </c>
      <c r="C37" t="s">
        <v>570</v>
      </c>
      <c r="D37"/>
      <c r="E37" t="str">
        <f t="shared" si="0"/>
        <v>CL-341</v>
      </c>
      <c r="F37" s="2" t="s">
        <v>208</v>
      </c>
      <c r="H37" t="s">
        <v>747</v>
      </c>
      <c r="I37" t="s">
        <v>638</v>
      </c>
      <c r="J37" t="s">
        <v>783</v>
      </c>
      <c r="M37" t="str">
        <f t="shared" si="1"/>
        <v>Contact_Lens/CL-341</v>
      </c>
    </row>
    <row r="38" spans="1:13" x14ac:dyDescent="0.25">
      <c r="A38" t="s">
        <v>534</v>
      </c>
      <c r="B38" t="s">
        <v>417</v>
      </c>
      <c r="C38" t="s">
        <v>571</v>
      </c>
      <c r="D38"/>
      <c r="E38" t="str">
        <f t="shared" si="0"/>
        <v>CL-342</v>
      </c>
      <c r="F38" s="2" t="s">
        <v>209</v>
      </c>
      <c r="H38" t="s">
        <v>747</v>
      </c>
      <c r="I38" t="s">
        <v>639</v>
      </c>
      <c r="J38" t="s">
        <v>784</v>
      </c>
      <c r="M38" t="str">
        <f t="shared" si="1"/>
        <v>Contact_Lens/CL-342</v>
      </c>
    </row>
    <row r="39" spans="1:13" x14ac:dyDescent="0.25">
      <c r="A39" t="s">
        <v>534</v>
      </c>
      <c r="B39" t="s">
        <v>418</v>
      </c>
      <c r="C39" t="s">
        <v>572</v>
      </c>
      <c r="D39"/>
      <c r="E39" t="str">
        <f t="shared" si="0"/>
        <v>CL-344</v>
      </c>
      <c r="F39" s="2" t="s">
        <v>210</v>
      </c>
      <c r="H39" t="s">
        <v>747</v>
      </c>
      <c r="I39" t="s">
        <v>641</v>
      </c>
      <c r="J39" t="s">
        <v>785</v>
      </c>
      <c r="M39" t="str">
        <f t="shared" si="1"/>
        <v>Contact_Lens/CL-344</v>
      </c>
    </row>
    <row r="40" spans="1:13" x14ac:dyDescent="0.25">
      <c r="A40" t="s">
        <v>534</v>
      </c>
      <c r="B40" t="s">
        <v>420</v>
      </c>
      <c r="C40" t="s">
        <v>573</v>
      </c>
      <c r="D40"/>
      <c r="E40" t="str">
        <f t="shared" si="0"/>
        <v>CL-345</v>
      </c>
      <c r="F40" s="2" t="s">
        <v>213</v>
      </c>
      <c r="H40" t="s">
        <v>747</v>
      </c>
      <c r="I40" t="s">
        <v>642</v>
      </c>
      <c r="J40" t="s">
        <v>786</v>
      </c>
      <c r="M40" t="str">
        <f t="shared" si="1"/>
        <v>Contact_Lens/CL-345</v>
      </c>
    </row>
    <row r="41" spans="1:13" x14ac:dyDescent="0.25">
      <c r="A41" t="s">
        <v>534</v>
      </c>
      <c r="B41" t="s">
        <v>422</v>
      </c>
      <c r="C41" t="s">
        <v>574</v>
      </c>
      <c r="D41"/>
      <c r="E41" t="str">
        <f t="shared" si="0"/>
        <v>CL-349</v>
      </c>
      <c r="F41" s="2" t="s">
        <v>217</v>
      </c>
      <c r="H41" t="s">
        <v>747</v>
      </c>
      <c r="I41" t="s">
        <v>646</v>
      </c>
      <c r="J41" t="s">
        <v>787</v>
      </c>
      <c r="M41" t="str">
        <f t="shared" si="1"/>
        <v>Contact_Lens/CL-349</v>
      </c>
    </row>
    <row r="42" spans="1:13" x14ac:dyDescent="0.25">
      <c r="A42" t="s">
        <v>534</v>
      </c>
      <c r="B42" t="s">
        <v>150</v>
      </c>
      <c r="C42" t="s">
        <v>575</v>
      </c>
      <c r="D42"/>
      <c r="E42" t="str">
        <f t="shared" si="0"/>
        <v>CL-353</v>
      </c>
      <c r="F42" s="2" t="s">
        <v>219</v>
      </c>
      <c r="H42" t="s">
        <v>747</v>
      </c>
      <c r="I42" t="s">
        <v>650</v>
      </c>
      <c r="J42" t="s">
        <v>788</v>
      </c>
      <c r="M42" t="str">
        <f t="shared" si="1"/>
        <v>Contact_Lens/CL-353</v>
      </c>
    </row>
    <row r="43" spans="1:13" x14ac:dyDescent="0.25">
      <c r="A43" t="s">
        <v>534</v>
      </c>
      <c r="B43" t="s">
        <v>154</v>
      </c>
      <c r="C43" t="s">
        <v>576</v>
      </c>
      <c r="D43"/>
      <c r="E43" t="str">
        <f t="shared" si="0"/>
        <v>CL-364</v>
      </c>
      <c r="F43" s="2" t="s">
        <v>223</v>
      </c>
      <c r="H43" t="s">
        <v>747</v>
      </c>
      <c r="I43" t="s">
        <v>661</v>
      </c>
      <c r="J43" t="s">
        <v>789</v>
      </c>
      <c r="M43" t="str">
        <f t="shared" si="1"/>
        <v>Contact_Lens/CL-364</v>
      </c>
    </row>
    <row r="44" spans="1:13" x14ac:dyDescent="0.25">
      <c r="A44" t="s">
        <v>534</v>
      </c>
      <c r="B44" t="s">
        <v>426</v>
      </c>
      <c r="C44" t="s">
        <v>577</v>
      </c>
      <c r="D44"/>
      <c r="E44" t="str">
        <f t="shared" si="0"/>
        <v>CL-380</v>
      </c>
      <c r="F44" s="2" t="s">
        <v>226</v>
      </c>
      <c r="H44" t="s">
        <v>747</v>
      </c>
      <c r="I44" t="s">
        <v>677</v>
      </c>
      <c r="J44" t="s">
        <v>790</v>
      </c>
      <c r="M44" t="str">
        <f t="shared" si="1"/>
        <v>Contact_Lens/CL-380</v>
      </c>
    </row>
    <row r="45" spans="1:13" x14ac:dyDescent="0.25">
      <c r="A45" t="s">
        <v>534</v>
      </c>
      <c r="B45" t="s">
        <v>427</v>
      </c>
      <c r="C45" t="s">
        <v>578</v>
      </c>
      <c r="D45"/>
      <c r="E45" t="str">
        <f t="shared" si="0"/>
        <v>CL-385</v>
      </c>
      <c r="F45" s="2" t="s">
        <v>53</v>
      </c>
      <c r="H45" t="s">
        <v>747</v>
      </c>
      <c r="I45" t="s">
        <v>682</v>
      </c>
      <c r="J45" t="s">
        <v>791</v>
      </c>
      <c r="M45" t="str">
        <f t="shared" si="1"/>
        <v>Contact_Lens/CL-385</v>
      </c>
    </row>
    <row r="46" spans="1:13" x14ac:dyDescent="0.25">
      <c r="A46" t="s">
        <v>534</v>
      </c>
      <c r="B46" t="s">
        <v>428</v>
      </c>
      <c r="C46" t="s">
        <v>579</v>
      </c>
      <c r="D46"/>
      <c r="E46" t="str">
        <f t="shared" si="0"/>
        <v>CL-386</v>
      </c>
      <c r="F46" s="2" t="s">
        <v>55</v>
      </c>
      <c r="H46" t="s">
        <v>747</v>
      </c>
      <c r="I46" t="s">
        <v>683</v>
      </c>
      <c r="J46" t="s">
        <v>792</v>
      </c>
      <c r="M46" t="str">
        <f t="shared" si="1"/>
        <v>Contact_Lens/CL-386</v>
      </c>
    </row>
    <row r="47" spans="1:13" x14ac:dyDescent="0.25">
      <c r="A47" t="s">
        <v>534</v>
      </c>
      <c r="B47" t="s">
        <v>156</v>
      </c>
      <c r="C47" t="s">
        <v>580</v>
      </c>
      <c r="D47"/>
      <c r="E47" t="str">
        <f t="shared" si="0"/>
        <v>CL-387</v>
      </c>
      <c r="F47" s="2" t="s">
        <v>233</v>
      </c>
      <c r="H47" t="s">
        <v>747</v>
      </c>
      <c r="I47" t="s">
        <v>684</v>
      </c>
      <c r="J47" t="s">
        <v>793</v>
      </c>
      <c r="M47" t="str">
        <f t="shared" si="1"/>
        <v>Contact_Lens/CL-387</v>
      </c>
    </row>
    <row r="48" spans="1:13" x14ac:dyDescent="0.25">
      <c r="A48" t="s">
        <v>534</v>
      </c>
      <c r="B48" t="s">
        <v>159</v>
      </c>
      <c r="C48" t="s">
        <v>581</v>
      </c>
      <c r="D48"/>
      <c r="E48" t="str">
        <f t="shared" si="0"/>
        <v>CL-388</v>
      </c>
      <c r="F48" s="2" t="s">
        <v>235</v>
      </c>
      <c r="H48" t="s">
        <v>747</v>
      </c>
      <c r="I48" t="s">
        <v>685</v>
      </c>
      <c r="J48" t="s">
        <v>794</v>
      </c>
      <c r="M48" t="str">
        <f t="shared" si="1"/>
        <v>Contact_Lens/CL-388</v>
      </c>
    </row>
    <row r="49" spans="1:13" x14ac:dyDescent="0.25">
      <c r="A49" t="s">
        <v>534</v>
      </c>
      <c r="B49" t="s">
        <v>430</v>
      </c>
      <c r="C49" t="s">
        <v>582</v>
      </c>
      <c r="D49"/>
      <c r="E49" t="str">
        <f t="shared" si="0"/>
        <v>CL-389</v>
      </c>
      <c r="F49" s="2" t="s">
        <v>236</v>
      </c>
      <c r="H49" t="s">
        <v>747</v>
      </c>
      <c r="I49" t="s">
        <v>686</v>
      </c>
      <c r="J49" t="s">
        <v>795</v>
      </c>
      <c r="M49" t="str">
        <f t="shared" si="1"/>
        <v>Contact_Lens/CL-389</v>
      </c>
    </row>
    <row r="50" spans="1:13" x14ac:dyDescent="0.25">
      <c r="A50" t="s">
        <v>534</v>
      </c>
      <c r="B50" t="s">
        <v>431</v>
      </c>
      <c r="C50" t="s">
        <v>583</v>
      </c>
      <c r="D50"/>
      <c r="E50" t="str">
        <f t="shared" si="0"/>
        <v>CL-391</v>
      </c>
      <c r="F50" s="2" t="s">
        <v>238</v>
      </c>
      <c r="H50" t="s">
        <v>747</v>
      </c>
      <c r="I50" t="s">
        <v>688</v>
      </c>
      <c r="J50" t="s">
        <v>796</v>
      </c>
      <c r="M50" t="str">
        <f t="shared" si="1"/>
        <v>Contact_Lens/CL-391</v>
      </c>
    </row>
    <row r="51" spans="1:13" x14ac:dyDescent="0.25">
      <c r="A51" t="s">
        <v>534</v>
      </c>
      <c r="B51" t="s">
        <v>432</v>
      </c>
      <c r="C51" t="s">
        <v>584</v>
      </c>
      <c r="D51"/>
      <c r="E51" t="str">
        <f t="shared" si="0"/>
        <v>CL-392</v>
      </c>
      <c r="F51" s="2" t="s">
        <v>240</v>
      </c>
      <c r="H51" t="s">
        <v>747</v>
      </c>
      <c r="I51" t="s">
        <v>689</v>
      </c>
      <c r="J51" t="s">
        <v>797</v>
      </c>
      <c r="M51" t="str">
        <f t="shared" si="1"/>
        <v>Contact_Lens/CL-392</v>
      </c>
    </row>
    <row r="52" spans="1:13" x14ac:dyDescent="0.25">
      <c r="A52" t="s">
        <v>534</v>
      </c>
      <c r="B52" t="s">
        <v>161</v>
      </c>
      <c r="C52" t="s">
        <v>585</v>
      </c>
      <c r="D52"/>
      <c r="E52" t="str">
        <f t="shared" si="0"/>
        <v>CL-395</v>
      </c>
      <c r="F52" s="2" t="s">
        <v>242</v>
      </c>
      <c r="H52" t="s">
        <v>747</v>
      </c>
      <c r="I52" t="s">
        <v>692</v>
      </c>
      <c r="J52" t="s">
        <v>798</v>
      </c>
      <c r="M52" t="str">
        <f t="shared" si="1"/>
        <v>Contact_Lens/CL-395</v>
      </c>
    </row>
    <row r="53" spans="1:13" x14ac:dyDescent="0.25">
      <c r="A53" t="s">
        <v>534</v>
      </c>
      <c r="B53" t="s">
        <v>163</v>
      </c>
      <c r="C53" t="s">
        <v>586</v>
      </c>
      <c r="D53"/>
      <c r="E53" t="str">
        <f t="shared" si="0"/>
        <v>CL-396</v>
      </c>
      <c r="F53" s="2" t="s">
        <v>244</v>
      </c>
      <c r="H53" t="s">
        <v>747</v>
      </c>
      <c r="I53" t="s">
        <v>693</v>
      </c>
      <c r="J53" t="s">
        <v>799</v>
      </c>
      <c r="M53" t="str">
        <f t="shared" si="1"/>
        <v>Contact_Lens/CL-396</v>
      </c>
    </row>
    <row r="54" spans="1:13" x14ac:dyDescent="0.25">
      <c r="A54" t="s">
        <v>534</v>
      </c>
      <c r="B54" t="s">
        <v>166</v>
      </c>
      <c r="C54" t="s">
        <v>587</v>
      </c>
      <c r="D54"/>
      <c r="E54" t="str">
        <f t="shared" si="0"/>
        <v>CL-397</v>
      </c>
      <c r="F54" s="2" t="s">
        <v>245</v>
      </c>
      <c r="H54" t="s">
        <v>747</v>
      </c>
      <c r="I54" t="s">
        <v>694</v>
      </c>
      <c r="J54" t="s">
        <v>800</v>
      </c>
      <c r="M54" t="str">
        <f t="shared" si="1"/>
        <v>Contact_Lens/CL-397</v>
      </c>
    </row>
    <row r="55" spans="1:13" x14ac:dyDescent="0.25">
      <c r="A55" t="s">
        <v>534</v>
      </c>
      <c r="B55" t="s">
        <v>423</v>
      </c>
      <c r="C55" t="s">
        <v>588</v>
      </c>
      <c r="D55"/>
      <c r="E55" t="str">
        <f t="shared" si="0"/>
        <v>CL-398</v>
      </c>
      <c r="F55" s="2" t="s">
        <v>67</v>
      </c>
      <c r="H55" t="s">
        <v>747</v>
      </c>
      <c r="I55" t="s">
        <v>695</v>
      </c>
      <c r="J55" t="s">
        <v>801</v>
      </c>
      <c r="M55" t="str">
        <f t="shared" si="1"/>
        <v>Contact_Lens/CL-398</v>
      </c>
    </row>
    <row r="56" spans="1:13" x14ac:dyDescent="0.25">
      <c r="A56" t="s">
        <v>534</v>
      </c>
      <c r="B56" t="s">
        <v>168</v>
      </c>
      <c r="C56" t="s">
        <v>589</v>
      </c>
      <c r="D56"/>
      <c r="E56" t="str">
        <f t="shared" si="0"/>
        <v>CL-401</v>
      </c>
      <c r="F56" s="2" t="s">
        <v>70</v>
      </c>
      <c r="H56" t="s">
        <v>747</v>
      </c>
      <c r="I56" t="s">
        <v>698</v>
      </c>
      <c r="J56" t="s">
        <v>802</v>
      </c>
      <c r="M56" t="str">
        <f t="shared" si="1"/>
        <v>Contact_Lens/CL-401</v>
      </c>
    </row>
    <row r="57" spans="1:13" x14ac:dyDescent="0.25">
      <c r="A57" t="s">
        <v>534</v>
      </c>
      <c r="B57" t="s">
        <v>170</v>
      </c>
      <c r="C57" t="s">
        <v>590</v>
      </c>
      <c r="D57"/>
      <c r="E57" t="str">
        <f t="shared" si="0"/>
        <v>CL-402</v>
      </c>
      <c r="F57" s="2" t="s">
        <v>73</v>
      </c>
      <c r="H57" t="s">
        <v>747</v>
      </c>
      <c r="I57" t="s">
        <v>699</v>
      </c>
      <c r="J57" t="s">
        <v>803</v>
      </c>
      <c r="M57" t="str">
        <f t="shared" si="1"/>
        <v>Contact_Lens/CL-402</v>
      </c>
    </row>
    <row r="58" spans="1:13" x14ac:dyDescent="0.25">
      <c r="A58" t="s">
        <v>534</v>
      </c>
      <c r="B58" t="s">
        <v>172</v>
      </c>
      <c r="C58" t="s">
        <v>591</v>
      </c>
      <c r="D58"/>
      <c r="E58" t="str">
        <f t="shared" si="0"/>
        <v>CL-417</v>
      </c>
      <c r="F58" s="2" t="s">
        <v>249</v>
      </c>
      <c r="H58" t="s">
        <v>747</v>
      </c>
      <c r="I58" t="s">
        <v>714</v>
      </c>
      <c r="J58" t="s">
        <v>804</v>
      </c>
      <c r="M58" t="str">
        <f t="shared" si="1"/>
        <v>Contact_Lens/CL-417</v>
      </c>
    </row>
    <row r="59" spans="1:13" x14ac:dyDescent="0.25">
      <c r="A59" t="s">
        <v>534</v>
      </c>
      <c r="B59" t="s">
        <v>434</v>
      </c>
      <c r="C59" t="s">
        <v>592</v>
      </c>
      <c r="D59"/>
      <c r="E59" t="str">
        <f t="shared" si="0"/>
        <v>CL-418</v>
      </c>
      <c r="F59" s="2" t="s">
        <v>252</v>
      </c>
      <c r="H59" t="s">
        <v>747</v>
      </c>
      <c r="I59" t="s">
        <v>715</v>
      </c>
      <c r="J59" t="s">
        <v>805</v>
      </c>
      <c r="M59" t="str">
        <f t="shared" si="1"/>
        <v>Contact_Lens/CL-418</v>
      </c>
    </row>
    <row r="60" spans="1:13" x14ac:dyDescent="0.25">
      <c r="A60" t="s">
        <v>534</v>
      </c>
      <c r="B60" t="s">
        <v>174</v>
      </c>
      <c r="C60" t="s">
        <v>593</v>
      </c>
      <c r="D60"/>
      <c r="E60" t="str">
        <f t="shared" si="0"/>
        <v>CL-419</v>
      </c>
      <c r="F60" s="2" t="s">
        <v>253</v>
      </c>
      <c r="H60" t="s">
        <v>747</v>
      </c>
      <c r="I60" t="s">
        <v>716</v>
      </c>
      <c r="J60" t="s">
        <v>806</v>
      </c>
      <c r="M60" t="str">
        <f t="shared" si="1"/>
        <v>Contact_Lens/CL-419</v>
      </c>
    </row>
    <row r="61" spans="1:13" x14ac:dyDescent="0.25">
      <c r="A61" t="s">
        <v>534</v>
      </c>
      <c r="B61" t="s">
        <v>176</v>
      </c>
      <c r="C61" t="s">
        <v>594</v>
      </c>
      <c r="D61"/>
      <c r="E61" t="str">
        <f t="shared" si="0"/>
        <v>CL-420</v>
      </c>
      <c r="F61" s="2" t="s">
        <v>254</v>
      </c>
      <c r="H61" t="s">
        <v>747</v>
      </c>
      <c r="I61" t="s">
        <v>717</v>
      </c>
      <c r="J61" t="s">
        <v>807</v>
      </c>
      <c r="M61" t="str">
        <f t="shared" si="1"/>
        <v>Contact_Lens/CL-420</v>
      </c>
    </row>
    <row r="62" spans="1:13" x14ac:dyDescent="0.25">
      <c r="A62" t="s">
        <v>534</v>
      </c>
      <c r="B62" t="s">
        <v>178</v>
      </c>
      <c r="C62" t="s">
        <v>595</v>
      </c>
      <c r="D62"/>
      <c r="E62" t="str">
        <f t="shared" si="0"/>
        <v>CL-425</v>
      </c>
      <c r="F62" s="2" t="s">
        <v>256</v>
      </c>
      <c r="H62" t="s">
        <v>747</v>
      </c>
      <c r="I62" t="s">
        <v>722</v>
      </c>
      <c r="J62" t="s">
        <v>808</v>
      </c>
      <c r="M62" t="str">
        <f t="shared" si="1"/>
        <v>Contact_Lens/CL-425</v>
      </c>
    </row>
    <row r="63" spans="1:13" x14ac:dyDescent="0.25">
      <c r="A63" t="s">
        <v>534</v>
      </c>
      <c r="B63" t="s">
        <v>180</v>
      </c>
      <c r="C63" t="s">
        <v>596</v>
      </c>
      <c r="D63"/>
      <c r="E63" t="str">
        <f t="shared" si="0"/>
        <v>CL-426</v>
      </c>
      <c r="F63" s="37" t="s">
        <v>258</v>
      </c>
      <c r="H63" t="s">
        <v>747</v>
      </c>
      <c r="I63" t="s">
        <v>723</v>
      </c>
      <c r="J63" t="s">
        <v>809</v>
      </c>
      <c r="M63" t="str">
        <f t="shared" si="1"/>
        <v>Contact_Lens/CL-426</v>
      </c>
    </row>
    <row r="64" spans="1:13" x14ac:dyDescent="0.25">
      <c r="A64" t="s">
        <v>534</v>
      </c>
      <c r="B64" t="s">
        <v>28</v>
      </c>
      <c r="C64" t="s">
        <v>597</v>
      </c>
      <c r="D64"/>
      <c r="E64" t="str">
        <f t="shared" si="0"/>
        <v>CL-430</v>
      </c>
      <c r="F64" s="37" t="s">
        <v>259</v>
      </c>
      <c r="H64" t="s">
        <v>747</v>
      </c>
      <c r="I64" t="s">
        <v>727</v>
      </c>
      <c r="J64" t="s">
        <v>810</v>
      </c>
      <c r="M64" t="str">
        <f t="shared" si="1"/>
        <v>Contact_Lens/CL-430</v>
      </c>
    </row>
    <row r="65" spans="1:13" x14ac:dyDescent="0.25">
      <c r="A65" t="s">
        <v>534</v>
      </c>
      <c r="B65" t="s">
        <v>436</v>
      </c>
      <c r="C65" t="s">
        <v>598</v>
      </c>
      <c r="D65"/>
      <c r="E65" t="str">
        <f t="shared" si="0"/>
        <v>CL-431</v>
      </c>
      <c r="F65" s="37" t="s">
        <v>261</v>
      </c>
      <c r="H65" t="s">
        <v>747</v>
      </c>
      <c r="I65" t="s">
        <v>728</v>
      </c>
      <c r="J65" t="s">
        <v>811</v>
      </c>
      <c r="M65" t="str">
        <f t="shared" si="1"/>
        <v>Contact_Lens/CL-431</v>
      </c>
    </row>
    <row r="66" spans="1:13" x14ac:dyDescent="0.25">
      <c r="A66" t="s">
        <v>534</v>
      </c>
      <c r="B66" t="s">
        <v>437</v>
      </c>
      <c r="C66" t="s">
        <v>599</v>
      </c>
      <c r="D66"/>
      <c r="E66" t="str">
        <f t="shared" si="0"/>
        <v>CL-432</v>
      </c>
      <c r="F66" s="37" t="s">
        <v>262</v>
      </c>
      <c r="H66" t="s">
        <v>747</v>
      </c>
      <c r="I66" t="s">
        <v>729</v>
      </c>
      <c r="J66" t="s">
        <v>812</v>
      </c>
      <c r="M66" t="str">
        <f t="shared" si="1"/>
        <v>Contact_Lens/CL-432</v>
      </c>
    </row>
    <row r="67" spans="1:13" x14ac:dyDescent="0.25">
      <c r="A67" t="s">
        <v>534</v>
      </c>
      <c r="B67" t="s">
        <v>438</v>
      </c>
      <c r="C67" t="s">
        <v>600</v>
      </c>
      <c r="D67"/>
      <c r="E67" t="str">
        <f t="shared" ref="E67:E69" si="2">VLOOKUP(F67,B67:C271,2,FALSE)</f>
        <v>CL-433</v>
      </c>
      <c r="F67" s="37" t="s">
        <v>263</v>
      </c>
      <c r="H67" t="s">
        <v>747</v>
      </c>
      <c r="I67" t="s">
        <v>730</v>
      </c>
      <c r="J67" t="s">
        <v>813</v>
      </c>
      <c r="M67" t="str">
        <f t="shared" ref="M67:M69" si="3">_xlfn.CONCAT(H67,I67)</f>
        <v>Contact_Lens/CL-433</v>
      </c>
    </row>
    <row r="68" spans="1:13" x14ac:dyDescent="0.25">
      <c r="A68" t="s">
        <v>534</v>
      </c>
      <c r="B68" t="s">
        <v>439</v>
      </c>
      <c r="C68" t="s">
        <v>601</v>
      </c>
      <c r="D68"/>
      <c r="E68" t="str">
        <f t="shared" si="2"/>
        <v>CL-434</v>
      </c>
      <c r="F68" s="38" t="s">
        <v>264</v>
      </c>
      <c r="H68" t="s">
        <v>747</v>
      </c>
      <c r="I68" t="s">
        <v>731</v>
      </c>
      <c r="J68" t="s">
        <v>814</v>
      </c>
      <c r="M68" t="str">
        <f t="shared" si="3"/>
        <v>Contact_Lens/CL-434</v>
      </c>
    </row>
    <row r="69" spans="1:13" x14ac:dyDescent="0.25">
      <c r="A69" t="s">
        <v>534</v>
      </c>
      <c r="B69" t="s">
        <v>440</v>
      </c>
      <c r="C69" t="s">
        <v>602</v>
      </c>
      <c r="D69"/>
      <c r="E69" t="str">
        <f t="shared" si="2"/>
        <v>CL-438</v>
      </c>
      <c r="F69" s="3" t="s">
        <v>265</v>
      </c>
      <c r="H69" t="s">
        <v>747</v>
      </c>
      <c r="I69" t="s">
        <v>735</v>
      </c>
      <c r="J69" t="s">
        <v>815</v>
      </c>
      <c r="M69" t="str">
        <f t="shared" si="3"/>
        <v>Contact_Lens/CL-438</v>
      </c>
    </row>
    <row r="70" spans="1:13" x14ac:dyDescent="0.25">
      <c r="B70" t="s">
        <v>442</v>
      </c>
      <c r="C70" t="s">
        <v>603</v>
      </c>
      <c r="D70"/>
    </row>
    <row r="71" spans="1:13" x14ac:dyDescent="0.25">
      <c r="B71" t="s">
        <v>443</v>
      </c>
      <c r="C71" t="s">
        <v>604</v>
      </c>
      <c r="D71"/>
    </row>
    <row r="72" spans="1:13" x14ac:dyDescent="0.25">
      <c r="B72" t="s">
        <v>444</v>
      </c>
      <c r="C72" t="s">
        <v>605</v>
      </c>
      <c r="D72"/>
    </row>
    <row r="73" spans="1:13" x14ac:dyDescent="0.25">
      <c r="B73" t="s">
        <v>445</v>
      </c>
      <c r="C73" t="s">
        <v>606</v>
      </c>
      <c r="D73"/>
    </row>
    <row r="74" spans="1:13" x14ac:dyDescent="0.25">
      <c r="B74" t="s">
        <v>446</v>
      </c>
      <c r="C74" t="s">
        <v>607</v>
      </c>
      <c r="D74"/>
    </row>
    <row r="75" spans="1:13" x14ac:dyDescent="0.25">
      <c r="B75" t="s">
        <v>447</v>
      </c>
      <c r="C75" t="s">
        <v>608</v>
      </c>
      <c r="D75"/>
    </row>
    <row r="76" spans="1:13" x14ac:dyDescent="0.25">
      <c r="B76" t="s">
        <v>448</v>
      </c>
      <c r="C76" t="s">
        <v>609</v>
      </c>
      <c r="D76"/>
    </row>
    <row r="77" spans="1:13" x14ac:dyDescent="0.25">
      <c r="B77" t="s">
        <v>449</v>
      </c>
      <c r="C77" t="s">
        <v>610</v>
      </c>
      <c r="D77"/>
    </row>
    <row r="78" spans="1:13" x14ac:dyDescent="0.25">
      <c r="B78" t="s">
        <v>450</v>
      </c>
      <c r="C78" t="s">
        <v>611</v>
      </c>
      <c r="D78"/>
    </row>
    <row r="79" spans="1:13" x14ac:dyDescent="0.25">
      <c r="B79" t="s">
        <v>451</v>
      </c>
      <c r="C79" t="s">
        <v>612</v>
      </c>
      <c r="D79"/>
    </row>
    <row r="80" spans="1:13" x14ac:dyDescent="0.25">
      <c r="B80" t="s">
        <v>452</v>
      </c>
      <c r="C80" t="s">
        <v>613</v>
      </c>
      <c r="D80"/>
    </row>
    <row r="81" spans="2:4" x14ac:dyDescent="0.25">
      <c r="B81" t="s">
        <v>454</v>
      </c>
      <c r="C81" t="s">
        <v>614</v>
      </c>
      <c r="D81"/>
    </row>
    <row r="82" spans="2:4" x14ac:dyDescent="0.25">
      <c r="B82" t="s">
        <v>455</v>
      </c>
      <c r="C82" t="s">
        <v>615</v>
      </c>
      <c r="D82"/>
    </row>
    <row r="83" spans="2:4" x14ac:dyDescent="0.25">
      <c r="B83" t="s">
        <v>456</v>
      </c>
      <c r="C83" t="s">
        <v>616</v>
      </c>
      <c r="D83"/>
    </row>
    <row r="84" spans="2:4" x14ac:dyDescent="0.25">
      <c r="B84" t="s">
        <v>457</v>
      </c>
      <c r="C84" t="s">
        <v>617</v>
      </c>
      <c r="D84"/>
    </row>
    <row r="85" spans="2:4" x14ac:dyDescent="0.25">
      <c r="B85" t="s">
        <v>458</v>
      </c>
      <c r="C85" t="s">
        <v>618</v>
      </c>
      <c r="D85"/>
    </row>
    <row r="86" spans="2:4" x14ac:dyDescent="0.25">
      <c r="B86" t="s">
        <v>459</v>
      </c>
      <c r="C86" t="s">
        <v>619</v>
      </c>
      <c r="D86"/>
    </row>
    <row r="87" spans="2:4" x14ac:dyDescent="0.25">
      <c r="B87" t="s">
        <v>460</v>
      </c>
      <c r="C87" t="s">
        <v>620</v>
      </c>
      <c r="D87"/>
    </row>
    <row r="88" spans="2:4" x14ac:dyDescent="0.25">
      <c r="B88" t="s">
        <v>184</v>
      </c>
      <c r="C88" t="s">
        <v>621</v>
      </c>
      <c r="D88"/>
    </row>
    <row r="89" spans="2:4" x14ac:dyDescent="0.25">
      <c r="B89" t="s">
        <v>461</v>
      </c>
      <c r="C89" t="s">
        <v>622</v>
      </c>
      <c r="D89"/>
    </row>
    <row r="90" spans="2:4" x14ac:dyDescent="0.25">
      <c r="B90" t="s">
        <v>187</v>
      </c>
      <c r="C90" t="s">
        <v>623</v>
      </c>
      <c r="D90"/>
    </row>
    <row r="91" spans="2:4" x14ac:dyDescent="0.25">
      <c r="B91" t="s">
        <v>189</v>
      </c>
      <c r="C91" t="s">
        <v>624</v>
      </c>
      <c r="D91"/>
    </row>
    <row r="92" spans="2:4" x14ac:dyDescent="0.25">
      <c r="B92" t="s">
        <v>200</v>
      </c>
      <c r="C92" t="s">
        <v>625</v>
      </c>
      <c r="D92"/>
    </row>
    <row r="93" spans="2:4" x14ac:dyDescent="0.25">
      <c r="B93" t="s">
        <v>203</v>
      </c>
      <c r="C93" t="s">
        <v>626</v>
      </c>
      <c r="D93"/>
    </row>
    <row r="94" spans="2:4" x14ac:dyDescent="0.25">
      <c r="B94" t="s">
        <v>204</v>
      </c>
      <c r="C94" t="s">
        <v>627</v>
      </c>
      <c r="D94"/>
    </row>
    <row r="95" spans="2:4" x14ac:dyDescent="0.25">
      <c r="B95" t="s">
        <v>38</v>
      </c>
      <c r="C95" t="s">
        <v>628</v>
      </c>
      <c r="D95"/>
    </row>
    <row r="96" spans="2:4" x14ac:dyDescent="0.25">
      <c r="B96" t="s">
        <v>464</v>
      </c>
      <c r="C96" t="s">
        <v>629</v>
      </c>
      <c r="D96"/>
    </row>
    <row r="97" spans="2:4" x14ac:dyDescent="0.25">
      <c r="B97" t="s">
        <v>410</v>
      </c>
      <c r="C97" t="s">
        <v>630</v>
      </c>
      <c r="D97"/>
    </row>
    <row r="98" spans="2:4" x14ac:dyDescent="0.25">
      <c r="B98" t="s">
        <v>433</v>
      </c>
      <c r="C98" t="s">
        <v>631</v>
      </c>
      <c r="D98"/>
    </row>
    <row r="99" spans="2:4" x14ac:dyDescent="0.25">
      <c r="B99" t="s">
        <v>465</v>
      </c>
      <c r="C99" t="s">
        <v>632</v>
      </c>
      <c r="D99"/>
    </row>
    <row r="100" spans="2:4" x14ac:dyDescent="0.25">
      <c r="B100" t="s">
        <v>466</v>
      </c>
      <c r="C100" t="s">
        <v>633</v>
      </c>
      <c r="D100"/>
    </row>
    <row r="101" spans="2:4" x14ac:dyDescent="0.25">
      <c r="B101" t="s">
        <v>467</v>
      </c>
      <c r="C101" t="s">
        <v>634</v>
      </c>
      <c r="D101"/>
    </row>
    <row r="102" spans="2:4" x14ac:dyDescent="0.25">
      <c r="B102" t="s">
        <v>468</v>
      </c>
      <c r="C102" t="s">
        <v>635</v>
      </c>
      <c r="D102"/>
    </row>
    <row r="103" spans="2:4" x14ac:dyDescent="0.25">
      <c r="B103" t="s">
        <v>40</v>
      </c>
      <c r="C103" t="s">
        <v>636</v>
      </c>
      <c r="D103"/>
    </row>
    <row r="104" spans="2:4" x14ac:dyDescent="0.25">
      <c r="B104" t="s">
        <v>205</v>
      </c>
      <c r="C104" t="s">
        <v>637</v>
      </c>
      <c r="D104"/>
    </row>
    <row r="105" spans="2:4" x14ac:dyDescent="0.25">
      <c r="B105" t="s">
        <v>208</v>
      </c>
      <c r="C105" t="s">
        <v>638</v>
      </c>
      <c r="D105"/>
    </row>
    <row r="106" spans="2:4" x14ac:dyDescent="0.25">
      <c r="B106" t="s">
        <v>209</v>
      </c>
      <c r="C106" t="s">
        <v>639</v>
      </c>
      <c r="D106"/>
    </row>
    <row r="107" spans="2:4" x14ac:dyDescent="0.25">
      <c r="B107" t="s">
        <v>469</v>
      </c>
      <c r="C107" t="s">
        <v>640</v>
      </c>
      <c r="D107"/>
    </row>
    <row r="108" spans="2:4" x14ac:dyDescent="0.25">
      <c r="B108" t="s">
        <v>210</v>
      </c>
      <c r="C108" t="s">
        <v>641</v>
      </c>
      <c r="D108"/>
    </row>
    <row r="109" spans="2:4" x14ac:dyDescent="0.25">
      <c r="B109" t="s">
        <v>213</v>
      </c>
      <c r="C109" t="s">
        <v>642</v>
      </c>
      <c r="D109"/>
    </row>
    <row r="110" spans="2:4" x14ac:dyDescent="0.25">
      <c r="B110" t="s">
        <v>470</v>
      </c>
      <c r="C110" t="s">
        <v>643</v>
      </c>
      <c r="D110"/>
    </row>
    <row r="111" spans="2:4" x14ac:dyDescent="0.25">
      <c r="B111" t="s">
        <v>471</v>
      </c>
      <c r="C111" t="s">
        <v>644</v>
      </c>
      <c r="D111"/>
    </row>
    <row r="112" spans="2:4" x14ac:dyDescent="0.25">
      <c r="B112" t="s">
        <v>472</v>
      </c>
      <c r="C112" t="s">
        <v>645</v>
      </c>
      <c r="D112"/>
    </row>
    <row r="113" spans="2:4" x14ac:dyDescent="0.25">
      <c r="B113" t="s">
        <v>217</v>
      </c>
      <c r="C113" t="s">
        <v>646</v>
      </c>
      <c r="D113"/>
    </row>
    <row r="114" spans="2:4" x14ac:dyDescent="0.25">
      <c r="B114" t="s">
        <v>473</v>
      </c>
      <c r="C114" t="s">
        <v>647</v>
      </c>
      <c r="D114"/>
    </row>
    <row r="115" spans="2:4" x14ac:dyDescent="0.25">
      <c r="B115" t="s">
        <v>474</v>
      </c>
      <c r="C115" t="s">
        <v>648</v>
      </c>
      <c r="D115"/>
    </row>
    <row r="116" spans="2:4" x14ac:dyDescent="0.25">
      <c r="B116" t="s">
        <v>453</v>
      </c>
      <c r="C116" t="s">
        <v>649</v>
      </c>
      <c r="D116"/>
    </row>
    <row r="117" spans="2:4" x14ac:dyDescent="0.25">
      <c r="B117" t="s">
        <v>219</v>
      </c>
      <c r="C117" t="s">
        <v>650</v>
      </c>
      <c r="D117"/>
    </row>
    <row r="118" spans="2:4" x14ac:dyDescent="0.25">
      <c r="B118" t="s">
        <v>475</v>
      </c>
      <c r="C118" t="s">
        <v>651</v>
      </c>
      <c r="D118"/>
    </row>
    <row r="119" spans="2:4" x14ac:dyDescent="0.25">
      <c r="B119" t="s">
        <v>476</v>
      </c>
      <c r="C119" t="s">
        <v>652</v>
      </c>
      <c r="D119"/>
    </row>
    <row r="120" spans="2:4" x14ac:dyDescent="0.25">
      <c r="B120" t="s">
        <v>477</v>
      </c>
      <c r="C120" t="s">
        <v>653</v>
      </c>
      <c r="D120"/>
    </row>
    <row r="121" spans="2:4" x14ac:dyDescent="0.25">
      <c r="B121" t="s">
        <v>478</v>
      </c>
      <c r="C121" t="s">
        <v>654</v>
      </c>
      <c r="D121"/>
    </row>
    <row r="122" spans="2:4" x14ac:dyDescent="0.25">
      <c r="B122" t="s">
        <v>479</v>
      </c>
      <c r="C122" t="s">
        <v>655</v>
      </c>
      <c r="D122"/>
    </row>
    <row r="123" spans="2:4" x14ac:dyDescent="0.25">
      <c r="B123" t="s">
        <v>480</v>
      </c>
      <c r="C123" t="s">
        <v>656</v>
      </c>
      <c r="D123"/>
    </row>
    <row r="124" spans="2:4" x14ac:dyDescent="0.25">
      <c r="B124" t="s">
        <v>481</v>
      </c>
      <c r="C124" t="s">
        <v>657</v>
      </c>
      <c r="D124"/>
    </row>
    <row r="125" spans="2:4" x14ac:dyDescent="0.25">
      <c r="B125" t="s">
        <v>482</v>
      </c>
      <c r="C125" t="s">
        <v>658</v>
      </c>
      <c r="D125"/>
    </row>
    <row r="126" spans="2:4" x14ac:dyDescent="0.25">
      <c r="B126" t="s">
        <v>441</v>
      </c>
      <c r="C126" t="s">
        <v>659</v>
      </c>
      <c r="D126"/>
    </row>
    <row r="127" spans="2:4" x14ac:dyDescent="0.25">
      <c r="B127" t="s">
        <v>421</v>
      </c>
      <c r="C127" t="s">
        <v>660</v>
      </c>
      <c r="D127"/>
    </row>
    <row r="128" spans="2:4" x14ac:dyDescent="0.25">
      <c r="B128" t="s">
        <v>223</v>
      </c>
      <c r="C128" t="s">
        <v>661</v>
      </c>
      <c r="D128"/>
    </row>
    <row r="129" spans="2:4" x14ac:dyDescent="0.25">
      <c r="B129" t="s">
        <v>483</v>
      </c>
      <c r="C129" t="s">
        <v>662</v>
      </c>
      <c r="D129"/>
    </row>
    <row r="130" spans="2:4" x14ac:dyDescent="0.25">
      <c r="B130" t="s">
        <v>484</v>
      </c>
      <c r="C130" t="s">
        <v>663</v>
      </c>
      <c r="D130"/>
    </row>
    <row r="131" spans="2:4" x14ac:dyDescent="0.25">
      <c r="B131" t="s">
        <v>485</v>
      </c>
      <c r="C131" t="s">
        <v>664</v>
      </c>
      <c r="D131"/>
    </row>
    <row r="132" spans="2:4" x14ac:dyDescent="0.25">
      <c r="B132" t="s">
        <v>486</v>
      </c>
      <c r="C132" t="s">
        <v>665</v>
      </c>
      <c r="D132"/>
    </row>
    <row r="133" spans="2:4" x14ac:dyDescent="0.25">
      <c r="B133" t="s">
        <v>487</v>
      </c>
      <c r="C133" t="s">
        <v>666</v>
      </c>
      <c r="D133"/>
    </row>
    <row r="134" spans="2:4" x14ac:dyDescent="0.25">
      <c r="B134" t="s">
        <v>488</v>
      </c>
      <c r="C134" t="s">
        <v>667</v>
      </c>
      <c r="D134"/>
    </row>
    <row r="135" spans="2:4" x14ac:dyDescent="0.25">
      <c r="B135" t="s">
        <v>489</v>
      </c>
      <c r="C135" t="s">
        <v>668</v>
      </c>
      <c r="D135"/>
    </row>
    <row r="136" spans="2:4" x14ac:dyDescent="0.25">
      <c r="B136" t="s">
        <v>490</v>
      </c>
      <c r="C136" t="s">
        <v>669</v>
      </c>
      <c r="D136"/>
    </row>
    <row r="137" spans="2:4" x14ac:dyDescent="0.25">
      <c r="B137" t="s">
        <v>491</v>
      </c>
      <c r="C137" t="s">
        <v>670</v>
      </c>
      <c r="D137"/>
    </row>
    <row r="138" spans="2:4" x14ac:dyDescent="0.25">
      <c r="B138" t="s">
        <v>492</v>
      </c>
      <c r="C138" t="s">
        <v>671</v>
      </c>
      <c r="D138"/>
    </row>
    <row r="139" spans="2:4" x14ac:dyDescent="0.25">
      <c r="B139" t="s">
        <v>493</v>
      </c>
      <c r="C139" t="s">
        <v>672</v>
      </c>
      <c r="D139"/>
    </row>
    <row r="140" spans="2:4" x14ac:dyDescent="0.25">
      <c r="B140" t="s">
        <v>494</v>
      </c>
      <c r="C140" t="s">
        <v>673</v>
      </c>
      <c r="D140"/>
    </row>
    <row r="141" spans="2:4" x14ac:dyDescent="0.25">
      <c r="B141" t="s">
        <v>495</v>
      </c>
      <c r="C141" t="s">
        <v>674</v>
      </c>
      <c r="D141"/>
    </row>
    <row r="142" spans="2:4" x14ac:dyDescent="0.25">
      <c r="B142" t="s">
        <v>496</v>
      </c>
      <c r="C142" t="s">
        <v>675</v>
      </c>
      <c r="D142"/>
    </row>
    <row r="143" spans="2:4" x14ac:dyDescent="0.25">
      <c r="B143" t="s">
        <v>497</v>
      </c>
      <c r="C143" t="s">
        <v>676</v>
      </c>
      <c r="D143"/>
    </row>
    <row r="144" spans="2:4" x14ac:dyDescent="0.25">
      <c r="B144" t="s">
        <v>226</v>
      </c>
      <c r="C144" t="s">
        <v>677</v>
      </c>
      <c r="D144"/>
    </row>
    <row r="145" spans="2:4" x14ac:dyDescent="0.25">
      <c r="B145" t="s">
        <v>498</v>
      </c>
      <c r="C145" t="s">
        <v>678</v>
      </c>
      <c r="D145"/>
    </row>
    <row r="146" spans="2:4" x14ac:dyDescent="0.25">
      <c r="B146" t="s">
        <v>499</v>
      </c>
      <c r="C146" t="s">
        <v>679</v>
      </c>
      <c r="D146"/>
    </row>
    <row r="147" spans="2:4" x14ac:dyDescent="0.25">
      <c r="B147" t="s">
        <v>500</v>
      </c>
      <c r="C147" t="s">
        <v>680</v>
      </c>
      <c r="D147"/>
    </row>
    <row r="148" spans="2:4" x14ac:dyDescent="0.25">
      <c r="B148" t="s">
        <v>746</v>
      </c>
      <c r="C148" t="s">
        <v>681</v>
      </c>
      <c r="D148"/>
    </row>
    <row r="149" spans="2:4" x14ac:dyDescent="0.25">
      <c r="B149" t="s">
        <v>53</v>
      </c>
      <c r="C149" t="s">
        <v>682</v>
      </c>
      <c r="D149"/>
    </row>
    <row r="150" spans="2:4" x14ac:dyDescent="0.25">
      <c r="B150" t="s">
        <v>55</v>
      </c>
      <c r="C150" t="s">
        <v>683</v>
      </c>
      <c r="D150"/>
    </row>
    <row r="151" spans="2:4" x14ac:dyDescent="0.25">
      <c r="B151" t="s">
        <v>233</v>
      </c>
      <c r="C151" t="s">
        <v>684</v>
      </c>
      <c r="D151"/>
    </row>
    <row r="152" spans="2:4" x14ac:dyDescent="0.25">
      <c r="B152" t="s">
        <v>235</v>
      </c>
      <c r="C152" t="s">
        <v>685</v>
      </c>
      <c r="D152"/>
    </row>
    <row r="153" spans="2:4" x14ac:dyDescent="0.25">
      <c r="B153" t="s">
        <v>236</v>
      </c>
      <c r="C153" t="s">
        <v>686</v>
      </c>
      <c r="D153"/>
    </row>
    <row r="154" spans="2:4" x14ac:dyDescent="0.25">
      <c r="B154" t="s">
        <v>501</v>
      </c>
      <c r="C154" t="s">
        <v>687</v>
      </c>
      <c r="D154"/>
    </row>
    <row r="155" spans="2:4" x14ac:dyDescent="0.25">
      <c r="B155" t="s">
        <v>238</v>
      </c>
      <c r="C155" t="s">
        <v>688</v>
      </c>
      <c r="D155"/>
    </row>
    <row r="156" spans="2:4" x14ac:dyDescent="0.25">
      <c r="B156" t="s">
        <v>240</v>
      </c>
      <c r="C156" t="s">
        <v>689</v>
      </c>
      <c r="D156"/>
    </row>
    <row r="157" spans="2:4" x14ac:dyDescent="0.25">
      <c r="B157" t="s">
        <v>502</v>
      </c>
      <c r="C157" t="s">
        <v>690</v>
      </c>
      <c r="D157"/>
    </row>
    <row r="158" spans="2:4" x14ac:dyDescent="0.25">
      <c r="B158" t="s">
        <v>503</v>
      </c>
      <c r="C158" t="s">
        <v>691</v>
      </c>
      <c r="D158"/>
    </row>
    <row r="159" spans="2:4" x14ac:dyDescent="0.25">
      <c r="B159" t="s">
        <v>242</v>
      </c>
      <c r="C159" t="s">
        <v>692</v>
      </c>
      <c r="D159"/>
    </row>
    <row r="160" spans="2:4" x14ac:dyDescent="0.25">
      <c r="B160" t="s">
        <v>244</v>
      </c>
      <c r="C160" t="s">
        <v>693</v>
      </c>
      <c r="D160"/>
    </row>
    <row r="161" spans="2:4" x14ac:dyDescent="0.25">
      <c r="B161" t="s">
        <v>245</v>
      </c>
      <c r="C161" t="s">
        <v>694</v>
      </c>
      <c r="D161"/>
    </row>
    <row r="162" spans="2:4" x14ac:dyDescent="0.25">
      <c r="B162" t="s">
        <v>67</v>
      </c>
      <c r="C162" t="s">
        <v>695</v>
      </c>
      <c r="D162"/>
    </row>
    <row r="163" spans="2:4" x14ac:dyDescent="0.25">
      <c r="B163" t="s">
        <v>504</v>
      </c>
      <c r="C163" t="s">
        <v>696</v>
      </c>
      <c r="D163"/>
    </row>
    <row r="164" spans="2:4" x14ac:dyDescent="0.25">
      <c r="B164" t="s">
        <v>505</v>
      </c>
      <c r="C164" t="s">
        <v>697</v>
      </c>
      <c r="D164"/>
    </row>
    <row r="165" spans="2:4" x14ac:dyDescent="0.25">
      <c r="B165" t="s">
        <v>70</v>
      </c>
      <c r="C165" t="s">
        <v>698</v>
      </c>
      <c r="D165"/>
    </row>
    <row r="166" spans="2:4" x14ac:dyDescent="0.25">
      <c r="B166" t="s">
        <v>73</v>
      </c>
      <c r="C166" t="s">
        <v>699</v>
      </c>
      <c r="D166"/>
    </row>
    <row r="167" spans="2:4" x14ac:dyDescent="0.25">
      <c r="B167" t="s">
        <v>506</v>
      </c>
      <c r="C167" t="s">
        <v>700</v>
      </c>
      <c r="D167"/>
    </row>
    <row r="168" spans="2:4" x14ac:dyDescent="0.25">
      <c r="B168" t="s">
        <v>507</v>
      </c>
      <c r="C168" t="s">
        <v>701</v>
      </c>
      <c r="D168"/>
    </row>
    <row r="169" spans="2:4" x14ac:dyDescent="0.25">
      <c r="B169" t="s">
        <v>508</v>
      </c>
      <c r="C169" t="s">
        <v>702</v>
      </c>
      <c r="D169"/>
    </row>
    <row r="170" spans="2:4" x14ac:dyDescent="0.25">
      <c r="B170" t="s">
        <v>509</v>
      </c>
      <c r="C170" t="s">
        <v>703</v>
      </c>
      <c r="D170"/>
    </row>
    <row r="171" spans="2:4" x14ac:dyDescent="0.25">
      <c r="B171" t="s">
        <v>510</v>
      </c>
      <c r="C171" t="s">
        <v>704</v>
      </c>
      <c r="D171"/>
    </row>
    <row r="172" spans="2:4" x14ac:dyDescent="0.25">
      <c r="B172" t="s">
        <v>511</v>
      </c>
      <c r="C172" t="s">
        <v>705</v>
      </c>
      <c r="D172"/>
    </row>
    <row r="173" spans="2:4" x14ac:dyDescent="0.25">
      <c r="B173" t="s">
        <v>512</v>
      </c>
      <c r="C173" t="s">
        <v>706</v>
      </c>
      <c r="D173"/>
    </row>
    <row r="174" spans="2:4" x14ac:dyDescent="0.25">
      <c r="B174" t="s">
        <v>513</v>
      </c>
      <c r="C174" t="s">
        <v>707</v>
      </c>
      <c r="D174"/>
    </row>
    <row r="175" spans="2:4" x14ac:dyDescent="0.25">
      <c r="B175" t="s">
        <v>514</v>
      </c>
      <c r="C175" t="s">
        <v>708</v>
      </c>
      <c r="D175"/>
    </row>
    <row r="176" spans="2:4" x14ac:dyDescent="0.25">
      <c r="B176" t="s">
        <v>515</v>
      </c>
      <c r="C176" t="s">
        <v>709</v>
      </c>
      <c r="D176"/>
    </row>
    <row r="177" spans="2:4" x14ac:dyDescent="0.25">
      <c r="B177" t="s">
        <v>435</v>
      </c>
      <c r="C177" t="s">
        <v>710</v>
      </c>
      <c r="D177"/>
    </row>
    <row r="178" spans="2:4" x14ac:dyDescent="0.25">
      <c r="B178" t="s">
        <v>516</v>
      </c>
      <c r="C178" t="s">
        <v>711</v>
      </c>
      <c r="D178"/>
    </row>
    <row r="179" spans="2:4" x14ac:dyDescent="0.25">
      <c r="B179" t="s">
        <v>517</v>
      </c>
      <c r="C179" t="s">
        <v>712</v>
      </c>
      <c r="D179"/>
    </row>
    <row r="180" spans="2:4" x14ac:dyDescent="0.25">
      <c r="B180" t="s">
        <v>518</v>
      </c>
      <c r="C180" t="s">
        <v>713</v>
      </c>
      <c r="D180"/>
    </row>
    <row r="181" spans="2:4" x14ac:dyDescent="0.25">
      <c r="B181" t="s">
        <v>249</v>
      </c>
      <c r="C181" t="s">
        <v>714</v>
      </c>
      <c r="D181"/>
    </row>
    <row r="182" spans="2:4" x14ac:dyDescent="0.25">
      <c r="B182" t="s">
        <v>252</v>
      </c>
      <c r="C182" t="s">
        <v>715</v>
      </c>
      <c r="D182"/>
    </row>
    <row r="183" spans="2:4" x14ac:dyDescent="0.25">
      <c r="B183" t="s">
        <v>253</v>
      </c>
      <c r="C183" t="s">
        <v>716</v>
      </c>
      <c r="D183"/>
    </row>
    <row r="184" spans="2:4" x14ac:dyDescent="0.25">
      <c r="B184" t="s">
        <v>254</v>
      </c>
      <c r="C184" t="s">
        <v>717</v>
      </c>
      <c r="D184"/>
    </row>
    <row r="185" spans="2:4" x14ac:dyDescent="0.25">
      <c r="B185" t="s">
        <v>519</v>
      </c>
      <c r="C185" t="s">
        <v>718</v>
      </c>
      <c r="D185"/>
    </row>
    <row r="186" spans="2:4" x14ac:dyDescent="0.25">
      <c r="B186" t="s">
        <v>520</v>
      </c>
      <c r="C186" t="s">
        <v>719</v>
      </c>
      <c r="D186"/>
    </row>
    <row r="187" spans="2:4" x14ac:dyDescent="0.25">
      <c r="B187" t="s">
        <v>521</v>
      </c>
      <c r="C187" t="s">
        <v>720</v>
      </c>
      <c r="D187"/>
    </row>
    <row r="188" spans="2:4" x14ac:dyDescent="0.25">
      <c r="B188" t="s">
        <v>522</v>
      </c>
      <c r="C188" t="s">
        <v>721</v>
      </c>
      <c r="D188"/>
    </row>
    <row r="189" spans="2:4" x14ac:dyDescent="0.25">
      <c r="B189" t="s">
        <v>256</v>
      </c>
      <c r="C189" t="s">
        <v>722</v>
      </c>
      <c r="D189"/>
    </row>
    <row r="190" spans="2:4" x14ac:dyDescent="0.25">
      <c r="B190" t="s">
        <v>258</v>
      </c>
      <c r="C190" t="s">
        <v>723</v>
      </c>
      <c r="D190"/>
    </row>
    <row r="191" spans="2:4" x14ac:dyDescent="0.25">
      <c r="B191" t="s">
        <v>523</v>
      </c>
      <c r="C191" t="s">
        <v>724</v>
      </c>
      <c r="D191"/>
    </row>
    <row r="192" spans="2:4" x14ac:dyDescent="0.25">
      <c r="B192" t="s">
        <v>524</v>
      </c>
      <c r="C192" t="s">
        <v>725</v>
      </c>
      <c r="D192"/>
    </row>
    <row r="193" spans="2:4" x14ac:dyDescent="0.25">
      <c r="B193" t="s">
        <v>525</v>
      </c>
      <c r="C193" t="s">
        <v>726</v>
      </c>
      <c r="D193"/>
    </row>
    <row r="194" spans="2:4" x14ac:dyDescent="0.25">
      <c r="B194" t="s">
        <v>259</v>
      </c>
      <c r="C194" t="s">
        <v>727</v>
      </c>
      <c r="D194"/>
    </row>
    <row r="195" spans="2:4" x14ac:dyDescent="0.25">
      <c r="B195" t="s">
        <v>261</v>
      </c>
      <c r="C195" t="s">
        <v>728</v>
      </c>
      <c r="D195"/>
    </row>
    <row r="196" spans="2:4" x14ac:dyDescent="0.25">
      <c r="B196" t="s">
        <v>262</v>
      </c>
      <c r="C196" t="s">
        <v>729</v>
      </c>
      <c r="D196"/>
    </row>
    <row r="197" spans="2:4" x14ac:dyDescent="0.25">
      <c r="B197" t="s">
        <v>263</v>
      </c>
      <c r="C197" t="s">
        <v>730</v>
      </c>
      <c r="D197"/>
    </row>
    <row r="198" spans="2:4" x14ac:dyDescent="0.25">
      <c r="B198" t="s">
        <v>264</v>
      </c>
      <c r="C198" t="s">
        <v>731</v>
      </c>
      <c r="D198"/>
    </row>
    <row r="199" spans="2:4" x14ac:dyDescent="0.25">
      <c r="B199" t="s">
        <v>91</v>
      </c>
      <c r="C199" t="s">
        <v>732</v>
      </c>
      <c r="D199"/>
    </row>
    <row r="200" spans="2:4" x14ac:dyDescent="0.25">
      <c r="B200" t="s">
        <v>526</v>
      </c>
      <c r="C200" t="s">
        <v>733</v>
      </c>
      <c r="D200"/>
    </row>
    <row r="201" spans="2:4" x14ac:dyDescent="0.25">
      <c r="B201" t="s">
        <v>527</v>
      </c>
      <c r="C201" t="s">
        <v>734</v>
      </c>
      <c r="D201"/>
    </row>
    <row r="202" spans="2:4" x14ac:dyDescent="0.25">
      <c r="B202" t="s">
        <v>265</v>
      </c>
      <c r="C202" t="s">
        <v>735</v>
      </c>
      <c r="D202"/>
    </row>
    <row r="203" spans="2:4" x14ac:dyDescent="0.25">
      <c r="B203" t="s">
        <v>93</v>
      </c>
      <c r="C203" t="s">
        <v>736</v>
      </c>
      <c r="D203"/>
    </row>
    <row r="204" spans="2:4" x14ac:dyDescent="0.25">
      <c r="B204" t="s">
        <v>96</v>
      </c>
      <c r="C204" t="s">
        <v>737</v>
      </c>
      <c r="D204"/>
    </row>
    <row r="205" spans="2:4" x14ac:dyDescent="0.25">
      <c r="B205" t="s">
        <v>528</v>
      </c>
      <c r="C205" t="s">
        <v>738</v>
      </c>
      <c r="D205"/>
    </row>
    <row r="206" spans="2:4" x14ac:dyDescent="0.25">
      <c r="B206" t="s">
        <v>195</v>
      </c>
      <c r="C206" t="s">
        <v>739</v>
      </c>
      <c r="D206"/>
    </row>
    <row r="207" spans="2:4" x14ac:dyDescent="0.25">
      <c r="B207"/>
      <c r="C207"/>
      <c r="D20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A9AD9-B713-4BEA-946B-1C93F76C1EDD}">
  <sheetPr codeName="Sheet6">
    <pageSetUpPr fitToPage="1"/>
  </sheetPr>
  <dimension ref="A1:E97"/>
  <sheetViews>
    <sheetView view="pageBreakPreview" zoomScale="40" zoomScaleNormal="10" zoomScaleSheetLayoutView="40" workbookViewId="0">
      <selection activeCell="I68" sqref="I68"/>
    </sheetView>
  </sheetViews>
  <sheetFormatPr defaultRowHeight="15" x14ac:dyDescent="0.25"/>
  <cols>
    <col min="1" max="1" width="12.42578125" customWidth="1"/>
    <col min="2" max="2" width="85.5703125" customWidth="1"/>
    <col min="3" max="3" width="11.5703125" customWidth="1"/>
    <col min="4" max="4" width="13.5703125" customWidth="1"/>
    <col min="5" max="5" width="11.5703125" customWidth="1"/>
  </cols>
  <sheetData>
    <row r="1" spans="1:5" ht="15.75" x14ac:dyDescent="0.25">
      <c r="A1" s="103" t="s">
        <v>269</v>
      </c>
      <c r="B1" s="103"/>
      <c r="C1" s="103"/>
      <c r="D1" s="103"/>
      <c r="E1" s="103"/>
    </row>
    <row r="2" spans="1:5" ht="15.75" customHeight="1" x14ac:dyDescent="0.25">
      <c r="A2" s="103" t="s">
        <v>270</v>
      </c>
      <c r="B2" s="103"/>
      <c r="C2" s="103"/>
      <c r="D2" s="103"/>
      <c r="E2" s="103"/>
    </row>
    <row r="3" spans="1:5" x14ac:dyDescent="0.25">
      <c r="A3" s="41" t="s">
        <v>271</v>
      </c>
      <c r="B3" s="41" t="s">
        <v>272</v>
      </c>
      <c r="C3" s="41" t="s">
        <v>273</v>
      </c>
      <c r="D3" s="41" t="s">
        <v>274</v>
      </c>
      <c r="E3" s="41" t="s">
        <v>275</v>
      </c>
    </row>
    <row r="4" spans="1:5" x14ac:dyDescent="0.25">
      <c r="A4" s="42" t="s">
        <v>276</v>
      </c>
      <c r="B4" s="43" t="s">
        <v>277</v>
      </c>
      <c r="C4" s="44">
        <v>12</v>
      </c>
      <c r="D4" s="44">
        <v>1550551635</v>
      </c>
      <c r="E4" s="44">
        <v>7.7400000000000004E-3</v>
      </c>
    </row>
    <row r="5" spans="1:5" x14ac:dyDescent="0.25">
      <c r="A5" s="42" t="s">
        <v>276</v>
      </c>
      <c r="B5" s="43" t="s">
        <v>278</v>
      </c>
      <c r="C5" s="44">
        <v>3</v>
      </c>
      <c r="D5" s="44">
        <v>1550551635</v>
      </c>
      <c r="E5" s="44">
        <v>1.9300000000000001E-3</v>
      </c>
    </row>
    <row r="6" spans="1:5" x14ac:dyDescent="0.25">
      <c r="A6" s="42" t="s">
        <v>276</v>
      </c>
      <c r="B6" s="43" t="s">
        <v>279</v>
      </c>
      <c r="C6" s="44">
        <v>129</v>
      </c>
      <c r="D6" s="44">
        <v>1550551635</v>
      </c>
      <c r="E6" s="44">
        <v>8.3199999999999996E-2</v>
      </c>
    </row>
    <row r="7" spans="1:5" x14ac:dyDescent="0.25">
      <c r="A7" s="42" t="s">
        <v>276</v>
      </c>
      <c r="B7" s="43" t="s">
        <v>280</v>
      </c>
      <c r="C7" s="44">
        <v>9</v>
      </c>
      <c r="D7" s="44">
        <v>1550551635</v>
      </c>
      <c r="E7" s="44">
        <v>5.7999999999999996E-3</v>
      </c>
    </row>
    <row r="8" spans="1:5" x14ac:dyDescent="0.25">
      <c r="A8" s="42" t="s">
        <v>276</v>
      </c>
      <c r="B8" s="43" t="s">
        <v>281</v>
      </c>
      <c r="C8" s="44">
        <v>9</v>
      </c>
      <c r="D8" s="44">
        <v>1550551635</v>
      </c>
      <c r="E8" s="44">
        <v>5.7999999999999996E-3</v>
      </c>
    </row>
    <row r="9" spans="1:5" x14ac:dyDescent="0.25">
      <c r="A9" s="42" t="s">
        <v>276</v>
      </c>
      <c r="B9" s="43" t="s">
        <v>282</v>
      </c>
      <c r="C9" s="44">
        <v>5</v>
      </c>
      <c r="D9" s="44">
        <v>1550551635</v>
      </c>
      <c r="E9" s="44">
        <v>3.2200000000000002E-3</v>
      </c>
    </row>
    <row r="10" spans="1:5" x14ac:dyDescent="0.25">
      <c r="A10" s="42" t="s">
        <v>276</v>
      </c>
      <c r="B10" s="43" t="s">
        <v>283</v>
      </c>
      <c r="C10" s="44">
        <v>4</v>
      </c>
      <c r="D10" s="44">
        <v>1550551635</v>
      </c>
      <c r="E10" s="44">
        <v>2.5799999999999998E-3</v>
      </c>
    </row>
    <row r="11" spans="1:5" x14ac:dyDescent="0.25">
      <c r="A11" s="42" t="s">
        <v>276</v>
      </c>
      <c r="B11" s="43" t="s">
        <v>284</v>
      </c>
      <c r="C11" s="44">
        <v>2</v>
      </c>
      <c r="D11" s="44">
        <v>1550551635</v>
      </c>
      <c r="E11" s="44">
        <v>1.2899999999999999E-3</v>
      </c>
    </row>
    <row r="12" spans="1:5" x14ac:dyDescent="0.25">
      <c r="A12" s="42" t="s">
        <v>276</v>
      </c>
      <c r="B12" s="43" t="s">
        <v>285</v>
      </c>
      <c r="C12" s="44">
        <v>83</v>
      </c>
      <c r="D12" s="44">
        <v>1550551635</v>
      </c>
      <c r="E12" s="44">
        <v>5.3530000000000001E-2</v>
      </c>
    </row>
    <row r="13" spans="1:5" x14ac:dyDescent="0.25">
      <c r="A13" s="42" t="s">
        <v>276</v>
      </c>
      <c r="B13" s="43" t="s">
        <v>286</v>
      </c>
      <c r="C13" s="44">
        <v>1</v>
      </c>
      <c r="D13" s="44">
        <v>1550551635</v>
      </c>
      <c r="E13" s="44">
        <v>6.4000000000000005E-4</v>
      </c>
    </row>
    <row r="14" spans="1:5" x14ac:dyDescent="0.25">
      <c r="A14" s="42" t="s">
        <v>276</v>
      </c>
      <c r="B14" s="43" t="s">
        <v>287</v>
      </c>
      <c r="C14" s="44">
        <v>2</v>
      </c>
      <c r="D14" s="44">
        <v>1550551635</v>
      </c>
      <c r="E14" s="44">
        <v>1.2899999999999999E-3</v>
      </c>
    </row>
    <row r="15" spans="1:5" x14ac:dyDescent="0.25">
      <c r="A15" s="42" t="s">
        <v>276</v>
      </c>
      <c r="B15" s="43" t="s">
        <v>288</v>
      </c>
      <c r="C15" s="44">
        <v>1</v>
      </c>
      <c r="D15" s="44">
        <v>1550551635</v>
      </c>
      <c r="E15" s="44">
        <v>6.4000000000000005E-4</v>
      </c>
    </row>
    <row r="16" spans="1:5" x14ac:dyDescent="0.25">
      <c r="A16" s="42" t="s">
        <v>276</v>
      </c>
      <c r="B16" s="43" t="s">
        <v>289</v>
      </c>
      <c r="C16" s="44">
        <v>14</v>
      </c>
      <c r="D16" s="44">
        <v>1550551635</v>
      </c>
      <c r="E16" s="44">
        <v>9.0299999999999998E-3</v>
      </c>
    </row>
    <row r="17" spans="1:5" x14ac:dyDescent="0.25">
      <c r="A17" s="42" t="s">
        <v>276</v>
      </c>
      <c r="B17" s="43" t="s">
        <v>290</v>
      </c>
      <c r="C17" s="44">
        <v>3</v>
      </c>
      <c r="D17" s="44">
        <v>1550551635</v>
      </c>
      <c r="E17" s="44">
        <v>1.9300000000000001E-3</v>
      </c>
    </row>
    <row r="18" spans="1:5" x14ac:dyDescent="0.25">
      <c r="A18" s="42" t="s">
        <v>276</v>
      </c>
      <c r="B18" s="43" t="s">
        <v>291</v>
      </c>
      <c r="C18" s="44">
        <v>6</v>
      </c>
      <c r="D18" s="44">
        <v>1550551635</v>
      </c>
      <c r="E18" s="44">
        <v>3.8700000000000002E-3</v>
      </c>
    </row>
    <row r="19" spans="1:5" x14ac:dyDescent="0.25">
      <c r="A19" s="42" t="s">
        <v>276</v>
      </c>
      <c r="B19" s="43" t="s">
        <v>292</v>
      </c>
      <c r="C19" s="44">
        <v>109</v>
      </c>
      <c r="D19" s="44">
        <v>1550551635</v>
      </c>
      <c r="E19" s="44">
        <v>7.0300000000000001E-2</v>
      </c>
    </row>
    <row r="20" spans="1:5" x14ac:dyDescent="0.25">
      <c r="A20" s="42" t="s">
        <v>276</v>
      </c>
      <c r="B20" s="43" t="s">
        <v>293</v>
      </c>
      <c r="C20" s="44">
        <v>81</v>
      </c>
      <c r="D20" s="44">
        <v>1550551635</v>
      </c>
      <c r="E20" s="44">
        <v>5.2240000000000002E-2</v>
      </c>
    </row>
    <row r="21" spans="1:5" x14ac:dyDescent="0.25">
      <c r="A21" s="42" t="s">
        <v>276</v>
      </c>
      <c r="B21" s="43" t="s">
        <v>294</v>
      </c>
      <c r="C21" s="44">
        <v>11</v>
      </c>
      <c r="D21" s="44">
        <v>1550551635</v>
      </c>
      <c r="E21" s="44">
        <v>7.0899999999999999E-3</v>
      </c>
    </row>
    <row r="22" spans="1:5" x14ac:dyDescent="0.25">
      <c r="A22" s="42" t="s">
        <v>276</v>
      </c>
      <c r="B22" s="43" t="s">
        <v>295</v>
      </c>
      <c r="C22" s="44">
        <v>4</v>
      </c>
      <c r="D22" s="44">
        <v>1550551635</v>
      </c>
      <c r="E22" s="44">
        <v>2.5799999999999998E-3</v>
      </c>
    </row>
    <row r="23" spans="1:5" x14ac:dyDescent="0.25">
      <c r="A23" s="42" t="s">
        <v>276</v>
      </c>
      <c r="B23" s="43" t="s">
        <v>296</v>
      </c>
      <c r="C23" s="44">
        <v>822</v>
      </c>
      <c r="D23" s="44">
        <v>1550551635</v>
      </c>
      <c r="E23" s="44">
        <v>0.53012999999999999</v>
      </c>
    </row>
    <row r="24" spans="1:5" x14ac:dyDescent="0.25">
      <c r="A24" s="42" t="s">
        <v>276</v>
      </c>
      <c r="B24" s="43" t="s">
        <v>297</v>
      </c>
      <c r="C24" s="44">
        <v>124</v>
      </c>
      <c r="D24" s="44">
        <v>1550551635</v>
      </c>
      <c r="E24" s="44">
        <v>7.9969999999999999E-2</v>
      </c>
    </row>
    <row r="25" spans="1:5" x14ac:dyDescent="0.25">
      <c r="A25" s="42" t="s">
        <v>276</v>
      </c>
      <c r="B25" s="43" t="s">
        <v>298</v>
      </c>
      <c r="C25" s="44">
        <v>303</v>
      </c>
      <c r="D25" s="44">
        <v>1550551635</v>
      </c>
      <c r="E25" s="44">
        <v>0.19541</v>
      </c>
    </row>
    <row r="26" spans="1:5" x14ac:dyDescent="0.25">
      <c r="A26" s="42" t="s">
        <v>276</v>
      </c>
      <c r="B26" s="43" t="s">
        <v>299</v>
      </c>
      <c r="C26" s="44">
        <v>49</v>
      </c>
      <c r="D26" s="44">
        <v>1550551635</v>
      </c>
      <c r="E26" s="44">
        <v>3.1600000000000003E-2</v>
      </c>
    </row>
    <row r="27" spans="1:5" x14ac:dyDescent="0.25">
      <c r="A27" s="42" t="s">
        <v>276</v>
      </c>
      <c r="B27" s="43" t="s">
        <v>300</v>
      </c>
      <c r="C27" s="44">
        <v>3450</v>
      </c>
      <c r="D27" s="44">
        <v>1550551635</v>
      </c>
      <c r="E27" s="44">
        <v>2.2250100000000002</v>
      </c>
    </row>
    <row r="28" spans="1:5" x14ac:dyDescent="0.25">
      <c r="A28" s="42" t="s">
        <v>276</v>
      </c>
      <c r="B28" s="43" t="s">
        <v>301</v>
      </c>
      <c r="C28" s="44">
        <v>98</v>
      </c>
      <c r="D28" s="44">
        <v>1550551635</v>
      </c>
      <c r="E28" s="44">
        <v>6.3200000000000006E-2</v>
      </c>
    </row>
    <row r="29" spans="1:5" x14ac:dyDescent="0.25">
      <c r="A29" s="42" t="s">
        <v>276</v>
      </c>
      <c r="B29" s="43" t="s">
        <v>302</v>
      </c>
      <c r="C29" s="44">
        <v>378</v>
      </c>
      <c r="D29" s="44">
        <v>1550551635</v>
      </c>
      <c r="E29" s="44">
        <v>0.24378</v>
      </c>
    </row>
    <row r="30" spans="1:5" x14ac:dyDescent="0.25">
      <c r="A30" s="42" t="s">
        <v>276</v>
      </c>
      <c r="B30" s="43" t="s">
        <v>303</v>
      </c>
      <c r="C30" s="44">
        <v>584</v>
      </c>
      <c r="D30" s="44">
        <v>1550551635</v>
      </c>
      <c r="E30" s="44">
        <v>0.37663999999999997</v>
      </c>
    </row>
    <row r="31" spans="1:5" x14ac:dyDescent="0.25">
      <c r="A31" s="42" t="s">
        <v>276</v>
      </c>
      <c r="B31" s="43" t="s">
        <v>304</v>
      </c>
      <c r="C31" s="44">
        <v>243</v>
      </c>
      <c r="D31" s="44">
        <v>1550551635</v>
      </c>
      <c r="E31" s="44">
        <v>0.15672</v>
      </c>
    </row>
    <row r="32" spans="1:5" x14ac:dyDescent="0.25">
      <c r="A32" s="42" t="s">
        <v>276</v>
      </c>
      <c r="B32" s="43" t="s">
        <v>305</v>
      </c>
      <c r="C32" s="44">
        <v>3</v>
      </c>
      <c r="D32" s="44">
        <v>1550551635</v>
      </c>
      <c r="E32" s="44">
        <v>1.9300000000000001E-3</v>
      </c>
    </row>
    <row r="33" spans="1:5" x14ac:dyDescent="0.25">
      <c r="A33" s="42" t="s">
        <v>276</v>
      </c>
      <c r="B33" s="43" t="s">
        <v>306</v>
      </c>
      <c r="C33" s="44">
        <v>5</v>
      </c>
      <c r="D33" s="44">
        <v>1550551635</v>
      </c>
      <c r="E33" s="44">
        <v>3.2200000000000002E-3</v>
      </c>
    </row>
    <row r="34" spans="1:5" x14ac:dyDescent="0.25">
      <c r="A34" s="42" t="s">
        <v>276</v>
      </c>
      <c r="B34" s="43" t="s">
        <v>307</v>
      </c>
      <c r="C34" s="44">
        <v>5</v>
      </c>
      <c r="D34" s="44">
        <v>1550551635</v>
      </c>
      <c r="E34" s="44">
        <v>3.2200000000000002E-3</v>
      </c>
    </row>
    <row r="35" spans="1:5" x14ac:dyDescent="0.25">
      <c r="A35" s="42" t="s">
        <v>276</v>
      </c>
      <c r="B35" s="43" t="s">
        <v>308</v>
      </c>
      <c r="C35" s="44">
        <v>32</v>
      </c>
      <c r="D35" s="44">
        <v>1550551635</v>
      </c>
      <c r="E35" s="44">
        <v>2.0639999999999999E-2</v>
      </c>
    </row>
    <row r="36" spans="1:5" x14ac:dyDescent="0.25">
      <c r="A36" s="42" t="s">
        <v>276</v>
      </c>
      <c r="B36" s="43" t="s">
        <v>309</v>
      </c>
      <c r="C36" s="44">
        <v>38</v>
      </c>
      <c r="D36" s="44">
        <v>1550551635</v>
      </c>
      <c r="E36" s="44">
        <v>2.4510000000000001E-2</v>
      </c>
    </row>
    <row r="37" spans="1:5" x14ac:dyDescent="0.25">
      <c r="A37" s="42" t="s">
        <v>276</v>
      </c>
      <c r="B37" s="43" t="s">
        <v>310</v>
      </c>
      <c r="C37" s="44">
        <v>596</v>
      </c>
      <c r="D37" s="44">
        <v>1550551635</v>
      </c>
      <c r="E37" s="44">
        <v>0.38438</v>
      </c>
    </row>
    <row r="38" spans="1:5" x14ac:dyDescent="0.25">
      <c r="A38" s="42" t="s">
        <v>276</v>
      </c>
      <c r="B38" s="43" t="s">
        <v>311</v>
      </c>
      <c r="C38" s="44">
        <v>179</v>
      </c>
      <c r="D38" s="44">
        <v>1550551635</v>
      </c>
      <c r="E38" s="44">
        <v>0.11544</v>
      </c>
    </row>
    <row r="39" spans="1:5" x14ac:dyDescent="0.25">
      <c r="A39" s="42" t="s">
        <v>276</v>
      </c>
      <c r="B39" s="43" t="s">
        <v>312</v>
      </c>
      <c r="C39" s="44">
        <v>5</v>
      </c>
      <c r="D39" s="44">
        <v>1550551635</v>
      </c>
      <c r="E39" s="44">
        <v>3.2200000000000002E-3</v>
      </c>
    </row>
    <row r="40" spans="1:5" x14ac:dyDescent="0.25">
      <c r="A40" s="42" t="s">
        <v>276</v>
      </c>
      <c r="B40" s="43" t="s">
        <v>313</v>
      </c>
      <c r="C40" s="44">
        <v>6</v>
      </c>
      <c r="D40" s="44">
        <v>1550551635</v>
      </c>
      <c r="E40" s="44">
        <v>3.8700000000000002E-3</v>
      </c>
    </row>
    <row r="41" spans="1:5" x14ac:dyDescent="0.25">
      <c r="A41" s="42" t="s">
        <v>276</v>
      </c>
      <c r="B41" s="43" t="s">
        <v>314</v>
      </c>
      <c r="C41" s="44">
        <v>153</v>
      </c>
      <c r="D41" s="44">
        <v>1550551635</v>
      </c>
      <c r="E41" s="44">
        <v>9.8669999999999994E-2</v>
      </c>
    </row>
    <row r="42" spans="1:5" x14ac:dyDescent="0.25">
      <c r="A42" s="42" t="s">
        <v>276</v>
      </c>
      <c r="B42" s="43" t="s">
        <v>315</v>
      </c>
      <c r="C42" s="44">
        <v>52</v>
      </c>
      <c r="D42" s="44">
        <v>1550551635</v>
      </c>
      <c r="E42" s="44">
        <v>3.354E-2</v>
      </c>
    </row>
    <row r="43" spans="1:5" x14ac:dyDescent="0.25">
      <c r="A43" s="42" t="s">
        <v>276</v>
      </c>
      <c r="B43" s="43" t="s">
        <v>316</v>
      </c>
      <c r="C43" s="44">
        <v>177</v>
      </c>
      <c r="D43" s="44">
        <v>1550551635</v>
      </c>
      <c r="E43" s="44">
        <v>0.11415</v>
      </c>
    </row>
    <row r="44" spans="1:5" x14ac:dyDescent="0.25">
      <c r="A44" s="42" t="s">
        <v>276</v>
      </c>
      <c r="B44" s="43" t="s">
        <v>317</v>
      </c>
      <c r="C44" s="44">
        <v>28</v>
      </c>
      <c r="D44" s="44">
        <v>1550551635</v>
      </c>
      <c r="E44" s="44">
        <v>1.806E-2</v>
      </c>
    </row>
    <row r="45" spans="1:5" x14ac:dyDescent="0.25">
      <c r="A45" s="42" t="s">
        <v>276</v>
      </c>
      <c r="B45" s="43" t="s">
        <v>318</v>
      </c>
      <c r="C45" s="44">
        <v>86</v>
      </c>
      <c r="D45" s="44">
        <v>1550551635</v>
      </c>
      <c r="E45" s="44">
        <v>5.5460000000000002E-2</v>
      </c>
    </row>
    <row r="46" spans="1:5" x14ac:dyDescent="0.25">
      <c r="A46" s="42" t="s">
        <v>276</v>
      </c>
      <c r="B46" s="43" t="s">
        <v>319</v>
      </c>
      <c r="C46" s="44">
        <v>13</v>
      </c>
      <c r="D46" s="44">
        <v>1550551635</v>
      </c>
      <c r="E46" s="44">
        <v>8.3800000000000003E-3</v>
      </c>
    </row>
    <row r="47" spans="1:5" x14ac:dyDescent="0.25">
      <c r="A47" s="42" t="s">
        <v>276</v>
      </c>
      <c r="B47" s="43" t="s">
        <v>320</v>
      </c>
      <c r="C47" s="44">
        <v>16</v>
      </c>
      <c r="D47" s="44">
        <v>1550551635</v>
      </c>
      <c r="E47" s="44">
        <v>1.0319999999999999E-2</v>
      </c>
    </row>
    <row r="48" spans="1:5" x14ac:dyDescent="0.25">
      <c r="A48" s="42" t="s">
        <v>276</v>
      </c>
      <c r="B48" s="43" t="s">
        <v>321</v>
      </c>
      <c r="C48" s="44">
        <v>387</v>
      </c>
      <c r="D48" s="44">
        <v>1550551635</v>
      </c>
      <c r="E48" s="44">
        <v>0.24959000000000001</v>
      </c>
    </row>
    <row r="49" spans="1:5" x14ac:dyDescent="0.25">
      <c r="A49" s="42" t="s">
        <v>276</v>
      </c>
      <c r="B49" s="43" t="s">
        <v>322</v>
      </c>
      <c r="C49" s="44">
        <v>39</v>
      </c>
      <c r="D49" s="44">
        <v>1550551635</v>
      </c>
      <c r="E49" s="44">
        <v>2.5149999999999999E-2</v>
      </c>
    </row>
    <row r="50" spans="1:5" x14ac:dyDescent="0.25">
      <c r="A50" s="42" t="s">
        <v>276</v>
      </c>
      <c r="B50" s="43" t="s">
        <v>323</v>
      </c>
      <c r="C50" s="44">
        <v>37</v>
      </c>
      <c r="D50" s="44">
        <v>1550551635</v>
      </c>
      <c r="E50" s="44">
        <v>2.3859999999999999E-2</v>
      </c>
    </row>
    <row r="51" spans="1:5" x14ac:dyDescent="0.25">
      <c r="A51" s="42" t="s">
        <v>276</v>
      </c>
      <c r="B51" s="43" t="s">
        <v>324</v>
      </c>
      <c r="C51" s="44">
        <v>617</v>
      </c>
      <c r="D51" s="44">
        <v>1550551635</v>
      </c>
      <c r="E51" s="44">
        <v>0.39792</v>
      </c>
    </row>
    <row r="52" spans="1:5" x14ac:dyDescent="0.25">
      <c r="A52" s="42" t="s">
        <v>276</v>
      </c>
      <c r="B52" s="43" t="s">
        <v>325</v>
      </c>
      <c r="C52" s="44">
        <v>19</v>
      </c>
      <c r="D52" s="44">
        <v>1550551635</v>
      </c>
      <c r="E52" s="44">
        <v>1.225E-2</v>
      </c>
    </row>
    <row r="53" spans="1:5" x14ac:dyDescent="0.25">
      <c r="A53" s="42" t="s">
        <v>276</v>
      </c>
      <c r="B53" s="43" t="s">
        <v>326</v>
      </c>
      <c r="C53" s="44">
        <v>7</v>
      </c>
      <c r="D53" s="44">
        <v>1550551635</v>
      </c>
      <c r="E53" s="44">
        <v>4.5100000000000001E-3</v>
      </c>
    </row>
    <row r="54" spans="1:5" x14ac:dyDescent="0.25">
      <c r="A54" s="42" t="s">
        <v>276</v>
      </c>
      <c r="B54" s="43" t="s">
        <v>327</v>
      </c>
      <c r="C54" s="44">
        <v>26</v>
      </c>
      <c r="D54" s="44">
        <v>1550551635</v>
      </c>
      <c r="E54" s="44">
        <v>1.677E-2</v>
      </c>
    </row>
    <row r="55" spans="1:5" x14ac:dyDescent="0.25">
      <c r="A55" s="42" t="s">
        <v>276</v>
      </c>
      <c r="B55" s="43" t="s">
        <v>328</v>
      </c>
      <c r="C55" s="44">
        <v>140</v>
      </c>
      <c r="D55" s="44">
        <v>1550551635</v>
      </c>
      <c r="E55" s="44">
        <v>9.0289999999999995E-2</v>
      </c>
    </row>
    <row r="56" spans="1:5" x14ac:dyDescent="0.25">
      <c r="A56" s="42" t="s">
        <v>276</v>
      </c>
      <c r="B56" s="43" t="s">
        <v>329</v>
      </c>
      <c r="C56" s="44">
        <v>36</v>
      </c>
      <c r="D56" s="44">
        <v>1550551635</v>
      </c>
      <c r="E56" s="44">
        <v>2.3220000000000001E-2</v>
      </c>
    </row>
    <row r="57" spans="1:5" x14ac:dyDescent="0.25">
      <c r="A57" s="42" t="s">
        <v>276</v>
      </c>
      <c r="B57" s="43" t="s">
        <v>330</v>
      </c>
      <c r="C57" s="44">
        <v>17</v>
      </c>
      <c r="D57" s="44">
        <v>1550551635</v>
      </c>
      <c r="E57" s="44">
        <v>1.0959999999999999E-2</v>
      </c>
    </row>
    <row r="58" spans="1:5" x14ac:dyDescent="0.25">
      <c r="A58" s="42" t="s">
        <v>276</v>
      </c>
      <c r="B58" s="43" t="s">
        <v>331</v>
      </c>
      <c r="C58" s="44">
        <v>98</v>
      </c>
      <c r="D58" s="44">
        <v>1550551635</v>
      </c>
      <c r="E58" s="44">
        <v>6.3200000000000006E-2</v>
      </c>
    </row>
    <row r="59" spans="1:5" x14ac:dyDescent="0.25">
      <c r="A59" s="42" t="s">
        <v>276</v>
      </c>
      <c r="B59" s="43" t="s">
        <v>332</v>
      </c>
      <c r="C59" s="44">
        <v>78</v>
      </c>
      <c r="D59" s="44">
        <v>1550551635</v>
      </c>
      <c r="E59" s="44">
        <v>5.0299999999999997E-2</v>
      </c>
    </row>
    <row r="60" spans="1:5" x14ac:dyDescent="0.25">
      <c r="A60" s="42" t="s">
        <v>276</v>
      </c>
      <c r="B60" s="43" t="s">
        <v>333</v>
      </c>
      <c r="C60" s="44">
        <v>206</v>
      </c>
      <c r="D60" s="44">
        <v>1550551635</v>
      </c>
      <c r="E60" s="44">
        <v>0.13286000000000001</v>
      </c>
    </row>
    <row r="61" spans="1:5" x14ac:dyDescent="0.25">
      <c r="A61" s="42" t="s">
        <v>276</v>
      </c>
      <c r="B61" s="43" t="s">
        <v>334</v>
      </c>
      <c r="C61" s="44">
        <v>502</v>
      </c>
      <c r="D61" s="44">
        <v>1550551635</v>
      </c>
      <c r="E61" s="44">
        <v>0.32375999999999999</v>
      </c>
    </row>
    <row r="62" spans="1:5" x14ac:dyDescent="0.25">
      <c r="A62" s="42" t="s">
        <v>276</v>
      </c>
      <c r="B62" s="43" t="s">
        <v>335</v>
      </c>
      <c r="C62" s="44">
        <v>39</v>
      </c>
      <c r="D62" s="44">
        <v>1550551635</v>
      </c>
      <c r="E62" s="44">
        <v>2.5149999999999999E-2</v>
      </c>
    </row>
    <row r="63" spans="1:5" x14ac:dyDescent="0.25">
      <c r="A63" s="42" t="s">
        <v>276</v>
      </c>
      <c r="B63" s="43" t="s">
        <v>336</v>
      </c>
      <c r="C63" s="44">
        <v>2</v>
      </c>
      <c r="D63" s="44">
        <v>1550551635</v>
      </c>
      <c r="E63" s="44">
        <v>1.2899999999999999E-3</v>
      </c>
    </row>
    <row r="64" spans="1:5" x14ac:dyDescent="0.25">
      <c r="A64" s="42" t="s">
        <v>276</v>
      </c>
      <c r="B64" s="43" t="s">
        <v>337</v>
      </c>
      <c r="C64" s="44">
        <v>2</v>
      </c>
      <c r="D64" s="44">
        <v>1550551635</v>
      </c>
      <c r="E64" s="44">
        <v>1.2899999999999999E-3</v>
      </c>
    </row>
    <row r="65" spans="1:5" x14ac:dyDescent="0.25">
      <c r="A65" s="42" t="s">
        <v>276</v>
      </c>
      <c r="B65" s="43" t="s">
        <v>338</v>
      </c>
      <c r="C65" s="44">
        <v>7</v>
      </c>
      <c r="D65" s="44">
        <v>1550551635</v>
      </c>
      <c r="E65" s="44">
        <v>4.5100000000000001E-3</v>
      </c>
    </row>
    <row r="66" spans="1:5" x14ac:dyDescent="0.25">
      <c r="A66" s="42" t="s">
        <v>276</v>
      </c>
      <c r="B66" s="43" t="s">
        <v>339</v>
      </c>
      <c r="C66" s="44">
        <v>10</v>
      </c>
      <c r="D66" s="44">
        <v>1550551635</v>
      </c>
      <c r="E66" s="44">
        <v>6.45E-3</v>
      </c>
    </row>
    <row r="67" spans="1:5" x14ac:dyDescent="0.25">
      <c r="A67" s="42" t="s">
        <v>276</v>
      </c>
      <c r="B67" s="43" t="s">
        <v>340</v>
      </c>
      <c r="C67" s="44">
        <v>11</v>
      </c>
      <c r="D67" s="44">
        <v>1550551635</v>
      </c>
      <c r="E67" s="44">
        <v>7.0899999999999999E-3</v>
      </c>
    </row>
    <row r="68" spans="1:5" x14ac:dyDescent="0.25">
      <c r="A68" s="42" t="s">
        <v>276</v>
      </c>
      <c r="B68" s="43" t="s">
        <v>341</v>
      </c>
      <c r="C68" s="44">
        <v>15</v>
      </c>
      <c r="D68" s="44">
        <v>1550551635</v>
      </c>
      <c r="E68" s="44">
        <v>9.6699999999999998E-3</v>
      </c>
    </row>
    <row r="69" spans="1:5" x14ac:dyDescent="0.25">
      <c r="A69" s="42" t="s">
        <v>276</v>
      </c>
      <c r="B69" s="43" t="s">
        <v>342</v>
      </c>
      <c r="C69" s="44">
        <v>28</v>
      </c>
      <c r="D69" s="44">
        <v>1550551635</v>
      </c>
      <c r="E69" s="44">
        <v>1.806E-2</v>
      </c>
    </row>
    <row r="70" spans="1:5" x14ac:dyDescent="0.25">
      <c r="A70" s="42" t="s">
        <v>276</v>
      </c>
      <c r="B70" s="43" t="s">
        <v>343</v>
      </c>
      <c r="C70" s="44">
        <v>96</v>
      </c>
      <c r="D70" s="44">
        <v>1550551635</v>
      </c>
      <c r="E70" s="44">
        <v>6.191E-2</v>
      </c>
    </row>
    <row r="71" spans="1:5" x14ac:dyDescent="0.25">
      <c r="A71" s="42" t="s">
        <v>276</v>
      </c>
      <c r="B71" s="43" t="s">
        <v>344</v>
      </c>
      <c r="C71" s="44">
        <v>15</v>
      </c>
      <c r="D71" s="44">
        <v>1550551635</v>
      </c>
      <c r="E71" s="44">
        <v>9.6699999999999998E-3</v>
      </c>
    </row>
    <row r="72" spans="1:5" x14ac:dyDescent="0.25">
      <c r="A72" s="42" t="s">
        <v>276</v>
      </c>
      <c r="B72" s="43" t="s">
        <v>345</v>
      </c>
      <c r="C72" s="44">
        <v>4</v>
      </c>
      <c r="D72" s="44">
        <v>1550551635</v>
      </c>
      <c r="E72" s="44">
        <v>2.5799999999999998E-3</v>
      </c>
    </row>
    <row r="73" spans="1:5" x14ac:dyDescent="0.25">
      <c r="A73" s="42" t="s">
        <v>276</v>
      </c>
      <c r="B73" s="43" t="s">
        <v>346</v>
      </c>
      <c r="C73" s="44">
        <v>5</v>
      </c>
      <c r="D73" s="44">
        <v>1550551635</v>
      </c>
      <c r="E73" s="44">
        <v>3.2200000000000002E-3</v>
      </c>
    </row>
    <row r="74" spans="1:5" x14ac:dyDescent="0.25">
      <c r="A74" s="42" t="s">
        <v>276</v>
      </c>
      <c r="B74" s="43" t="s">
        <v>347</v>
      </c>
      <c r="C74" s="44">
        <v>19</v>
      </c>
      <c r="D74" s="44">
        <v>1550551635</v>
      </c>
      <c r="E74" s="44">
        <v>1.225E-2</v>
      </c>
    </row>
    <row r="75" spans="1:5" x14ac:dyDescent="0.25">
      <c r="A75" s="42" t="s">
        <v>276</v>
      </c>
      <c r="B75" s="43" t="s">
        <v>348</v>
      </c>
      <c r="C75" s="44">
        <v>70</v>
      </c>
      <c r="D75" s="44">
        <v>1550551635</v>
      </c>
      <c r="E75" s="44">
        <v>4.5150000000000003E-2</v>
      </c>
    </row>
    <row r="76" spans="1:5" x14ac:dyDescent="0.25">
      <c r="A76" s="42" t="s">
        <v>276</v>
      </c>
      <c r="B76" s="43" t="s">
        <v>349</v>
      </c>
      <c r="C76" s="44">
        <v>180</v>
      </c>
      <c r="D76" s="44">
        <v>1550551635</v>
      </c>
      <c r="E76" s="44">
        <v>0.11609</v>
      </c>
    </row>
    <row r="77" spans="1:5" x14ac:dyDescent="0.25">
      <c r="A77" s="42" t="s">
        <v>276</v>
      </c>
      <c r="B77" s="43" t="s">
        <v>350</v>
      </c>
      <c r="C77" s="44">
        <v>2</v>
      </c>
      <c r="D77" s="44">
        <v>1550551635</v>
      </c>
      <c r="E77" s="44">
        <v>1.2899999999999999E-3</v>
      </c>
    </row>
    <row r="78" spans="1:5" x14ac:dyDescent="0.25">
      <c r="A78" s="42" t="s">
        <v>276</v>
      </c>
      <c r="B78" s="43" t="s">
        <v>351</v>
      </c>
      <c r="C78" s="44">
        <v>24</v>
      </c>
      <c r="D78" s="44">
        <v>1550551635</v>
      </c>
      <c r="E78" s="44">
        <v>1.5480000000000001E-2</v>
      </c>
    </row>
    <row r="79" spans="1:5" x14ac:dyDescent="0.25">
      <c r="A79" s="42" t="s">
        <v>276</v>
      </c>
      <c r="B79" s="43" t="s">
        <v>352</v>
      </c>
      <c r="C79" s="44">
        <v>97</v>
      </c>
      <c r="D79" s="44">
        <v>1550551635</v>
      </c>
      <c r="E79" s="44">
        <v>6.2560000000000004E-2</v>
      </c>
    </row>
    <row r="80" spans="1:5" x14ac:dyDescent="0.25">
      <c r="A80" s="42" t="s">
        <v>276</v>
      </c>
      <c r="B80" s="43" t="s">
        <v>353</v>
      </c>
      <c r="C80" s="44">
        <v>42</v>
      </c>
      <c r="D80" s="44">
        <v>1550551635</v>
      </c>
      <c r="E80" s="44">
        <v>2.7089999999999999E-2</v>
      </c>
    </row>
    <row r="81" spans="1:5" x14ac:dyDescent="0.25">
      <c r="A81" s="42" t="s">
        <v>276</v>
      </c>
      <c r="B81" s="43" t="s">
        <v>354</v>
      </c>
      <c r="C81" s="44">
        <v>107</v>
      </c>
      <c r="D81" s="44">
        <v>1550551635</v>
      </c>
      <c r="E81" s="44">
        <v>6.9010000000000002E-2</v>
      </c>
    </row>
    <row r="82" spans="1:5" x14ac:dyDescent="0.25">
      <c r="A82" s="42" t="s">
        <v>276</v>
      </c>
      <c r="B82" s="43" t="s">
        <v>355</v>
      </c>
      <c r="C82" s="44">
        <v>255</v>
      </c>
      <c r="D82" s="44">
        <v>1550551635</v>
      </c>
      <c r="E82" s="44">
        <v>0.16446</v>
      </c>
    </row>
    <row r="83" spans="1:5" x14ac:dyDescent="0.25">
      <c r="A83" s="42" t="s">
        <v>276</v>
      </c>
      <c r="B83" s="43" t="s">
        <v>356</v>
      </c>
      <c r="C83" s="44">
        <v>67</v>
      </c>
      <c r="D83" s="44">
        <v>1550551635</v>
      </c>
      <c r="E83" s="44">
        <v>4.3209999999999998E-2</v>
      </c>
    </row>
    <row r="84" spans="1:5" x14ac:dyDescent="0.25">
      <c r="A84" s="42" t="s">
        <v>276</v>
      </c>
      <c r="B84" s="43" t="s">
        <v>357</v>
      </c>
      <c r="C84" s="44">
        <v>3</v>
      </c>
      <c r="D84" s="44">
        <v>1550551635</v>
      </c>
      <c r="E84" s="44">
        <v>1.9300000000000001E-3</v>
      </c>
    </row>
    <row r="85" spans="1:5" x14ac:dyDescent="0.25">
      <c r="A85" s="42" t="s">
        <v>276</v>
      </c>
      <c r="B85" s="43" t="s">
        <v>358</v>
      </c>
      <c r="C85" s="44">
        <v>6</v>
      </c>
      <c r="D85" s="44">
        <v>1550551635</v>
      </c>
      <c r="E85" s="44">
        <v>3.8700000000000002E-3</v>
      </c>
    </row>
    <row r="86" spans="1:5" x14ac:dyDescent="0.25">
      <c r="A86" s="42" t="s">
        <v>276</v>
      </c>
      <c r="B86" s="43" t="s">
        <v>359</v>
      </c>
      <c r="C86" s="44">
        <v>1</v>
      </c>
      <c r="D86" s="44">
        <v>1550551635</v>
      </c>
      <c r="E86" s="44">
        <v>6.4000000000000005E-4</v>
      </c>
    </row>
    <row r="87" spans="1:5" x14ac:dyDescent="0.25">
      <c r="A87" s="42" t="s">
        <v>276</v>
      </c>
      <c r="B87" s="43" t="s">
        <v>360</v>
      </c>
      <c r="C87" s="44">
        <v>3</v>
      </c>
      <c r="D87" s="44">
        <v>1550551635</v>
      </c>
      <c r="E87" s="44">
        <v>1.9300000000000001E-3</v>
      </c>
    </row>
    <row r="88" spans="1:5" x14ac:dyDescent="0.25">
      <c r="A88" s="42" t="s">
        <v>276</v>
      </c>
      <c r="B88" s="43" t="s">
        <v>361</v>
      </c>
      <c r="C88" s="44">
        <v>11</v>
      </c>
      <c r="D88" s="44">
        <v>1550551635</v>
      </c>
      <c r="E88" s="44">
        <v>7.0899999999999999E-3</v>
      </c>
    </row>
    <row r="89" spans="1:5" x14ac:dyDescent="0.25">
      <c r="A89" s="42" t="s">
        <v>276</v>
      </c>
      <c r="B89" s="43" t="s">
        <v>362</v>
      </c>
      <c r="C89" s="44">
        <v>3</v>
      </c>
      <c r="D89" s="44">
        <v>1550551635</v>
      </c>
      <c r="E89" s="44">
        <v>1.9300000000000001E-3</v>
      </c>
    </row>
    <row r="90" spans="1:5" x14ac:dyDescent="0.25">
      <c r="A90" s="42" t="s">
        <v>276</v>
      </c>
      <c r="B90" s="43" t="s">
        <v>363</v>
      </c>
      <c r="C90" s="44">
        <v>13</v>
      </c>
      <c r="D90" s="44">
        <v>1550551635</v>
      </c>
      <c r="E90" s="44">
        <v>8.3800000000000003E-3</v>
      </c>
    </row>
    <row r="91" spans="1:5" x14ac:dyDescent="0.25">
      <c r="A91" s="42" t="s">
        <v>276</v>
      </c>
      <c r="B91" s="43" t="s">
        <v>364</v>
      </c>
      <c r="C91" s="44">
        <v>2</v>
      </c>
      <c r="D91" s="44">
        <v>1550551635</v>
      </c>
      <c r="E91" s="44">
        <v>1.2899999999999999E-3</v>
      </c>
    </row>
    <row r="92" spans="1:5" x14ac:dyDescent="0.25">
      <c r="A92" s="42" t="s">
        <v>276</v>
      </c>
      <c r="B92" s="43" t="s">
        <v>365</v>
      </c>
      <c r="C92" s="44">
        <v>1</v>
      </c>
      <c r="D92" s="44">
        <v>1550551635</v>
      </c>
      <c r="E92" s="44">
        <v>6.4000000000000005E-4</v>
      </c>
    </row>
    <row r="93" spans="1:5" x14ac:dyDescent="0.25">
      <c r="A93" s="42" t="s">
        <v>276</v>
      </c>
      <c r="B93" s="43" t="s">
        <v>366</v>
      </c>
      <c r="C93" s="44">
        <v>26</v>
      </c>
      <c r="D93" s="44">
        <v>1550551635</v>
      </c>
      <c r="E93" s="44">
        <v>1.677E-2</v>
      </c>
    </row>
    <row r="94" spans="1:5" x14ac:dyDescent="0.25">
      <c r="A94" s="42" t="s">
        <v>276</v>
      </c>
      <c r="B94" s="43" t="s">
        <v>367</v>
      </c>
      <c r="C94" s="44">
        <v>4</v>
      </c>
      <c r="D94" s="44">
        <v>1550551635</v>
      </c>
      <c r="E94" s="44">
        <v>2.5799999999999998E-3</v>
      </c>
    </row>
    <row r="95" spans="1:5" x14ac:dyDescent="0.25">
      <c r="A95" s="42" t="s">
        <v>276</v>
      </c>
      <c r="B95" s="43" t="s">
        <v>368</v>
      </c>
      <c r="C95" s="44">
        <v>8</v>
      </c>
      <c r="D95" s="44">
        <v>1550551635</v>
      </c>
      <c r="E95" s="44">
        <v>5.1599999999999997E-3</v>
      </c>
    </row>
    <row r="96" spans="1:5" x14ac:dyDescent="0.25">
      <c r="A96" s="42" t="s">
        <v>276</v>
      </c>
      <c r="B96" s="43" t="s">
        <v>369</v>
      </c>
      <c r="C96" s="44">
        <v>1</v>
      </c>
      <c r="D96" s="44">
        <v>1550551635</v>
      </c>
      <c r="E96" s="44">
        <v>6.4000000000000005E-4</v>
      </c>
    </row>
    <row r="97" spans="1:5" x14ac:dyDescent="0.25">
      <c r="A97" s="104" t="s">
        <v>370</v>
      </c>
      <c r="B97" s="104"/>
      <c r="C97" s="104"/>
      <c r="D97" s="104"/>
      <c r="E97" s="104"/>
    </row>
  </sheetData>
  <mergeCells count="3">
    <mergeCell ref="A1:E1"/>
    <mergeCell ref="A2:E2"/>
    <mergeCell ref="A97:E97"/>
  </mergeCells>
  <printOptions horizontalCentered="1" gridLines="1"/>
  <pageMargins left="0.2" right="0.2" top="0.5" bottom="0.75" header="0.3" footer="0.3"/>
  <pageSetup paperSize="3" fitToHeight="0" orientation="portrait" r:id="rId1"/>
  <headerFooter>
    <oddFooter>&amp;C&amp;"Times New Roman,Bold"&amp;9VCT-0301 (7)
Page &amp;P of &amp;N&amp;R&amp;"Times New Roman,Bold"&amp;9JJVC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402BA-E160-4FFD-ABB4-4ECDC04227C4}">
  <sheetPr codeName="Sheet7">
    <pageSetUpPr fitToPage="1"/>
  </sheetPr>
  <dimension ref="A1:L262"/>
  <sheetViews>
    <sheetView view="pageBreakPreview" zoomScale="10" zoomScaleNormal="10" zoomScaleSheetLayoutView="10" workbookViewId="0">
      <selection activeCell="B42" sqref="B42"/>
    </sheetView>
  </sheetViews>
  <sheetFormatPr defaultRowHeight="15" x14ac:dyDescent="0.25"/>
  <cols>
    <col min="1" max="1" width="15.140625" style="45" customWidth="1"/>
    <col min="2" max="2" width="87.42578125" style="45" customWidth="1"/>
    <col min="3" max="3" width="12.5703125" style="45" customWidth="1"/>
    <col min="4" max="4" width="16.7109375" style="45" customWidth="1"/>
    <col min="5" max="5" width="46.5703125" style="58" customWidth="1"/>
    <col min="6" max="6" width="11.42578125" style="45" customWidth="1"/>
    <col min="7" max="7" width="9.140625" style="45"/>
    <col min="8" max="8" width="11.140625" style="45" customWidth="1"/>
    <col min="9" max="9" width="12.140625" style="45" customWidth="1"/>
    <col min="10" max="10" width="13.42578125" style="59" customWidth="1"/>
    <col min="11" max="11" width="22" style="45" customWidth="1"/>
    <col min="12" max="12" width="12" style="45" customWidth="1"/>
    <col min="13" max="255" width="9.140625" style="45"/>
    <col min="256" max="256" width="15.140625" style="45" customWidth="1"/>
    <col min="257" max="257" width="54.85546875" style="45" customWidth="1"/>
    <col min="258" max="258" width="12.5703125" style="45" customWidth="1"/>
    <col min="259" max="259" width="16.7109375" style="45" customWidth="1"/>
    <col min="260" max="260" width="29" style="45" customWidth="1"/>
    <col min="261" max="261" width="11.42578125" style="45" customWidth="1"/>
    <col min="262" max="262" width="9.140625" style="45"/>
    <col min="263" max="263" width="11.140625" style="45" customWidth="1"/>
    <col min="264" max="264" width="12.140625" style="45" customWidth="1"/>
    <col min="265" max="265" width="11.28515625" style="45" customWidth="1"/>
    <col min="266" max="266" width="22" style="45" customWidth="1"/>
    <col min="267" max="267" width="12" style="45" customWidth="1"/>
    <col min="268" max="511" width="9.140625" style="45"/>
    <col min="512" max="512" width="15.140625" style="45" customWidth="1"/>
    <col min="513" max="513" width="54.85546875" style="45" customWidth="1"/>
    <col min="514" max="514" width="12.5703125" style="45" customWidth="1"/>
    <col min="515" max="515" width="16.7109375" style="45" customWidth="1"/>
    <col min="516" max="516" width="29" style="45" customWidth="1"/>
    <col min="517" max="517" width="11.42578125" style="45" customWidth="1"/>
    <col min="518" max="518" width="9.140625" style="45"/>
    <col min="519" max="519" width="11.140625" style="45" customWidth="1"/>
    <col min="520" max="520" width="12.140625" style="45" customWidth="1"/>
    <col min="521" max="521" width="11.28515625" style="45" customWidth="1"/>
    <col min="522" max="522" width="22" style="45" customWidth="1"/>
    <col min="523" max="523" width="12" style="45" customWidth="1"/>
    <col min="524" max="767" width="9.140625" style="45"/>
    <col min="768" max="768" width="15.140625" style="45" customWidth="1"/>
    <col min="769" max="769" width="54.85546875" style="45" customWidth="1"/>
    <col min="770" max="770" width="12.5703125" style="45" customWidth="1"/>
    <col min="771" max="771" width="16.7109375" style="45" customWidth="1"/>
    <col min="772" max="772" width="29" style="45" customWidth="1"/>
    <col min="773" max="773" width="11.42578125" style="45" customWidth="1"/>
    <col min="774" max="774" width="9.140625" style="45"/>
    <col min="775" max="775" width="11.140625" style="45" customWidth="1"/>
    <col min="776" max="776" width="12.140625" style="45" customWidth="1"/>
    <col min="777" max="777" width="11.28515625" style="45" customWidth="1"/>
    <col min="778" max="778" width="22" style="45" customWidth="1"/>
    <col min="779" max="779" width="12" style="45" customWidth="1"/>
    <col min="780" max="1023" width="9.140625" style="45"/>
    <col min="1024" max="1024" width="15.140625" style="45" customWidth="1"/>
    <col min="1025" max="1025" width="54.85546875" style="45" customWidth="1"/>
    <col min="1026" max="1026" width="12.5703125" style="45" customWidth="1"/>
    <col min="1027" max="1027" width="16.7109375" style="45" customWidth="1"/>
    <col min="1028" max="1028" width="29" style="45" customWidth="1"/>
    <col min="1029" max="1029" width="11.42578125" style="45" customWidth="1"/>
    <col min="1030" max="1030" width="9.140625" style="45"/>
    <col min="1031" max="1031" width="11.140625" style="45" customWidth="1"/>
    <col min="1032" max="1032" width="12.140625" style="45" customWidth="1"/>
    <col min="1033" max="1033" width="11.28515625" style="45" customWidth="1"/>
    <col min="1034" max="1034" width="22" style="45" customWidth="1"/>
    <col min="1035" max="1035" width="12" style="45" customWidth="1"/>
    <col min="1036" max="1279" width="9.140625" style="45"/>
    <col min="1280" max="1280" width="15.140625" style="45" customWidth="1"/>
    <col min="1281" max="1281" width="54.85546875" style="45" customWidth="1"/>
    <col min="1282" max="1282" width="12.5703125" style="45" customWidth="1"/>
    <col min="1283" max="1283" width="16.7109375" style="45" customWidth="1"/>
    <col min="1284" max="1284" width="29" style="45" customWidth="1"/>
    <col min="1285" max="1285" width="11.42578125" style="45" customWidth="1"/>
    <col min="1286" max="1286" width="9.140625" style="45"/>
    <col min="1287" max="1287" width="11.140625" style="45" customWidth="1"/>
    <col min="1288" max="1288" width="12.140625" style="45" customWidth="1"/>
    <col min="1289" max="1289" width="11.28515625" style="45" customWidth="1"/>
    <col min="1290" max="1290" width="22" style="45" customWidth="1"/>
    <col min="1291" max="1291" width="12" style="45" customWidth="1"/>
    <col min="1292" max="1535" width="9.140625" style="45"/>
    <col min="1536" max="1536" width="15.140625" style="45" customWidth="1"/>
    <col min="1537" max="1537" width="54.85546875" style="45" customWidth="1"/>
    <col min="1538" max="1538" width="12.5703125" style="45" customWidth="1"/>
    <col min="1539" max="1539" width="16.7109375" style="45" customWidth="1"/>
    <col min="1540" max="1540" width="29" style="45" customWidth="1"/>
    <col min="1541" max="1541" width="11.42578125" style="45" customWidth="1"/>
    <col min="1542" max="1542" width="9.140625" style="45"/>
    <col min="1543" max="1543" width="11.140625" style="45" customWidth="1"/>
    <col min="1544" max="1544" width="12.140625" style="45" customWidth="1"/>
    <col min="1545" max="1545" width="11.28515625" style="45" customWidth="1"/>
    <col min="1546" max="1546" width="22" style="45" customWidth="1"/>
    <col min="1547" max="1547" width="12" style="45" customWidth="1"/>
    <col min="1548" max="1791" width="9.140625" style="45"/>
    <col min="1792" max="1792" width="15.140625" style="45" customWidth="1"/>
    <col min="1793" max="1793" width="54.85546875" style="45" customWidth="1"/>
    <col min="1794" max="1794" width="12.5703125" style="45" customWidth="1"/>
    <col min="1795" max="1795" width="16.7109375" style="45" customWidth="1"/>
    <col min="1796" max="1796" width="29" style="45" customWidth="1"/>
    <col min="1797" max="1797" width="11.42578125" style="45" customWidth="1"/>
    <col min="1798" max="1798" width="9.140625" style="45"/>
    <col min="1799" max="1799" width="11.140625" style="45" customWidth="1"/>
    <col min="1800" max="1800" width="12.140625" style="45" customWidth="1"/>
    <col min="1801" max="1801" width="11.28515625" style="45" customWidth="1"/>
    <col min="1802" max="1802" width="22" style="45" customWidth="1"/>
    <col min="1803" max="1803" width="12" style="45" customWidth="1"/>
    <col min="1804" max="2047" width="9.140625" style="45"/>
    <col min="2048" max="2048" width="15.140625" style="45" customWidth="1"/>
    <col min="2049" max="2049" width="54.85546875" style="45" customWidth="1"/>
    <col min="2050" max="2050" width="12.5703125" style="45" customWidth="1"/>
    <col min="2051" max="2051" width="16.7109375" style="45" customWidth="1"/>
    <col min="2052" max="2052" width="29" style="45" customWidth="1"/>
    <col min="2053" max="2053" width="11.42578125" style="45" customWidth="1"/>
    <col min="2054" max="2054" width="9.140625" style="45"/>
    <col min="2055" max="2055" width="11.140625" style="45" customWidth="1"/>
    <col min="2056" max="2056" width="12.140625" style="45" customWidth="1"/>
    <col min="2057" max="2057" width="11.28515625" style="45" customWidth="1"/>
    <col min="2058" max="2058" width="22" style="45" customWidth="1"/>
    <col min="2059" max="2059" width="12" style="45" customWidth="1"/>
    <col min="2060" max="2303" width="9.140625" style="45"/>
    <col min="2304" max="2304" width="15.140625" style="45" customWidth="1"/>
    <col min="2305" max="2305" width="54.85546875" style="45" customWidth="1"/>
    <col min="2306" max="2306" width="12.5703125" style="45" customWidth="1"/>
    <col min="2307" max="2307" width="16.7109375" style="45" customWidth="1"/>
    <col min="2308" max="2308" width="29" style="45" customWidth="1"/>
    <col min="2309" max="2309" width="11.42578125" style="45" customWidth="1"/>
    <col min="2310" max="2310" width="9.140625" style="45"/>
    <col min="2311" max="2311" width="11.140625" style="45" customWidth="1"/>
    <col min="2312" max="2312" width="12.140625" style="45" customWidth="1"/>
    <col min="2313" max="2313" width="11.28515625" style="45" customWidth="1"/>
    <col min="2314" max="2314" width="22" style="45" customWidth="1"/>
    <col min="2315" max="2315" width="12" style="45" customWidth="1"/>
    <col min="2316" max="2559" width="9.140625" style="45"/>
    <col min="2560" max="2560" width="15.140625" style="45" customWidth="1"/>
    <col min="2561" max="2561" width="54.85546875" style="45" customWidth="1"/>
    <col min="2562" max="2562" width="12.5703125" style="45" customWidth="1"/>
    <col min="2563" max="2563" width="16.7109375" style="45" customWidth="1"/>
    <col min="2564" max="2564" width="29" style="45" customWidth="1"/>
    <col min="2565" max="2565" width="11.42578125" style="45" customWidth="1"/>
    <col min="2566" max="2566" width="9.140625" style="45"/>
    <col min="2567" max="2567" width="11.140625" style="45" customWidth="1"/>
    <col min="2568" max="2568" width="12.140625" style="45" customWidth="1"/>
    <col min="2569" max="2569" width="11.28515625" style="45" customWidth="1"/>
    <col min="2570" max="2570" width="22" style="45" customWidth="1"/>
    <col min="2571" max="2571" width="12" style="45" customWidth="1"/>
    <col min="2572" max="2815" width="9.140625" style="45"/>
    <col min="2816" max="2816" width="15.140625" style="45" customWidth="1"/>
    <col min="2817" max="2817" width="54.85546875" style="45" customWidth="1"/>
    <col min="2818" max="2818" width="12.5703125" style="45" customWidth="1"/>
    <col min="2819" max="2819" width="16.7109375" style="45" customWidth="1"/>
    <col min="2820" max="2820" width="29" style="45" customWidth="1"/>
    <col min="2821" max="2821" width="11.42578125" style="45" customWidth="1"/>
    <col min="2822" max="2822" width="9.140625" style="45"/>
    <col min="2823" max="2823" width="11.140625" style="45" customWidth="1"/>
    <col min="2824" max="2824" width="12.140625" style="45" customWidth="1"/>
    <col min="2825" max="2825" width="11.28515625" style="45" customWidth="1"/>
    <col min="2826" max="2826" width="22" style="45" customWidth="1"/>
    <col min="2827" max="2827" width="12" style="45" customWidth="1"/>
    <col min="2828" max="3071" width="9.140625" style="45"/>
    <col min="3072" max="3072" width="15.140625" style="45" customWidth="1"/>
    <col min="3073" max="3073" width="54.85546875" style="45" customWidth="1"/>
    <col min="3074" max="3074" width="12.5703125" style="45" customWidth="1"/>
    <col min="3075" max="3075" width="16.7109375" style="45" customWidth="1"/>
    <col min="3076" max="3076" width="29" style="45" customWidth="1"/>
    <col min="3077" max="3077" width="11.42578125" style="45" customWidth="1"/>
    <col min="3078" max="3078" width="9.140625" style="45"/>
    <col min="3079" max="3079" width="11.140625" style="45" customWidth="1"/>
    <col min="3080" max="3080" width="12.140625" style="45" customWidth="1"/>
    <col min="3081" max="3081" width="11.28515625" style="45" customWidth="1"/>
    <col min="3082" max="3082" width="22" style="45" customWidth="1"/>
    <col min="3083" max="3083" width="12" style="45" customWidth="1"/>
    <col min="3084" max="3327" width="9.140625" style="45"/>
    <col min="3328" max="3328" width="15.140625" style="45" customWidth="1"/>
    <col min="3329" max="3329" width="54.85546875" style="45" customWidth="1"/>
    <col min="3330" max="3330" width="12.5703125" style="45" customWidth="1"/>
    <col min="3331" max="3331" width="16.7109375" style="45" customWidth="1"/>
    <col min="3332" max="3332" width="29" style="45" customWidth="1"/>
    <col min="3333" max="3333" width="11.42578125" style="45" customWidth="1"/>
    <col min="3334" max="3334" width="9.140625" style="45"/>
    <col min="3335" max="3335" width="11.140625" style="45" customWidth="1"/>
    <col min="3336" max="3336" width="12.140625" style="45" customWidth="1"/>
    <col min="3337" max="3337" width="11.28515625" style="45" customWidth="1"/>
    <col min="3338" max="3338" width="22" style="45" customWidth="1"/>
    <col min="3339" max="3339" width="12" style="45" customWidth="1"/>
    <col min="3340" max="3583" width="9.140625" style="45"/>
    <col min="3584" max="3584" width="15.140625" style="45" customWidth="1"/>
    <col min="3585" max="3585" width="54.85546875" style="45" customWidth="1"/>
    <col min="3586" max="3586" width="12.5703125" style="45" customWidth="1"/>
    <col min="3587" max="3587" width="16.7109375" style="45" customWidth="1"/>
    <col min="3588" max="3588" width="29" style="45" customWidth="1"/>
    <col min="3589" max="3589" width="11.42578125" style="45" customWidth="1"/>
    <col min="3590" max="3590" width="9.140625" style="45"/>
    <col min="3591" max="3591" width="11.140625" style="45" customWidth="1"/>
    <col min="3592" max="3592" width="12.140625" style="45" customWidth="1"/>
    <col min="3593" max="3593" width="11.28515625" style="45" customWidth="1"/>
    <col min="3594" max="3594" width="22" style="45" customWidth="1"/>
    <col min="3595" max="3595" width="12" style="45" customWidth="1"/>
    <col min="3596" max="3839" width="9.140625" style="45"/>
    <col min="3840" max="3840" width="15.140625" style="45" customWidth="1"/>
    <col min="3841" max="3841" width="54.85546875" style="45" customWidth="1"/>
    <col min="3842" max="3842" width="12.5703125" style="45" customWidth="1"/>
    <col min="3843" max="3843" width="16.7109375" style="45" customWidth="1"/>
    <col min="3844" max="3844" width="29" style="45" customWidth="1"/>
    <col min="3845" max="3845" width="11.42578125" style="45" customWidth="1"/>
    <col min="3846" max="3846" width="9.140625" style="45"/>
    <col min="3847" max="3847" width="11.140625" style="45" customWidth="1"/>
    <col min="3848" max="3848" width="12.140625" style="45" customWidth="1"/>
    <col min="3849" max="3849" width="11.28515625" style="45" customWidth="1"/>
    <col min="3850" max="3850" width="22" style="45" customWidth="1"/>
    <col min="3851" max="3851" width="12" style="45" customWidth="1"/>
    <col min="3852" max="4095" width="9.140625" style="45"/>
    <col min="4096" max="4096" width="15.140625" style="45" customWidth="1"/>
    <col min="4097" max="4097" width="54.85546875" style="45" customWidth="1"/>
    <col min="4098" max="4098" width="12.5703125" style="45" customWidth="1"/>
    <col min="4099" max="4099" width="16.7109375" style="45" customWidth="1"/>
    <col min="4100" max="4100" width="29" style="45" customWidth="1"/>
    <col min="4101" max="4101" width="11.42578125" style="45" customWidth="1"/>
    <col min="4102" max="4102" width="9.140625" style="45"/>
    <col min="4103" max="4103" width="11.140625" style="45" customWidth="1"/>
    <col min="4104" max="4104" width="12.140625" style="45" customWidth="1"/>
    <col min="4105" max="4105" width="11.28515625" style="45" customWidth="1"/>
    <col min="4106" max="4106" width="22" style="45" customWidth="1"/>
    <col min="4107" max="4107" width="12" style="45" customWidth="1"/>
    <col min="4108" max="4351" width="9.140625" style="45"/>
    <col min="4352" max="4352" width="15.140625" style="45" customWidth="1"/>
    <col min="4353" max="4353" width="54.85546875" style="45" customWidth="1"/>
    <col min="4354" max="4354" width="12.5703125" style="45" customWidth="1"/>
    <col min="4355" max="4355" width="16.7109375" style="45" customWidth="1"/>
    <col min="4356" max="4356" width="29" style="45" customWidth="1"/>
    <col min="4357" max="4357" width="11.42578125" style="45" customWidth="1"/>
    <col min="4358" max="4358" width="9.140625" style="45"/>
    <col min="4359" max="4359" width="11.140625" style="45" customWidth="1"/>
    <col min="4360" max="4360" width="12.140625" style="45" customWidth="1"/>
    <col min="4361" max="4361" width="11.28515625" style="45" customWidth="1"/>
    <col min="4362" max="4362" width="22" style="45" customWidth="1"/>
    <col min="4363" max="4363" width="12" style="45" customWidth="1"/>
    <col min="4364" max="4607" width="9.140625" style="45"/>
    <col min="4608" max="4608" width="15.140625" style="45" customWidth="1"/>
    <col min="4609" max="4609" width="54.85546875" style="45" customWidth="1"/>
    <col min="4610" max="4610" width="12.5703125" style="45" customWidth="1"/>
    <col min="4611" max="4611" width="16.7109375" style="45" customWidth="1"/>
    <col min="4612" max="4612" width="29" style="45" customWidth="1"/>
    <col min="4613" max="4613" width="11.42578125" style="45" customWidth="1"/>
    <col min="4614" max="4614" width="9.140625" style="45"/>
    <col min="4615" max="4615" width="11.140625" style="45" customWidth="1"/>
    <col min="4616" max="4616" width="12.140625" style="45" customWidth="1"/>
    <col min="4617" max="4617" width="11.28515625" style="45" customWidth="1"/>
    <col min="4618" max="4618" width="22" style="45" customWidth="1"/>
    <col min="4619" max="4619" width="12" style="45" customWidth="1"/>
    <col min="4620" max="4863" width="9.140625" style="45"/>
    <col min="4864" max="4864" width="15.140625" style="45" customWidth="1"/>
    <col min="4865" max="4865" width="54.85546875" style="45" customWidth="1"/>
    <col min="4866" max="4866" width="12.5703125" style="45" customWidth="1"/>
    <col min="4867" max="4867" width="16.7109375" style="45" customWidth="1"/>
    <col min="4868" max="4868" width="29" style="45" customWidth="1"/>
    <col min="4869" max="4869" width="11.42578125" style="45" customWidth="1"/>
    <col min="4870" max="4870" width="9.140625" style="45"/>
    <col min="4871" max="4871" width="11.140625" style="45" customWidth="1"/>
    <col min="4872" max="4872" width="12.140625" style="45" customWidth="1"/>
    <col min="4873" max="4873" width="11.28515625" style="45" customWidth="1"/>
    <col min="4874" max="4874" width="22" style="45" customWidth="1"/>
    <col min="4875" max="4875" width="12" style="45" customWidth="1"/>
    <col min="4876" max="5119" width="9.140625" style="45"/>
    <col min="5120" max="5120" width="15.140625" style="45" customWidth="1"/>
    <col min="5121" max="5121" width="54.85546875" style="45" customWidth="1"/>
    <col min="5122" max="5122" width="12.5703125" style="45" customWidth="1"/>
    <col min="5123" max="5123" width="16.7109375" style="45" customWidth="1"/>
    <col min="5124" max="5124" width="29" style="45" customWidth="1"/>
    <col min="5125" max="5125" width="11.42578125" style="45" customWidth="1"/>
    <col min="5126" max="5126" width="9.140625" style="45"/>
    <col min="5127" max="5127" width="11.140625" style="45" customWidth="1"/>
    <col min="5128" max="5128" width="12.140625" style="45" customWidth="1"/>
    <col min="5129" max="5129" width="11.28515625" style="45" customWidth="1"/>
    <col min="5130" max="5130" width="22" style="45" customWidth="1"/>
    <col min="5131" max="5131" width="12" style="45" customWidth="1"/>
    <col min="5132" max="5375" width="9.140625" style="45"/>
    <col min="5376" max="5376" width="15.140625" style="45" customWidth="1"/>
    <col min="5377" max="5377" width="54.85546875" style="45" customWidth="1"/>
    <col min="5378" max="5378" width="12.5703125" style="45" customWidth="1"/>
    <col min="5379" max="5379" width="16.7109375" style="45" customWidth="1"/>
    <col min="5380" max="5380" width="29" style="45" customWidth="1"/>
    <col min="5381" max="5381" width="11.42578125" style="45" customWidth="1"/>
    <col min="5382" max="5382" width="9.140625" style="45"/>
    <col min="5383" max="5383" width="11.140625" style="45" customWidth="1"/>
    <col min="5384" max="5384" width="12.140625" style="45" customWidth="1"/>
    <col min="5385" max="5385" width="11.28515625" style="45" customWidth="1"/>
    <col min="5386" max="5386" width="22" style="45" customWidth="1"/>
    <col min="5387" max="5387" width="12" style="45" customWidth="1"/>
    <col min="5388" max="5631" width="9.140625" style="45"/>
    <col min="5632" max="5632" width="15.140625" style="45" customWidth="1"/>
    <col min="5633" max="5633" width="54.85546875" style="45" customWidth="1"/>
    <col min="5634" max="5634" width="12.5703125" style="45" customWidth="1"/>
    <col min="5635" max="5635" width="16.7109375" style="45" customWidth="1"/>
    <col min="5636" max="5636" width="29" style="45" customWidth="1"/>
    <col min="5637" max="5637" width="11.42578125" style="45" customWidth="1"/>
    <col min="5638" max="5638" width="9.140625" style="45"/>
    <col min="5639" max="5639" width="11.140625" style="45" customWidth="1"/>
    <col min="5640" max="5640" width="12.140625" style="45" customWidth="1"/>
    <col min="5641" max="5641" width="11.28515625" style="45" customWidth="1"/>
    <col min="5642" max="5642" width="22" style="45" customWidth="1"/>
    <col min="5643" max="5643" width="12" style="45" customWidth="1"/>
    <col min="5644" max="5887" width="9.140625" style="45"/>
    <col min="5888" max="5888" width="15.140625" style="45" customWidth="1"/>
    <col min="5889" max="5889" width="54.85546875" style="45" customWidth="1"/>
    <col min="5890" max="5890" width="12.5703125" style="45" customWidth="1"/>
    <col min="5891" max="5891" width="16.7109375" style="45" customWidth="1"/>
    <col min="5892" max="5892" width="29" style="45" customWidth="1"/>
    <col min="5893" max="5893" width="11.42578125" style="45" customWidth="1"/>
    <col min="5894" max="5894" width="9.140625" style="45"/>
    <col min="5895" max="5895" width="11.140625" style="45" customWidth="1"/>
    <col min="5896" max="5896" width="12.140625" style="45" customWidth="1"/>
    <col min="5897" max="5897" width="11.28515625" style="45" customWidth="1"/>
    <col min="5898" max="5898" width="22" style="45" customWidth="1"/>
    <col min="5899" max="5899" width="12" style="45" customWidth="1"/>
    <col min="5900" max="6143" width="9.140625" style="45"/>
    <col min="6144" max="6144" width="15.140625" style="45" customWidth="1"/>
    <col min="6145" max="6145" width="54.85546875" style="45" customWidth="1"/>
    <col min="6146" max="6146" width="12.5703125" style="45" customWidth="1"/>
    <col min="6147" max="6147" width="16.7109375" style="45" customWidth="1"/>
    <col min="6148" max="6148" width="29" style="45" customWidth="1"/>
    <col min="6149" max="6149" width="11.42578125" style="45" customWidth="1"/>
    <col min="6150" max="6150" width="9.140625" style="45"/>
    <col min="6151" max="6151" width="11.140625" style="45" customWidth="1"/>
    <col min="6152" max="6152" width="12.140625" style="45" customWidth="1"/>
    <col min="6153" max="6153" width="11.28515625" style="45" customWidth="1"/>
    <col min="6154" max="6154" width="22" style="45" customWidth="1"/>
    <col min="6155" max="6155" width="12" style="45" customWidth="1"/>
    <col min="6156" max="6399" width="9.140625" style="45"/>
    <col min="6400" max="6400" width="15.140625" style="45" customWidth="1"/>
    <col min="6401" max="6401" width="54.85546875" style="45" customWidth="1"/>
    <col min="6402" max="6402" width="12.5703125" style="45" customWidth="1"/>
    <col min="6403" max="6403" width="16.7109375" style="45" customWidth="1"/>
    <col min="6404" max="6404" width="29" style="45" customWidth="1"/>
    <col min="6405" max="6405" width="11.42578125" style="45" customWidth="1"/>
    <col min="6406" max="6406" width="9.140625" style="45"/>
    <col min="6407" max="6407" width="11.140625" style="45" customWidth="1"/>
    <col min="6408" max="6408" width="12.140625" style="45" customWidth="1"/>
    <col min="6409" max="6409" width="11.28515625" style="45" customWidth="1"/>
    <col min="6410" max="6410" width="22" style="45" customWidth="1"/>
    <col min="6411" max="6411" width="12" style="45" customWidth="1"/>
    <col min="6412" max="6655" width="9.140625" style="45"/>
    <col min="6656" max="6656" width="15.140625" style="45" customWidth="1"/>
    <col min="6657" max="6657" width="54.85546875" style="45" customWidth="1"/>
    <col min="6658" max="6658" width="12.5703125" style="45" customWidth="1"/>
    <col min="6659" max="6659" width="16.7109375" style="45" customWidth="1"/>
    <col min="6660" max="6660" width="29" style="45" customWidth="1"/>
    <col min="6661" max="6661" width="11.42578125" style="45" customWidth="1"/>
    <col min="6662" max="6662" width="9.140625" style="45"/>
    <col min="6663" max="6663" width="11.140625" style="45" customWidth="1"/>
    <col min="6664" max="6664" width="12.140625" style="45" customWidth="1"/>
    <col min="6665" max="6665" width="11.28515625" style="45" customWidth="1"/>
    <col min="6666" max="6666" width="22" style="45" customWidth="1"/>
    <col min="6667" max="6667" width="12" style="45" customWidth="1"/>
    <col min="6668" max="6911" width="9.140625" style="45"/>
    <col min="6912" max="6912" width="15.140625" style="45" customWidth="1"/>
    <col min="6913" max="6913" width="54.85546875" style="45" customWidth="1"/>
    <col min="6914" max="6914" width="12.5703125" style="45" customWidth="1"/>
    <col min="6915" max="6915" width="16.7109375" style="45" customWidth="1"/>
    <col min="6916" max="6916" width="29" style="45" customWidth="1"/>
    <col min="6917" max="6917" width="11.42578125" style="45" customWidth="1"/>
    <col min="6918" max="6918" width="9.140625" style="45"/>
    <col min="6919" max="6919" width="11.140625" style="45" customWidth="1"/>
    <col min="6920" max="6920" width="12.140625" style="45" customWidth="1"/>
    <col min="6921" max="6921" width="11.28515625" style="45" customWidth="1"/>
    <col min="6922" max="6922" width="22" style="45" customWidth="1"/>
    <col min="6923" max="6923" width="12" style="45" customWidth="1"/>
    <col min="6924" max="7167" width="9.140625" style="45"/>
    <col min="7168" max="7168" width="15.140625" style="45" customWidth="1"/>
    <col min="7169" max="7169" width="54.85546875" style="45" customWidth="1"/>
    <col min="7170" max="7170" width="12.5703125" style="45" customWidth="1"/>
    <col min="7171" max="7171" width="16.7109375" style="45" customWidth="1"/>
    <col min="7172" max="7172" width="29" style="45" customWidth="1"/>
    <col min="7173" max="7173" width="11.42578125" style="45" customWidth="1"/>
    <col min="7174" max="7174" width="9.140625" style="45"/>
    <col min="7175" max="7175" width="11.140625" style="45" customWidth="1"/>
    <col min="7176" max="7176" width="12.140625" style="45" customWidth="1"/>
    <col min="7177" max="7177" width="11.28515625" style="45" customWidth="1"/>
    <col min="7178" max="7178" width="22" style="45" customWidth="1"/>
    <col min="7179" max="7179" width="12" style="45" customWidth="1"/>
    <col min="7180" max="7423" width="9.140625" style="45"/>
    <col min="7424" max="7424" width="15.140625" style="45" customWidth="1"/>
    <col min="7425" max="7425" width="54.85546875" style="45" customWidth="1"/>
    <col min="7426" max="7426" width="12.5703125" style="45" customWidth="1"/>
    <col min="7427" max="7427" width="16.7109375" style="45" customWidth="1"/>
    <col min="7428" max="7428" width="29" style="45" customWidth="1"/>
    <col min="7429" max="7429" width="11.42578125" style="45" customWidth="1"/>
    <col min="7430" max="7430" width="9.140625" style="45"/>
    <col min="7431" max="7431" width="11.140625" style="45" customWidth="1"/>
    <col min="7432" max="7432" width="12.140625" style="45" customWidth="1"/>
    <col min="7433" max="7433" width="11.28515625" style="45" customWidth="1"/>
    <col min="7434" max="7434" width="22" style="45" customWidth="1"/>
    <col min="7435" max="7435" width="12" style="45" customWidth="1"/>
    <col min="7436" max="7679" width="9.140625" style="45"/>
    <col min="7680" max="7680" width="15.140625" style="45" customWidth="1"/>
    <col min="7681" max="7681" width="54.85546875" style="45" customWidth="1"/>
    <col min="7682" max="7682" width="12.5703125" style="45" customWidth="1"/>
    <col min="7683" max="7683" width="16.7109375" style="45" customWidth="1"/>
    <col min="7684" max="7684" width="29" style="45" customWidth="1"/>
    <col min="7685" max="7685" width="11.42578125" style="45" customWidth="1"/>
    <col min="7686" max="7686" width="9.140625" style="45"/>
    <col min="7687" max="7687" width="11.140625" style="45" customWidth="1"/>
    <col min="7688" max="7688" width="12.140625" style="45" customWidth="1"/>
    <col min="7689" max="7689" width="11.28515625" style="45" customWidth="1"/>
    <col min="7690" max="7690" width="22" style="45" customWidth="1"/>
    <col min="7691" max="7691" width="12" style="45" customWidth="1"/>
    <col min="7692" max="7935" width="9.140625" style="45"/>
    <col min="7936" max="7936" width="15.140625" style="45" customWidth="1"/>
    <col min="7937" max="7937" width="54.85546875" style="45" customWidth="1"/>
    <col min="7938" max="7938" width="12.5703125" style="45" customWidth="1"/>
    <col min="7939" max="7939" width="16.7109375" style="45" customWidth="1"/>
    <col min="7940" max="7940" width="29" style="45" customWidth="1"/>
    <col min="7941" max="7941" width="11.42578125" style="45" customWidth="1"/>
    <col min="7942" max="7942" width="9.140625" style="45"/>
    <col min="7943" max="7943" width="11.140625" style="45" customWidth="1"/>
    <col min="7944" max="7944" width="12.140625" style="45" customWidth="1"/>
    <col min="7945" max="7945" width="11.28515625" style="45" customWidth="1"/>
    <col min="7946" max="7946" width="22" style="45" customWidth="1"/>
    <col min="7947" max="7947" width="12" style="45" customWidth="1"/>
    <col min="7948" max="8191" width="9.140625" style="45"/>
    <col min="8192" max="8192" width="15.140625" style="45" customWidth="1"/>
    <col min="8193" max="8193" width="54.85546875" style="45" customWidth="1"/>
    <col min="8194" max="8194" width="12.5703125" style="45" customWidth="1"/>
    <col min="8195" max="8195" width="16.7109375" style="45" customWidth="1"/>
    <col min="8196" max="8196" width="29" style="45" customWidth="1"/>
    <col min="8197" max="8197" width="11.42578125" style="45" customWidth="1"/>
    <col min="8198" max="8198" width="9.140625" style="45"/>
    <col min="8199" max="8199" width="11.140625" style="45" customWidth="1"/>
    <col min="8200" max="8200" width="12.140625" style="45" customWidth="1"/>
    <col min="8201" max="8201" width="11.28515625" style="45" customWidth="1"/>
    <col min="8202" max="8202" width="22" style="45" customWidth="1"/>
    <col min="8203" max="8203" width="12" style="45" customWidth="1"/>
    <col min="8204" max="8447" width="9.140625" style="45"/>
    <col min="8448" max="8448" width="15.140625" style="45" customWidth="1"/>
    <col min="8449" max="8449" width="54.85546875" style="45" customWidth="1"/>
    <col min="8450" max="8450" width="12.5703125" style="45" customWidth="1"/>
    <col min="8451" max="8451" width="16.7109375" style="45" customWidth="1"/>
    <col min="8452" max="8452" width="29" style="45" customWidth="1"/>
    <col min="8453" max="8453" width="11.42578125" style="45" customWidth="1"/>
    <col min="8454" max="8454" width="9.140625" style="45"/>
    <col min="8455" max="8455" width="11.140625" style="45" customWidth="1"/>
    <col min="8456" max="8456" width="12.140625" style="45" customWidth="1"/>
    <col min="8457" max="8457" width="11.28515625" style="45" customWidth="1"/>
    <col min="8458" max="8458" width="22" style="45" customWidth="1"/>
    <col min="8459" max="8459" width="12" style="45" customWidth="1"/>
    <col min="8460" max="8703" width="9.140625" style="45"/>
    <col min="8704" max="8704" width="15.140625" style="45" customWidth="1"/>
    <col min="8705" max="8705" width="54.85546875" style="45" customWidth="1"/>
    <col min="8706" max="8706" width="12.5703125" style="45" customWidth="1"/>
    <col min="8707" max="8707" width="16.7109375" style="45" customWidth="1"/>
    <col min="8708" max="8708" width="29" style="45" customWidth="1"/>
    <col min="8709" max="8709" width="11.42578125" style="45" customWidth="1"/>
    <col min="8710" max="8710" width="9.140625" style="45"/>
    <col min="8711" max="8711" width="11.140625" style="45" customWidth="1"/>
    <col min="8712" max="8712" width="12.140625" style="45" customWidth="1"/>
    <col min="8713" max="8713" width="11.28515625" style="45" customWidth="1"/>
    <col min="8714" max="8714" width="22" style="45" customWidth="1"/>
    <col min="8715" max="8715" width="12" style="45" customWidth="1"/>
    <col min="8716" max="8959" width="9.140625" style="45"/>
    <col min="8960" max="8960" width="15.140625" style="45" customWidth="1"/>
    <col min="8961" max="8961" width="54.85546875" style="45" customWidth="1"/>
    <col min="8962" max="8962" width="12.5703125" style="45" customWidth="1"/>
    <col min="8963" max="8963" width="16.7109375" style="45" customWidth="1"/>
    <col min="8964" max="8964" width="29" style="45" customWidth="1"/>
    <col min="8965" max="8965" width="11.42578125" style="45" customWidth="1"/>
    <col min="8966" max="8966" width="9.140625" style="45"/>
    <col min="8967" max="8967" width="11.140625" style="45" customWidth="1"/>
    <col min="8968" max="8968" width="12.140625" style="45" customWidth="1"/>
    <col min="8969" max="8969" width="11.28515625" style="45" customWidth="1"/>
    <col min="8970" max="8970" width="22" style="45" customWidth="1"/>
    <col min="8971" max="8971" width="12" style="45" customWidth="1"/>
    <col min="8972" max="9215" width="9.140625" style="45"/>
    <col min="9216" max="9216" width="15.140625" style="45" customWidth="1"/>
    <col min="9217" max="9217" width="54.85546875" style="45" customWidth="1"/>
    <col min="9218" max="9218" width="12.5703125" style="45" customWidth="1"/>
    <col min="9219" max="9219" width="16.7109375" style="45" customWidth="1"/>
    <col min="9220" max="9220" width="29" style="45" customWidth="1"/>
    <col min="9221" max="9221" width="11.42578125" style="45" customWidth="1"/>
    <col min="9222" max="9222" width="9.140625" style="45"/>
    <col min="9223" max="9223" width="11.140625" style="45" customWidth="1"/>
    <col min="9224" max="9224" width="12.140625" style="45" customWidth="1"/>
    <col min="9225" max="9225" width="11.28515625" style="45" customWidth="1"/>
    <col min="9226" max="9226" width="22" style="45" customWidth="1"/>
    <col min="9227" max="9227" width="12" style="45" customWidth="1"/>
    <col min="9228" max="9471" width="9.140625" style="45"/>
    <col min="9472" max="9472" width="15.140625" style="45" customWidth="1"/>
    <col min="9473" max="9473" width="54.85546875" style="45" customWidth="1"/>
    <col min="9474" max="9474" width="12.5703125" style="45" customWidth="1"/>
    <col min="9475" max="9475" width="16.7109375" style="45" customWidth="1"/>
    <col min="9476" max="9476" width="29" style="45" customWidth="1"/>
    <col min="9477" max="9477" width="11.42578125" style="45" customWidth="1"/>
    <col min="9478" max="9478" width="9.140625" style="45"/>
    <col min="9479" max="9479" width="11.140625" style="45" customWidth="1"/>
    <col min="9480" max="9480" width="12.140625" style="45" customWidth="1"/>
    <col min="9481" max="9481" width="11.28515625" style="45" customWidth="1"/>
    <col min="9482" max="9482" width="22" style="45" customWidth="1"/>
    <col min="9483" max="9483" width="12" style="45" customWidth="1"/>
    <col min="9484" max="9727" width="9.140625" style="45"/>
    <col min="9728" max="9728" width="15.140625" style="45" customWidth="1"/>
    <col min="9729" max="9729" width="54.85546875" style="45" customWidth="1"/>
    <col min="9730" max="9730" width="12.5703125" style="45" customWidth="1"/>
    <col min="9731" max="9731" width="16.7109375" style="45" customWidth="1"/>
    <col min="9732" max="9732" width="29" style="45" customWidth="1"/>
    <col min="9733" max="9733" width="11.42578125" style="45" customWidth="1"/>
    <col min="9734" max="9734" width="9.140625" style="45"/>
    <col min="9735" max="9735" width="11.140625" style="45" customWidth="1"/>
    <col min="9736" max="9736" width="12.140625" style="45" customWidth="1"/>
    <col min="9737" max="9737" width="11.28515625" style="45" customWidth="1"/>
    <col min="9738" max="9738" width="22" style="45" customWidth="1"/>
    <col min="9739" max="9739" width="12" style="45" customWidth="1"/>
    <col min="9740" max="9983" width="9.140625" style="45"/>
    <col min="9984" max="9984" width="15.140625" style="45" customWidth="1"/>
    <col min="9985" max="9985" width="54.85546875" style="45" customWidth="1"/>
    <col min="9986" max="9986" width="12.5703125" style="45" customWidth="1"/>
    <col min="9987" max="9987" width="16.7109375" style="45" customWidth="1"/>
    <col min="9988" max="9988" width="29" style="45" customWidth="1"/>
    <col min="9989" max="9989" width="11.42578125" style="45" customWidth="1"/>
    <col min="9990" max="9990" width="9.140625" style="45"/>
    <col min="9991" max="9991" width="11.140625" style="45" customWidth="1"/>
    <col min="9992" max="9992" width="12.140625" style="45" customWidth="1"/>
    <col min="9993" max="9993" width="11.28515625" style="45" customWidth="1"/>
    <col min="9994" max="9994" width="22" style="45" customWidth="1"/>
    <col min="9995" max="9995" width="12" style="45" customWidth="1"/>
    <col min="9996" max="10239" width="9.140625" style="45"/>
    <col min="10240" max="10240" width="15.140625" style="45" customWidth="1"/>
    <col min="10241" max="10241" width="54.85546875" style="45" customWidth="1"/>
    <col min="10242" max="10242" width="12.5703125" style="45" customWidth="1"/>
    <col min="10243" max="10243" width="16.7109375" style="45" customWidth="1"/>
    <col min="10244" max="10244" width="29" style="45" customWidth="1"/>
    <col min="10245" max="10245" width="11.42578125" style="45" customWidth="1"/>
    <col min="10246" max="10246" width="9.140625" style="45"/>
    <col min="10247" max="10247" width="11.140625" style="45" customWidth="1"/>
    <col min="10248" max="10248" width="12.140625" style="45" customWidth="1"/>
    <col min="10249" max="10249" width="11.28515625" style="45" customWidth="1"/>
    <col min="10250" max="10250" width="22" style="45" customWidth="1"/>
    <col min="10251" max="10251" width="12" style="45" customWidth="1"/>
    <col min="10252" max="10495" width="9.140625" style="45"/>
    <col min="10496" max="10496" width="15.140625" style="45" customWidth="1"/>
    <col min="10497" max="10497" width="54.85546875" style="45" customWidth="1"/>
    <col min="10498" max="10498" width="12.5703125" style="45" customWidth="1"/>
    <col min="10499" max="10499" width="16.7109375" style="45" customWidth="1"/>
    <col min="10500" max="10500" width="29" style="45" customWidth="1"/>
    <col min="10501" max="10501" width="11.42578125" style="45" customWidth="1"/>
    <col min="10502" max="10502" width="9.140625" style="45"/>
    <col min="10503" max="10503" width="11.140625" style="45" customWidth="1"/>
    <col min="10504" max="10504" width="12.140625" style="45" customWidth="1"/>
    <col min="10505" max="10505" width="11.28515625" style="45" customWidth="1"/>
    <col min="10506" max="10506" width="22" style="45" customWidth="1"/>
    <col min="10507" max="10507" width="12" style="45" customWidth="1"/>
    <col min="10508" max="10751" width="9.140625" style="45"/>
    <col min="10752" max="10752" width="15.140625" style="45" customWidth="1"/>
    <col min="10753" max="10753" width="54.85546875" style="45" customWidth="1"/>
    <col min="10754" max="10754" width="12.5703125" style="45" customWidth="1"/>
    <col min="10755" max="10755" width="16.7109375" style="45" customWidth="1"/>
    <col min="10756" max="10756" width="29" style="45" customWidth="1"/>
    <col min="10757" max="10757" width="11.42578125" style="45" customWidth="1"/>
    <col min="10758" max="10758" width="9.140625" style="45"/>
    <col min="10759" max="10759" width="11.140625" style="45" customWidth="1"/>
    <col min="10760" max="10760" width="12.140625" style="45" customWidth="1"/>
    <col min="10761" max="10761" width="11.28515625" style="45" customWidth="1"/>
    <col min="10762" max="10762" width="22" style="45" customWidth="1"/>
    <col min="10763" max="10763" width="12" style="45" customWidth="1"/>
    <col min="10764" max="11007" width="9.140625" style="45"/>
    <col min="11008" max="11008" width="15.140625" style="45" customWidth="1"/>
    <col min="11009" max="11009" width="54.85546875" style="45" customWidth="1"/>
    <col min="11010" max="11010" width="12.5703125" style="45" customWidth="1"/>
    <col min="11011" max="11011" width="16.7109375" style="45" customWidth="1"/>
    <col min="11012" max="11012" width="29" style="45" customWidth="1"/>
    <col min="11013" max="11013" width="11.42578125" style="45" customWidth="1"/>
    <col min="11014" max="11014" width="9.140625" style="45"/>
    <col min="11015" max="11015" width="11.140625" style="45" customWidth="1"/>
    <col min="11016" max="11016" width="12.140625" style="45" customWidth="1"/>
    <col min="11017" max="11017" width="11.28515625" style="45" customWidth="1"/>
    <col min="11018" max="11018" width="22" style="45" customWidth="1"/>
    <col min="11019" max="11019" width="12" style="45" customWidth="1"/>
    <col min="11020" max="11263" width="9.140625" style="45"/>
    <col min="11264" max="11264" width="15.140625" style="45" customWidth="1"/>
    <col min="11265" max="11265" width="54.85546875" style="45" customWidth="1"/>
    <col min="11266" max="11266" width="12.5703125" style="45" customWidth="1"/>
    <col min="11267" max="11267" width="16.7109375" style="45" customWidth="1"/>
    <col min="11268" max="11268" width="29" style="45" customWidth="1"/>
    <col min="11269" max="11269" width="11.42578125" style="45" customWidth="1"/>
    <col min="11270" max="11270" width="9.140625" style="45"/>
    <col min="11271" max="11271" width="11.140625" style="45" customWidth="1"/>
    <col min="11272" max="11272" width="12.140625" style="45" customWidth="1"/>
    <col min="11273" max="11273" width="11.28515625" style="45" customWidth="1"/>
    <col min="11274" max="11274" width="22" style="45" customWidth="1"/>
    <col min="11275" max="11275" width="12" style="45" customWidth="1"/>
    <col min="11276" max="11519" width="9.140625" style="45"/>
    <col min="11520" max="11520" width="15.140625" style="45" customWidth="1"/>
    <col min="11521" max="11521" width="54.85546875" style="45" customWidth="1"/>
    <col min="11522" max="11522" width="12.5703125" style="45" customWidth="1"/>
    <col min="11523" max="11523" width="16.7109375" style="45" customWidth="1"/>
    <col min="11524" max="11524" width="29" style="45" customWidth="1"/>
    <col min="11525" max="11525" width="11.42578125" style="45" customWidth="1"/>
    <col min="11526" max="11526" width="9.140625" style="45"/>
    <col min="11527" max="11527" width="11.140625" style="45" customWidth="1"/>
    <col min="11528" max="11528" width="12.140625" style="45" customWidth="1"/>
    <col min="11529" max="11529" width="11.28515625" style="45" customWidth="1"/>
    <col min="11530" max="11530" width="22" style="45" customWidth="1"/>
    <col min="11531" max="11531" width="12" style="45" customWidth="1"/>
    <col min="11532" max="11775" width="9.140625" style="45"/>
    <col min="11776" max="11776" width="15.140625" style="45" customWidth="1"/>
    <col min="11777" max="11777" width="54.85546875" style="45" customWidth="1"/>
    <col min="11778" max="11778" width="12.5703125" style="45" customWidth="1"/>
    <col min="11779" max="11779" width="16.7109375" style="45" customWidth="1"/>
    <col min="11780" max="11780" width="29" style="45" customWidth="1"/>
    <col min="11781" max="11781" width="11.42578125" style="45" customWidth="1"/>
    <col min="11782" max="11782" width="9.140625" style="45"/>
    <col min="11783" max="11783" width="11.140625" style="45" customWidth="1"/>
    <col min="11784" max="11784" width="12.140625" style="45" customWidth="1"/>
    <col min="11785" max="11785" width="11.28515625" style="45" customWidth="1"/>
    <col min="11786" max="11786" width="22" style="45" customWidth="1"/>
    <col min="11787" max="11787" width="12" style="45" customWidth="1"/>
    <col min="11788" max="12031" width="9.140625" style="45"/>
    <col min="12032" max="12032" width="15.140625" style="45" customWidth="1"/>
    <col min="12033" max="12033" width="54.85546875" style="45" customWidth="1"/>
    <col min="12034" max="12034" width="12.5703125" style="45" customWidth="1"/>
    <col min="12035" max="12035" width="16.7109375" style="45" customWidth="1"/>
    <col min="12036" max="12036" width="29" style="45" customWidth="1"/>
    <col min="12037" max="12037" width="11.42578125" style="45" customWidth="1"/>
    <col min="12038" max="12038" width="9.140625" style="45"/>
    <col min="12039" max="12039" width="11.140625" style="45" customWidth="1"/>
    <col min="12040" max="12040" width="12.140625" style="45" customWidth="1"/>
    <col min="12041" max="12041" width="11.28515625" style="45" customWidth="1"/>
    <col min="12042" max="12042" width="22" style="45" customWidth="1"/>
    <col min="12043" max="12043" width="12" style="45" customWidth="1"/>
    <col min="12044" max="12287" width="9.140625" style="45"/>
    <col min="12288" max="12288" width="15.140625" style="45" customWidth="1"/>
    <col min="12289" max="12289" width="54.85546875" style="45" customWidth="1"/>
    <col min="12290" max="12290" width="12.5703125" style="45" customWidth="1"/>
    <col min="12291" max="12291" width="16.7109375" style="45" customWidth="1"/>
    <col min="12292" max="12292" width="29" style="45" customWidth="1"/>
    <col min="12293" max="12293" width="11.42578125" style="45" customWidth="1"/>
    <col min="12294" max="12294" width="9.140625" style="45"/>
    <col min="12295" max="12295" width="11.140625" style="45" customWidth="1"/>
    <col min="12296" max="12296" width="12.140625" style="45" customWidth="1"/>
    <col min="12297" max="12297" width="11.28515625" style="45" customWidth="1"/>
    <col min="12298" max="12298" width="22" style="45" customWidth="1"/>
    <col min="12299" max="12299" width="12" style="45" customWidth="1"/>
    <col min="12300" max="12543" width="9.140625" style="45"/>
    <col min="12544" max="12544" width="15.140625" style="45" customWidth="1"/>
    <col min="12545" max="12545" width="54.85546875" style="45" customWidth="1"/>
    <col min="12546" max="12546" width="12.5703125" style="45" customWidth="1"/>
    <col min="12547" max="12547" width="16.7109375" style="45" customWidth="1"/>
    <col min="12548" max="12548" width="29" style="45" customWidth="1"/>
    <col min="12549" max="12549" width="11.42578125" style="45" customWidth="1"/>
    <col min="12550" max="12550" width="9.140625" style="45"/>
    <col min="12551" max="12551" width="11.140625" style="45" customWidth="1"/>
    <col min="12552" max="12552" width="12.140625" style="45" customWidth="1"/>
    <col min="12553" max="12553" width="11.28515625" style="45" customWidth="1"/>
    <col min="12554" max="12554" width="22" style="45" customWidth="1"/>
    <col min="12555" max="12555" width="12" style="45" customWidth="1"/>
    <col min="12556" max="12799" width="9.140625" style="45"/>
    <col min="12800" max="12800" width="15.140625" style="45" customWidth="1"/>
    <col min="12801" max="12801" width="54.85546875" style="45" customWidth="1"/>
    <col min="12802" max="12802" width="12.5703125" style="45" customWidth="1"/>
    <col min="12803" max="12803" width="16.7109375" style="45" customWidth="1"/>
    <col min="12804" max="12804" width="29" style="45" customWidth="1"/>
    <col min="12805" max="12805" width="11.42578125" style="45" customWidth="1"/>
    <col min="12806" max="12806" width="9.140625" style="45"/>
    <col min="12807" max="12807" width="11.140625" style="45" customWidth="1"/>
    <col min="12808" max="12808" width="12.140625" style="45" customWidth="1"/>
    <col min="12809" max="12809" width="11.28515625" style="45" customWidth="1"/>
    <col min="12810" max="12810" width="22" style="45" customWidth="1"/>
    <col min="12811" max="12811" width="12" style="45" customWidth="1"/>
    <col min="12812" max="13055" width="9.140625" style="45"/>
    <col min="13056" max="13056" width="15.140625" style="45" customWidth="1"/>
    <col min="13057" max="13057" width="54.85546875" style="45" customWidth="1"/>
    <col min="13058" max="13058" width="12.5703125" style="45" customWidth="1"/>
    <col min="13059" max="13059" width="16.7109375" style="45" customWidth="1"/>
    <col min="13060" max="13060" width="29" style="45" customWidth="1"/>
    <col min="13061" max="13061" width="11.42578125" style="45" customWidth="1"/>
    <col min="13062" max="13062" width="9.140625" style="45"/>
    <col min="13063" max="13063" width="11.140625" style="45" customWidth="1"/>
    <col min="13064" max="13064" width="12.140625" style="45" customWidth="1"/>
    <col min="13065" max="13065" width="11.28515625" style="45" customWidth="1"/>
    <col min="13066" max="13066" width="22" style="45" customWidth="1"/>
    <col min="13067" max="13067" width="12" style="45" customWidth="1"/>
    <col min="13068" max="13311" width="9.140625" style="45"/>
    <col min="13312" max="13312" width="15.140625" style="45" customWidth="1"/>
    <col min="13313" max="13313" width="54.85546875" style="45" customWidth="1"/>
    <col min="13314" max="13314" width="12.5703125" style="45" customWidth="1"/>
    <col min="13315" max="13315" width="16.7109375" style="45" customWidth="1"/>
    <col min="13316" max="13316" width="29" style="45" customWidth="1"/>
    <col min="13317" max="13317" width="11.42578125" style="45" customWidth="1"/>
    <col min="13318" max="13318" width="9.140625" style="45"/>
    <col min="13319" max="13319" width="11.140625" style="45" customWidth="1"/>
    <col min="13320" max="13320" width="12.140625" style="45" customWidth="1"/>
    <col min="13321" max="13321" width="11.28515625" style="45" customWidth="1"/>
    <col min="13322" max="13322" width="22" style="45" customWidth="1"/>
    <col min="13323" max="13323" width="12" style="45" customWidth="1"/>
    <col min="13324" max="13567" width="9.140625" style="45"/>
    <col min="13568" max="13568" width="15.140625" style="45" customWidth="1"/>
    <col min="13569" max="13569" width="54.85546875" style="45" customWidth="1"/>
    <col min="13570" max="13570" width="12.5703125" style="45" customWidth="1"/>
    <col min="13571" max="13571" width="16.7109375" style="45" customWidth="1"/>
    <col min="13572" max="13572" width="29" style="45" customWidth="1"/>
    <col min="13573" max="13573" width="11.42578125" style="45" customWidth="1"/>
    <col min="13574" max="13574" width="9.140625" style="45"/>
    <col min="13575" max="13575" width="11.140625" style="45" customWidth="1"/>
    <col min="13576" max="13576" width="12.140625" style="45" customWidth="1"/>
    <col min="13577" max="13577" width="11.28515625" style="45" customWidth="1"/>
    <col min="13578" max="13578" width="22" style="45" customWidth="1"/>
    <col min="13579" max="13579" width="12" style="45" customWidth="1"/>
    <col min="13580" max="13823" width="9.140625" style="45"/>
    <col min="13824" max="13824" width="15.140625" style="45" customWidth="1"/>
    <col min="13825" max="13825" width="54.85546875" style="45" customWidth="1"/>
    <col min="13826" max="13826" width="12.5703125" style="45" customWidth="1"/>
    <col min="13827" max="13827" width="16.7109375" style="45" customWidth="1"/>
    <col min="13828" max="13828" width="29" style="45" customWidth="1"/>
    <col min="13829" max="13829" width="11.42578125" style="45" customWidth="1"/>
    <col min="13830" max="13830" width="9.140625" style="45"/>
    <col min="13831" max="13831" width="11.140625" style="45" customWidth="1"/>
    <col min="13832" max="13832" width="12.140625" style="45" customWidth="1"/>
    <col min="13833" max="13833" width="11.28515625" style="45" customWidth="1"/>
    <col min="13834" max="13834" width="22" style="45" customWidth="1"/>
    <col min="13835" max="13835" width="12" style="45" customWidth="1"/>
    <col min="13836" max="14079" width="9.140625" style="45"/>
    <col min="14080" max="14080" width="15.140625" style="45" customWidth="1"/>
    <col min="14081" max="14081" width="54.85546875" style="45" customWidth="1"/>
    <col min="14082" max="14082" width="12.5703125" style="45" customWidth="1"/>
    <col min="14083" max="14083" width="16.7109375" style="45" customWidth="1"/>
    <col min="14084" max="14084" width="29" style="45" customWidth="1"/>
    <col min="14085" max="14085" width="11.42578125" style="45" customWidth="1"/>
    <col min="14086" max="14086" width="9.140625" style="45"/>
    <col min="14087" max="14087" width="11.140625" style="45" customWidth="1"/>
    <col min="14088" max="14088" width="12.140625" style="45" customWidth="1"/>
    <col min="14089" max="14089" width="11.28515625" style="45" customWidth="1"/>
    <col min="14090" max="14090" width="22" style="45" customWidth="1"/>
    <col min="14091" max="14091" width="12" style="45" customWidth="1"/>
    <col min="14092" max="14335" width="9.140625" style="45"/>
    <col min="14336" max="14336" width="15.140625" style="45" customWidth="1"/>
    <col min="14337" max="14337" width="54.85546875" style="45" customWidth="1"/>
    <col min="14338" max="14338" width="12.5703125" style="45" customWidth="1"/>
    <col min="14339" max="14339" width="16.7109375" style="45" customWidth="1"/>
    <col min="14340" max="14340" width="29" style="45" customWidth="1"/>
    <col min="14341" max="14341" width="11.42578125" style="45" customWidth="1"/>
    <col min="14342" max="14342" width="9.140625" style="45"/>
    <col min="14343" max="14343" width="11.140625" style="45" customWidth="1"/>
    <col min="14344" max="14344" width="12.140625" style="45" customWidth="1"/>
    <col min="14345" max="14345" width="11.28515625" style="45" customWidth="1"/>
    <col min="14346" max="14346" width="22" style="45" customWidth="1"/>
    <col min="14347" max="14347" width="12" style="45" customWidth="1"/>
    <col min="14348" max="14591" width="9.140625" style="45"/>
    <col min="14592" max="14592" width="15.140625" style="45" customWidth="1"/>
    <col min="14593" max="14593" width="54.85546875" style="45" customWidth="1"/>
    <col min="14594" max="14594" width="12.5703125" style="45" customWidth="1"/>
    <col min="14595" max="14595" width="16.7109375" style="45" customWidth="1"/>
    <col min="14596" max="14596" width="29" style="45" customWidth="1"/>
    <col min="14597" max="14597" width="11.42578125" style="45" customWidth="1"/>
    <col min="14598" max="14598" width="9.140625" style="45"/>
    <col min="14599" max="14599" width="11.140625" style="45" customWidth="1"/>
    <col min="14600" max="14600" width="12.140625" style="45" customWidth="1"/>
    <col min="14601" max="14601" width="11.28515625" style="45" customWidth="1"/>
    <col min="14602" max="14602" width="22" style="45" customWidth="1"/>
    <col min="14603" max="14603" width="12" style="45" customWidth="1"/>
    <col min="14604" max="14847" width="9.140625" style="45"/>
    <col min="14848" max="14848" width="15.140625" style="45" customWidth="1"/>
    <col min="14849" max="14849" width="54.85546875" style="45" customWidth="1"/>
    <col min="14850" max="14850" width="12.5703125" style="45" customWidth="1"/>
    <col min="14851" max="14851" width="16.7109375" style="45" customWidth="1"/>
    <col min="14852" max="14852" width="29" style="45" customWidth="1"/>
    <col min="14853" max="14853" width="11.42578125" style="45" customWidth="1"/>
    <col min="14854" max="14854" width="9.140625" style="45"/>
    <col min="14855" max="14855" width="11.140625" style="45" customWidth="1"/>
    <col min="14856" max="14856" width="12.140625" style="45" customWidth="1"/>
    <col min="14857" max="14857" width="11.28515625" style="45" customWidth="1"/>
    <col min="14858" max="14858" width="22" style="45" customWidth="1"/>
    <col min="14859" max="14859" width="12" style="45" customWidth="1"/>
    <col min="14860" max="15103" width="9.140625" style="45"/>
    <col min="15104" max="15104" width="15.140625" style="45" customWidth="1"/>
    <col min="15105" max="15105" width="54.85546875" style="45" customWidth="1"/>
    <col min="15106" max="15106" width="12.5703125" style="45" customWidth="1"/>
    <col min="15107" max="15107" width="16.7109375" style="45" customWidth="1"/>
    <col min="15108" max="15108" width="29" style="45" customWidth="1"/>
    <col min="15109" max="15109" width="11.42578125" style="45" customWidth="1"/>
    <col min="15110" max="15110" width="9.140625" style="45"/>
    <col min="15111" max="15111" width="11.140625" style="45" customWidth="1"/>
    <col min="15112" max="15112" width="12.140625" style="45" customWidth="1"/>
    <col min="15113" max="15113" width="11.28515625" style="45" customWidth="1"/>
    <col min="15114" max="15114" width="22" style="45" customWidth="1"/>
    <col min="15115" max="15115" width="12" style="45" customWidth="1"/>
    <col min="15116" max="15359" width="9.140625" style="45"/>
    <col min="15360" max="15360" width="15.140625" style="45" customWidth="1"/>
    <col min="15361" max="15361" width="54.85546875" style="45" customWidth="1"/>
    <col min="15362" max="15362" width="12.5703125" style="45" customWidth="1"/>
    <col min="15363" max="15363" width="16.7109375" style="45" customWidth="1"/>
    <col min="15364" max="15364" width="29" style="45" customWidth="1"/>
    <col min="15365" max="15365" width="11.42578125" style="45" customWidth="1"/>
    <col min="15366" max="15366" width="9.140625" style="45"/>
    <col min="15367" max="15367" width="11.140625" style="45" customWidth="1"/>
    <col min="15368" max="15368" width="12.140625" style="45" customWidth="1"/>
    <col min="15369" max="15369" width="11.28515625" style="45" customWidth="1"/>
    <col min="15370" max="15370" width="22" style="45" customWidth="1"/>
    <col min="15371" max="15371" width="12" style="45" customWidth="1"/>
    <col min="15372" max="15615" width="9.140625" style="45"/>
    <col min="15616" max="15616" width="15.140625" style="45" customWidth="1"/>
    <col min="15617" max="15617" width="54.85546875" style="45" customWidth="1"/>
    <col min="15618" max="15618" width="12.5703125" style="45" customWidth="1"/>
    <col min="15619" max="15619" width="16.7109375" style="45" customWidth="1"/>
    <col min="15620" max="15620" width="29" style="45" customWidth="1"/>
    <col min="15621" max="15621" width="11.42578125" style="45" customWidth="1"/>
    <col min="15622" max="15622" width="9.140625" style="45"/>
    <col min="15623" max="15623" width="11.140625" style="45" customWidth="1"/>
    <col min="15624" max="15624" width="12.140625" style="45" customWidth="1"/>
    <col min="15625" max="15625" width="11.28515625" style="45" customWidth="1"/>
    <col min="15626" max="15626" width="22" style="45" customWidth="1"/>
    <col min="15627" max="15627" width="12" style="45" customWidth="1"/>
    <col min="15628" max="15871" width="9.140625" style="45"/>
    <col min="15872" max="15872" width="15.140625" style="45" customWidth="1"/>
    <col min="15873" max="15873" width="54.85546875" style="45" customWidth="1"/>
    <col min="15874" max="15874" width="12.5703125" style="45" customWidth="1"/>
    <col min="15875" max="15875" width="16.7109375" style="45" customWidth="1"/>
    <col min="15876" max="15876" width="29" style="45" customWidth="1"/>
    <col min="15877" max="15877" width="11.42578125" style="45" customWidth="1"/>
    <col min="15878" max="15878" width="9.140625" style="45"/>
    <col min="15879" max="15879" width="11.140625" style="45" customWidth="1"/>
    <col min="15880" max="15880" width="12.140625" style="45" customWidth="1"/>
    <col min="15881" max="15881" width="11.28515625" style="45" customWidth="1"/>
    <col min="15882" max="15882" width="22" style="45" customWidth="1"/>
    <col min="15883" max="15883" width="12" style="45" customWidth="1"/>
    <col min="15884" max="16127" width="9.140625" style="45"/>
    <col min="16128" max="16128" width="15.140625" style="45" customWidth="1"/>
    <col min="16129" max="16129" width="54.85546875" style="45" customWidth="1"/>
    <col min="16130" max="16130" width="12.5703125" style="45" customWidth="1"/>
    <col min="16131" max="16131" width="16.7109375" style="45" customWidth="1"/>
    <col min="16132" max="16132" width="29" style="45" customWidth="1"/>
    <col min="16133" max="16133" width="11.42578125" style="45" customWidth="1"/>
    <col min="16134" max="16134" width="9.140625" style="45"/>
    <col min="16135" max="16135" width="11.140625" style="45" customWidth="1"/>
    <col min="16136" max="16136" width="12.140625" style="45" customWidth="1"/>
    <col min="16137" max="16137" width="11.28515625" style="45" customWidth="1"/>
    <col min="16138" max="16138" width="22" style="45" customWidth="1"/>
    <col min="16139" max="16139" width="12" style="45" customWidth="1"/>
    <col min="16140" max="16384" width="9.140625" style="45"/>
  </cols>
  <sheetData>
    <row r="1" spans="1:12" ht="22.5" x14ac:dyDescent="0.25">
      <c r="A1" s="105" t="s">
        <v>269</v>
      </c>
      <c r="B1" s="105"/>
      <c r="C1" s="105"/>
      <c r="D1" s="105"/>
      <c r="E1" s="105"/>
      <c r="F1" s="105"/>
      <c r="H1" s="46" t="s">
        <v>371</v>
      </c>
      <c r="I1" s="46" t="s">
        <v>106</v>
      </c>
      <c r="J1" s="47" t="s">
        <v>372</v>
      </c>
      <c r="K1" s="48" t="s">
        <v>373</v>
      </c>
      <c r="L1" s="48" t="s">
        <v>108</v>
      </c>
    </row>
    <row r="2" spans="1:12" ht="15.75" x14ac:dyDescent="0.25">
      <c r="A2" s="105" t="s">
        <v>270</v>
      </c>
      <c r="B2" s="105"/>
      <c r="C2" s="105"/>
      <c r="D2" s="105"/>
      <c r="E2" s="105"/>
      <c r="F2" s="105"/>
      <c r="H2" s="1" t="s">
        <v>374</v>
      </c>
      <c r="I2" s="3">
        <v>5</v>
      </c>
      <c r="J2" s="49">
        <f t="shared" ref="J2:J65" si="0">SUMIF($E$5:$E$97,"*"&amp;H2&amp;"*",$F$5:$F$97)</f>
        <v>0</v>
      </c>
      <c r="K2" s="50" t="str">
        <f>IF(J2&lt;=1,"L",IF(J2&lt;=100,"M",IF(J2&gt;100,"H")))</f>
        <v>L</v>
      </c>
      <c r="L2" s="51"/>
    </row>
    <row r="3" spans="1:12" ht="15" customHeight="1" x14ac:dyDescent="0.25">
      <c r="A3" s="106" t="s">
        <v>375</v>
      </c>
      <c r="B3" s="106"/>
      <c r="C3" s="106"/>
      <c r="D3" s="106"/>
      <c r="E3" s="106"/>
      <c r="F3" s="106"/>
      <c r="H3" s="1" t="s">
        <v>376</v>
      </c>
      <c r="I3" s="3">
        <v>5</v>
      </c>
      <c r="J3" s="49">
        <f t="shared" si="0"/>
        <v>0</v>
      </c>
      <c r="K3" s="50" t="str">
        <f t="shared" ref="K3:K66" si="1">IF(J3&lt;=1,"L",IF(J3&lt;=100,"M",IF(J3&gt;100,"H")))</f>
        <v>L</v>
      </c>
      <c r="L3" s="51"/>
    </row>
    <row r="4" spans="1:12" ht="17.25" customHeight="1" x14ac:dyDescent="0.25">
      <c r="A4" s="52" t="s">
        <v>377</v>
      </c>
      <c r="B4" s="52" t="s">
        <v>378</v>
      </c>
      <c r="C4" s="52" t="s">
        <v>273</v>
      </c>
      <c r="D4" s="52" t="s">
        <v>379</v>
      </c>
      <c r="E4" s="52" t="s">
        <v>380</v>
      </c>
      <c r="F4" s="52" t="s">
        <v>381</v>
      </c>
      <c r="H4" s="1" t="s">
        <v>382</v>
      </c>
      <c r="I4" s="3">
        <v>5</v>
      </c>
      <c r="J4" s="49">
        <f t="shared" si="0"/>
        <v>0</v>
      </c>
      <c r="K4" s="50" t="str">
        <f t="shared" si="1"/>
        <v>L</v>
      </c>
      <c r="L4" s="51"/>
    </row>
    <row r="5" spans="1:12" x14ac:dyDescent="0.2">
      <c r="A5" s="42" t="s">
        <v>276</v>
      </c>
      <c r="B5" s="43" t="s">
        <v>277</v>
      </c>
      <c r="C5" s="44">
        <v>12</v>
      </c>
      <c r="D5" s="44">
        <v>1550551635</v>
      </c>
      <c r="E5" s="53" t="s">
        <v>94</v>
      </c>
      <c r="F5" s="44">
        <v>7.7400000000000004E-3</v>
      </c>
      <c r="H5" s="1" t="s">
        <v>383</v>
      </c>
      <c r="I5" s="3">
        <v>4</v>
      </c>
      <c r="J5" s="49">
        <f t="shared" si="0"/>
        <v>0</v>
      </c>
      <c r="K5" s="50" t="str">
        <f t="shared" si="1"/>
        <v>L</v>
      </c>
      <c r="L5" s="51"/>
    </row>
    <row r="6" spans="1:12" x14ac:dyDescent="0.2">
      <c r="A6" s="42" t="s">
        <v>276</v>
      </c>
      <c r="B6" s="43" t="s">
        <v>278</v>
      </c>
      <c r="C6" s="44">
        <v>3</v>
      </c>
      <c r="D6" s="44">
        <v>1550551635</v>
      </c>
      <c r="E6" s="53" t="s">
        <v>94</v>
      </c>
      <c r="F6" s="44">
        <v>1.9300000000000001E-3</v>
      </c>
      <c r="H6" s="4" t="s">
        <v>384</v>
      </c>
      <c r="I6" s="5" t="s">
        <v>2</v>
      </c>
      <c r="J6" s="49">
        <f t="shared" si="0"/>
        <v>7.0899999999999999E-3</v>
      </c>
      <c r="K6" s="50" t="str">
        <f t="shared" si="1"/>
        <v>L</v>
      </c>
      <c r="L6" s="51"/>
    </row>
    <row r="7" spans="1:12" x14ac:dyDescent="0.2">
      <c r="A7" s="42" t="s">
        <v>276</v>
      </c>
      <c r="B7" s="43" t="s">
        <v>279</v>
      </c>
      <c r="C7" s="44">
        <v>129</v>
      </c>
      <c r="D7" s="44">
        <v>1550551635</v>
      </c>
      <c r="E7" s="53" t="s">
        <v>94</v>
      </c>
      <c r="F7" s="44">
        <v>8.3199999999999996E-2</v>
      </c>
      <c r="H7" s="4" t="s">
        <v>385</v>
      </c>
      <c r="I7" s="2">
        <v>5</v>
      </c>
      <c r="J7" s="49">
        <f t="shared" si="0"/>
        <v>0</v>
      </c>
      <c r="K7" s="50" t="str">
        <f t="shared" si="1"/>
        <v>L</v>
      </c>
      <c r="L7" s="51"/>
    </row>
    <row r="8" spans="1:12" x14ac:dyDescent="0.2">
      <c r="A8" s="42" t="s">
        <v>276</v>
      </c>
      <c r="B8" s="43" t="s">
        <v>280</v>
      </c>
      <c r="C8" s="44">
        <v>9</v>
      </c>
      <c r="D8" s="44">
        <v>1550551635</v>
      </c>
      <c r="E8" s="53" t="s">
        <v>94</v>
      </c>
      <c r="F8" s="44">
        <v>5.7999999999999996E-3</v>
      </c>
      <c r="H8" s="4" t="s">
        <v>386</v>
      </c>
      <c r="I8" s="2">
        <v>4</v>
      </c>
      <c r="J8" s="49">
        <f t="shared" si="0"/>
        <v>0</v>
      </c>
      <c r="K8" s="50" t="str">
        <f t="shared" si="1"/>
        <v>L</v>
      </c>
      <c r="L8" s="51"/>
    </row>
    <row r="9" spans="1:12" x14ac:dyDescent="0.2">
      <c r="A9" s="42" t="s">
        <v>276</v>
      </c>
      <c r="B9" s="43" t="s">
        <v>281</v>
      </c>
      <c r="C9" s="44">
        <v>9</v>
      </c>
      <c r="D9" s="44">
        <v>1550551635</v>
      </c>
      <c r="E9" s="53" t="s">
        <v>94</v>
      </c>
      <c r="F9" s="44">
        <v>5.7999999999999996E-3</v>
      </c>
      <c r="H9" s="4" t="s">
        <v>387</v>
      </c>
      <c r="I9" s="2">
        <v>5</v>
      </c>
      <c r="J9" s="49">
        <f t="shared" si="0"/>
        <v>0</v>
      </c>
      <c r="K9" s="50" t="str">
        <f t="shared" si="1"/>
        <v>L</v>
      </c>
      <c r="L9" s="51"/>
    </row>
    <row r="10" spans="1:12" x14ac:dyDescent="0.2">
      <c r="A10" s="42" t="s">
        <v>276</v>
      </c>
      <c r="B10" s="43" t="s">
        <v>282</v>
      </c>
      <c r="C10" s="44">
        <v>5</v>
      </c>
      <c r="D10" s="44">
        <v>1550551635</v>
      </c>
      <c r="E10" s="53" t="s">
        <v>94</v>
      </c>
      <c r="F10" s="44">
        <v>3.2200000000000002E-3</v>
      </c>
      <c r="H10" s="4" t="s">
        <v>388</v>
      </c>
      <c r="I10" s="2">
        <v>4</v>
      </c>
      <c r="J10" s="49">
        <f t="shared" si="0"/>
        <v>0</v>
      </c>
      <c r="K10" s="50" t="str">
        <f t="shared" si="1"/>
        <v>L</v>
      </c>
      <c r="L10" s="51"/>
    </row>
    <row r="11" spans="1:12" x14ac:dyDescent="0.2">
      <c r="A11" s="42" t="s">
        <v>276</v>
      </c>
      <c r="B11" s="43" t="s">
        <v>283</v>
      </c>
      <c r="C11" s="44">
        <v>4</v>
      </c>
      <c r="D11" s="44">
        <v>1550551635</v>
      </c>
      <c r="E11" s="53" t="s">
        <v>94</v>
      </c>
      <c r="F11" s="44">
        <v>2.5799999999999998E-3</v>
      </c>
      <c r="H11" s="4" t="s">
        <v>389</v>
      </c>
      <c r="I11" s="2">
        <v>5</v>
      </c>
      <c r="J11" s="49">
        <f t="shared" si="0"/>
        <v>0</v>
      </c>
      <c r="K11" s="50" t="str">
        <f t="shared" si="1"/>
        <v>L</v>
      </c>
      <c r="L11" s="51"/>
    </row>
    <row r="12" spans="1:12" x14ac:dyDescent="0.2">
      <c r="A12" s="42" t="s">
        <v>276</v>
      </c>
      <c r="B12" s="43" t="s">
        <v>284</v>
      </c>
      <c r="C12" s="44">
        <v>2</v>
      </c>
      <c r="D12" s="44">
        <v>1550551635</v>
      </c>
      <c r="E12" s="53" t="s">
        <v>94</v>
      </c>
      <c r="F12" s="44">
        <v>1.2899999999999999E-3</v>
      </c>
      <c r="H12" s="4" t="s">
        <v>390</v>
      </c>
      <c r="I12" s="2">
        <v>4</v>
      </c>
      <c r="J12" s="49">
        <f t="shared" si="0"/>
        <v>0</v>
      </c>
      <c r="K12" s="50" t="str">
        <f t="shared" si="1"/>
        <v>L</v>
      </c>
      <c r="L12" s="51"/>
    </row>
    <row r="13" spans="1:12" x14ac:dyDescent="0.2">
      <c r="A13" s="42" t="s">
        <v>276</v>
      </c>
      <c r="B13" s="43" t="s">
        <v>285</v>
      </c>
      <c r="C13" s="44">
        <v>83</v>
      </c>
      <c r="D13" s="44">
        <v>1550551635</v>
      </c>
      <c r="E13" s="53" t="s">
        <v>94</v>
      </c>
      <c r="F13" s="44">
        <v>5.3530000000000001E-2</v>
      </c>
      <c r="H13" s="4" t="s">
        <v>391</v>
      </c>
      <c r="I13" s="2">
        <v>5</v>
      </c>
      <c r="J13" s="49">
        <f t="shared" si="0"/>
        <v>0</v>
      </c>
      <c r="K13" s="50" t="str">
        <f t="shared" si="1"/>
        <v>L</v>
      </c>
      <c r="L13" s="51"/>
    </row>
    <row r="14" spans="1:12" x14ac:dyDescent="0.2">
      <c r="A14" s="42" t="s">
        <v>276</v>
      </c>
      <c r="B14" s="43" t="s">
        <v>286</v>
      </c>
      <c r="C14" s="44">
        <v>1</v>
      </c>
      <c r="D14" s="44">
        <v>1550551635</v>
      </c>
      <c r="E14" s="53" t="s">
        <v>94</v>
      </c>
      <c r="F14" s="44">
        <v>6.4000000000000005E-4</v>
      </c>
      <c r="H14" s="4" t="s">
        <v>392</v>
      </c>
      <c r="I14" s="2">
        <v>4</v>
      </c>
      <c r="J14" s="49">
        <f t="shared" si="0"/>
        <v>0</v>
      </c>
      <c r="K14" s="50" t="str">
        <f t="shared" si="1"/>
        <v>L</v>
      </c>
      <c r="L14" s="51"/>
    </row>
    <row r="15" spans="1:12" x14ac:dyDescent="0.2">
      <c r="A15" s="42" t="s">
        <v>276</v>
      </c>
      <c r="B15" s="43" t="s">
        <v>287</v>
      </c>
      <c r="C15" s="44">
        <v>2</v>
      </c>
      <c r="D15" s="44">
        <v>1550551635</v>
      </c>
      <c r="E15" s="53" t="s">
        <v>94</v>
      </c>
      <c r="F15" s="44">
        <v>1.2899999999999999E-3</v>
      </c>
      <c r="H15" s="4" t="s">
        <v>393</v>
      </c>
      <c r="I15" s="2">
        <v>5</v>
      </c>
      <c r="J15" s="49">
        <f t="shared" si="0"/>
        <v>0</v>
      </c>
      <c r="K15" s="50" t="str">
        <f t="shared" si="1"/>
        <v>L</v>
      </c>
      <c r="L15" s="51"/>
    </row>
    <row r="16" spans="1:12" x14ac:dyDescent="0.2">
      <c r="A16" s="42" t="s">
        <v>276</v>
      </c>
      <c r="B16" s="43" t="s">
        <v>288</v>
      </c>
      <c r="C16" s="44">
        <v>1</v>
      </c>
      <c r="D16" s="44">
        <v>1550551635</v>
      </c>
      <c r="E16" s="53" t="s">
        <v>94</v>
      </c>
      <c r="F16" s="44">
        <v>6.4000000000000005E-4</v>
      </c>
      <c r="H16" s="4" t="s">
        <v>394</v>
      </c>
      <c r="I16" s="2">
        <v>4</v>
      </c>
      <c r="J16" s="49">
        <f t="shared" si="0"/>
        <v>0</v>
      </c>
      <c r="K16" s="50" t="str">
        <f t="shared" si="1"/>
        <v>L</v>
      </c>
      <c r="L16" s="51"/>
    </row>
    <row r="17" spans="1:12" x14ac:dyDescent="0.2">
      <c r="A17" s="42" t="s">
        <v>276</v>
      </c>
      <c r="B17" s="43" t="s">
        <v>289</v>
      </c>
      <c r="C17" s="44">
        <v>14</v>
      </c>
      <c r="D17" s="44">
        <v>1550551635</v>
      </c>
      <c r="E17" s="53" t="s">
        <v>94</v>
      </c>
      <c r="F17" s="44">
        <v>9.0299999999999998E-3</v>
      </c>
      <c r="H17" s="4" t="s">
        <v>395</v>
      </c>
      <c r="I17" s="2">
        <v>5</v>
      </c>
      <c r="J17" s="49">
        <f t="shared" si="0"/>
        <v>0</v>
      </c>
      <c r="K17" s="50" t="str">
        <f t="shared" si="1"/>
        <v>L</v>
      </c>
      <c r="L17" s="51"/>
    </row>
    <row r="18" spans="1:12" x14ac:dyDescent="0.2">
      <c r="A18" s="42" t="s">
        <v>276</v>
      </c>
      <c r="B18" s="43" t="s">
        <v>290</v>
      </c>
      <c r="C18" s="44">
        <v>3</v>
      </c>
      <c r="D18" s="44">
        <v>1550551635</v>
      </c>
      <c r="E18" s="53" t="s">
        <v>396</v>
      </c>
      <c r="F18" s="44">
        <v>1.9300000000000001E-3</v>
      </c>
      <c r="H18" s="4" t="s">
        <v>397</v>
      </c>
      <c r="I18" s="2">
        <v>4</v>
      </c>
      <c r="J18" s="49">
        <f t="shared" si="0"/>
        <v>0</v>
      </c>
      <c r="K18" s="50" t="str">
        <f t="shared" si="1"/>
        <v>L</v>
      </c>
      <c r="L18" s="51"/>
    </row>
    <row r="19" spans="1:12" ht="15" customHeight="1" x14ac:dyDescent="0.2">
      <c r="A19" s="42" t="s">
        <v>276</v>
      </c>
      <c r="B19" s="43" t="s">
        <v>291</v>
      </c>
      <c r="C19" s="44">
        <v>6</v>
      </c>
      <c r="D19" s="44">
        <v>1550551635</v>
      </c>
      <c r="E19" s="53" t="s">
        <v>396</v>
      </c>
      <c r="F19" s="44">
        <v>3.8700000000000002E-3</v>
      </c>
      <c r="H19" s="54" t="s">
        <v>398</v>
      </c>
      <c r="I19" s="2">
        <v>4</v>
      </c>
      <c r="J19" s="49">
        <f t="shared" si="0"/>
        <v>0</v>
      </c>
      <c r="K19" s="50" t="str">
        <f t="shared" si="1"/>
        <v>L</v>
      </c>
      <c r="L19" s="51"/>
    </row>
    <row r="20" spans="1:12" x14ac:dyDescent="0.2">
      <c r="A20" s="42" t="s">
        <v>276</v>
      </c>
      <c r="B20" s="43" t="s">
        <v>292</v>
      </c>
      <c r="C20" s="44">
        <v>109</v>
      </c>
      <c r="D20" s="44">
        <v>1550551635</v>
      </c>
      <c r="E20" s="53" t="s">
        <v>399</v>
      </c>
      <c r="F20" s="44">
        <v>7.0300000000000001E-2</v>
      </c>
      <c r="H20" s="54" t="s">
        <v>400</v>
      </c>
      <c r="I20" s="5" t="s">
        <v>2</v>
      </c>
      <c r="J20" s="49">
        <f t="shared" si="0"/>
        <v>0</v>
      </c>
      <c r="K20" s="50" t="str">
        <f t="shared" si="1"/>
        <v>L</v>
      </c>
      <c r="L20" s="51"/>
    </row>
    <row r="21" spans="1:12" x14ac:dyDescent="0.25">
      <c r="A21" s="55" t="s">
        <v>276</v>
      </c>
      <c r="B21" s="56" t="s">
        <v>293</v>
      </c>
      <c r="C21" s="57">
        <v>81</v>
      </c>
      <c r="D21" s="57">
        <v>1550551635</v>
      </c>
      <c r="E21" s="53" t="s">
        <v>401</v>
      </c>
      <c r="F21" s="57">
        <v>5.2240000000000002E-2</v>
      </c>
      <c r="H21" s="54" t="s">
        <v>126</v>
      </c>
      <c r="I21" s="2">
        <v>5</v>
      </c>
      <c r="J21" s="49">
        <f t="shared" si="0"/>
        <v>0</v>
      </c>
      <c r="K21" s="50" t="str">
        <f t="shared" si="1"/>
        <v>L</v>
      </c>
      <c r="L21" s="51"/>
    </row>
    <row r="22" spans="1:12" x14ac:dyDescent="0.2">
      <c r="A22" s="42" t="s">
        <v>276</v>
      </c>
      <c r="B22" s="43" t="s">
        <v>294</v>
      </c>
      <c r="C22" s="44">
        <v>11</v>
      </c>
      <c r="D22" s="44">
        <v>1550551635</v>
      </c>
      <c r="E22" s="53" t="s">
        <v>402</v>
      </c>
      <c r="F22" s="44">
        <v>7.0899999999999999E-3</v>
      </c>
      <c r="H22" s="54" t="s">
        <v>130</v>
      </c>
      <c r="I22" s="2">
        <v>5</v>
      </c>
      <c r="J22" s="49">
        <f t="shared" si="0"/>
        <v>5.9330000000000001E-2</v>
      </c>
      <c r="K22" s="50" t="str">
        <f t="shared" si="1"/>
        <v>L</v>
      </c>
      <c r="L22" s="51"/>
    </row>
    <row r="23" spans="1:12" x14ac:dyDescent="0.2">
      <c r="A23" s="42" t="s">
        <v>276</v>
      </c>
      <c r="B23" s="43" t="s">
        <v>295</v>
      </c>
      <c r="C23" s="44">
        <v>4</v>
      </c>
      <c r="D23" s="44">
        <v>1550551635</v>
      </c>
      <c r="E23" s="53" t="s">
        <v>403</v>
      </c>
      <c r="F23" s="44">
        <v>2.5799999999999998E-3</v>
      </c>
      <c r="H23" s="54" t="s">
        <v>133</v>
      </c>
      <c r="I23" s="2">
        <v>4</v>
      </c>
      <c r="J23" s="49">
        <f t="shared" si="0"/>
        <v>5.9330000000000001E-2</v>
      </c>
      <c r="K23" s="50" t="str">
        <f t="shared" si="1"/>
        <v>L</v>
      </c>
      <c r="L23" s="51"/>
    </row>
    <row r="24" spans="1:12" x14ac:dyDescent="0.2">
      <c r="A24" s="42" t="s">
        <v>276</v>
      </c>
      <c r="B24" s="43" t="s">
        <v>296</v>
      </c>
      <c r="C24" s="44">
        <v>822</v>
      </c>
      <c r="D24" s="44">
        <v>1550551635</v>
      </c>
      <c r="E24" s="53" t="s">
        <v>404</v>
      </c>
      <c r="F24" s="44">
        <v>0.53012999999999999</v>
      </c>
      <c r="H24" s="54" t="s">
        <v>134</v>
      </c>
      <c r="I24" s="5" t="s">
        <v>2</v>
      </c>
      <c r="J24" s="49">
        <f t="shared" si="0"/>
        <v>5.9330000000000001E-2</v>
      </c>
      <c r="K24" s="50" t="str">
        <f t="shared" si="1"/>
        <v>L</v>
      </c>
      <c r="L24" s="51"/>
    </row>
    <row r="25" spans="1:12" ht="15" customHeight="1" x14ac:dyDescent="0.2">
      <c r="A25" s="42" t="s">
        <v>276</v>
      </c>
      <c r="B25" s="43" t="s">
        <v>297</v>
      </c>
      <c r="C25" s="44">
        <v>124</v>
      </c>
      <c r="D25" s="44">
        <v>1550551635</v>
      </c>
      <c r="E25" s="53" t="s">
        <v>94</v>
      </c>
      <c r="F25" s="44">
        <v>7.9969999999999999E-2</v>
      </c>
      <c r="H25" s="1" t="s">
        <v>405</v>
      </c>
      <c r="I25" s="3">
        <v>4</v>
      </c>
      <c r="J25" s="49">
        <f t="shared" si="0"/>
        <v>0</v>
      </c>
      <c r="K25" s="50" t="str">
        <f t="shared" si="1"/>
        <v>L</v>
      </c>
      <c r="L25" s="51"/>
    </row>
    <row r="26" spans="1:12" x14ac:dyDescent="0.2">
      <c r="A26" s="42" t="s">
        <v>276</v>
      </c>
      <c r="B26" s="43" t="s">
        <v>298</v>
      </c>
      <c r="C26" s="44">
        <v>303</v>
      </c>
      <c r="D26" s="44">
        <v>1550551635</v>
      </c>
      <c r="E26" s="53" t="s">
        <v>404</v>
      </c>
      <c r="F26" s="44">
        <v>0.19541</v>
      </c>
      <c r="H26" s="1" t="s">
        <v>406</v>
      </c>
      <c r="I26" s="3">
        <v>4</v>
      </c>
      <c r="J26" s="49">
        <f t="shared" si="0"/>
        <v>0</v>
      </c>
      <c r="K26" s="50" t="str">
        <f t="shared" si="1"/>
        <v>L</v>
      </c>
      <c r="L26" s="51"/>
    </row>
    <row r="27" spans="1:12" x14ac:dyDescent="0.2">
      <c r="A27" s="42" t="s">
        <v>276</v>
      </c>
      <c r="B27" s="43" t="s">
        <v>299</v>
      </c>
      <c r="C27" s="44">
        <v>49</v>
      </c>
      <c r="D27" s="44">
        <v>1550551635</v>
      </c>
      <c r="E27" s="53" t="s">
        <v>404</v>
      </c>
      <c r="F27" s="44">
        <v>3.1600000000000003E-2</v>
      </c>
      <c r="H27" s="1" t="s">
        <v>407</v>
      </c>
      <c r="I27" s="5" t="s">
        <v>2</v>
      </c>
      <c r="J27" s="49">
        <f t="shared" si="0"/>
        <v>0</v>
      </c>
      <c r="K27" s="50" t="str">
        <f t="shared" si="1"/>
        <v>L</v>
      </c>
      <c r="L27" s="51"/>
    </row>
    <row r="28" spans="1:12" ht="15" customHeight="1" x14ac:dyDescent="0.2">
      <c r="A28" s="42" t="s">
        <v>276</v>
      </c>
      <c r="B28" s="43" t="s">
        <v>300</v>
      </c>
      <c r="C28" s="44">
        <v>3450</v>
      </c>
      <c r="D28" s="44">
        <v>1550551635</v>
      </c>
      <c r="E28" s="53" t="s">
        <v>205</v>
      </c>
      <c r="F28" s="44">
        <v>2.2250100000000002</v>
      </c>
      <c r="H28" s="1" t="s">
        <v>408</v>
      </c>
      <c r="I28" s="5" t="s">
        <v>2</v>
      </c>
      <c r="J28" s="49">
        <f t="shared" si="0"/>
        <v>0</v>
      </c>
      <c r="K28" s="50" t="str">
        <f t="shared" si="1"/>
        <v>L</v>
      </c>
      <c r="L28" s="51"/>
    </row>
    <row r="29" spans="1:12" x14ac:dyDescent="0.2">
      <c r="A29" s="42" t="s">
        <v>276</v>
      </c>
      <c r="B29" s="43" t="s">
        <v>301</v>
      </c>
      <c r="C29" s="44">
        <v>98</v>
      </c>
      <c r="D29" s="44">
        <v>1550551635</v>
      </c>
      <c r="E29" s="53" t="s">
        <v>205</v>
      </c>
      <c r="F29" s="44">
        <v>6.3200000000000006E-2</v>
      </c>
      <c r="H29" s="1" t="s">
        <v>409</v>
      </c>
      <c r="I29" s="5" t="s">
        <v>2</v>
      </c>
      <c r="J29" s="49">
        <f t="shared" si="0"/>
        <v>0</v>
      </c>
      <c r="K29" s="50" t="str">
        <f t="shared" si="1"/>
        <v>L</v>
      </c>
      <c r="L29" s="51"/>
    </row>
    <row r="30" spans="1:12" x14ac:dyDescent="0.2">
      <c r="A30" s="42" t="s">
        <v>276</v>
      </c>
      <c r="B30" s="43" t="s">
        <v>302</v>
      </c>
      <c r="C30" s="44">
        <v>378</v>
      </c>
      <c r="D30" s="44">
        <v>1550551635</v>
      </c>
      <c r="E30" s="53" t="s">
        <v>410</v>
      </c>
      <c r="F30" s="44">
        <v>0.24378</v>
      </c>
      <c r="H30" s="1" t="s">
        <v>411</v>
      </c>
      <c r="I30" s="5" t="s">
        <v>2</v>
      </c>
      <c r="J30" s="49">
        <f t="shared" si="0"/>
        <v>0</v>
      </c>
      <c r="K30" s="50" t="str">
        <f t="shared" si="1"/>
        <v>L</v>
      </c>
      <c r="L30" s="51"/>
    </row>
    <row r="31" spans="1:12" x14ac:dyDescent="0.2">
      <c r="A31" s="42" t="s">
        <v>276</v>
      </c>
      <c r="B31" s="43" t="s">
        <v>303</v>
      </c>
      <c r="C31" s="44">
        <v>584</v>
      </c>
      <c r="D31" s="44">
        <v>1550551635</v>
      </c>
      <c r="E31" s="53" t="s">
        <v>94</v>
      </c>
      <c r="F31" s="44">
        <v>0.37663999999999997</v>
      </c>
      <c r="H31" s="1" t="s">
        <v>412</v>
      </c>
      <c r="I31" s="5" t="s">
        <v>2</v>
      </c>
      <c r="J31" s="49">
        <f t="shared" si="0"/>
        <v>0</v>
      </c>
      <c r="K31" s="50" t="str">
        <f t="shared" si="1"/>
        <v>L</v>
      </c>
      <c r="L31" s="51"/>
    </row>
    <row r="32" spans="1:12" x14ac:dyDescent="0.2">
      <c r="A32" s="42" t="s">
        <v>276</v>
      </c>
      <c r="B32" s="43" t="s">
        <v>304</v>
      </c>
      <c r="C32" s="44">
        <v>243</v>
      </c>
      <c r="D32" s="44">
        <v>1550551635</v>
      </c>
      <c r="E32" s="53" t="s">
        <v>94</v>
      </c>
      <c r="F32" s="44">
        <v>0.15672</v>
      </c>
      <c r="H32" s="1" t="s">
        <v>413</v>
      </c>
      <c r="I32" s="5" t="s">
        <v>2</v>
      </c>
      <c r="J32" s="49">
        <f t="shared" si="0"/>
        <v>0</v>
      </c>
      <c r="K32" s="50" t="str">
        <f t="shared" si="1"/>
        <v>L</v>
      </c>
      <c r="L32" s="51"/>
    </row>
    <row r="33" spans="1:12" ht="15" customHeight="1" x14ac:dyDescent="0.2">
      <c r="A33" s="42" t="s">
        <v>276</v>
      </c>
      <c r="B33" s="43" t="s">
        <v>305</v>
      </c>
      <c r="C33" s="44">
        <v>3</v>
      </c>
      <c r="D33" s="44">
        <v>1550551635</v>
      </c>
      <c r="E33" s="53" t="s">
        <v>94</v>
      </c>
      <c r="F33" s="44">
        <v>1.9300000000000001E-3</v>
      </c>
      <c r="H33" s="1" t="s">
        <v>414</v>
      </c>
      <c r="I33" s="5" t="s">
        <v>2</v>
      </c>
      <c r="J33" s="49">
        <f t="shared" si="0"/>
        <v>0</v>
      </c>
      <c r="K33" s="50" t="str">
        <f t="shared" si="1"/>
        <v>L</v>
      </c>
      <c r="L33" s="51"/>
    </row>
    <row r="34" spans="1:12" x14ac:dyDescent="0.2">
      <c r="A34" s="42" t="s">
        <v>276</v>
      </c>
      <c r="B34" s="43" t="s">
        <v>306</v>
      </c>
      <c r="C34" s="44">
        <v>5</v>
      </c>
      <c r="D34" s="44">
        <v>1550551635</v>
      </c>
      <c r="E34" s="53" t="s">
        <v>94</v>
      </c>
      <c r="F34" s="44">
        <v>3.2200000000000002E-3</v>
      </c>
      <c r="H34" s="1" t="s">
        <v>415</v>
      </c>
      <c r="I34" s="5" t="s">
        <v>2</v>
      </c>
      <c r="J34" s="49">
        <f t="shared" si="0"/>
        <v>0</v>
      </c>
      <c r="K34" s="50" t="str">
        <f t="shared" si="1"/>
        <v>L</v>
      </c>
      <c r="L34" s="51"/>
    </row>
    <row r="35" spans="1:12" x14ac:dyDescent="0.2">
      <c r="A35" s="42" t="s">
        <v>276</v>
      </c>
      <c r="B35" s="43" t="s">
        <v>307</v>
      </c>
      <c r="C35" s="44">
        <v>5</v>
      </c>
      <c r="D35" s="44">
        <v>1550551635</v>
      </c>
      <c r="E35" s="53" t="s">
        <v>94</v>
      </c>
      <c r="F35" s="44">
        <v>3.2200000000000002E-3</v>
      </c>
      <c r="H35" s="1" t="s">
        <v>147</v>
      </c>
      <c r="I35" s="5" t="s">
        <v>2</v>
      </c>
      <c r="J35" s="49">
        <f t="shared" si="0"/>
        <v>0</v>
      </c>
      <c r="K35" s="50" t="str">
        <f t="shared" si="1"/>
        <v>L</v>
      </c>
      <c r="L35" s="51"/>
    </row>
    <row r="36" spans="1:12" x14ac:dyDescent="0.2">
      <c r="A36" s="42" t="s">
        <v>276</v>
      </c>
      <c r="B36" s="43" t="s">
        <v>308</v>
      </c>
      <c r="C36" s="44">
        <v>32</v>
      </c>
      <c r="D36" s="44">
        <v>1550551635</v>
      </c>
      <c r="E36" s="53" t="s">
        <v>410</v>
      </c>
      <c r="F36" s="44">
        <v>2.0639999999999999E-2</v>
      </c>
      <c r="H36" s="1" t="s">
        <v>416</v>
      </c>
      <c r="I36" s="5" t="s">
        <v>2</v>
      </c>
      <c r="J36" s="49">
        <f t="shared" si="0"/>
        <v>0</v>
      </c>
      <c r="K36" s="50" t="str">
        <f t="shared" si="1"/>
        <v>L</v>
      </c>
      <c r="L36" s="51"/>
    </row>
    <row r="37" spans="1:12" x14ac:dyDescent="0.2">
      <c r="A37" s="42" t="s">
        <v>276</v>
      </c>
      <c r="B37" s="43" t="s">
        <v>309</v>
      </c>
      <c r="C37" s="44">
        <v>38</v>
      </c>
      <c r="D37" s="44">
        <v>1550551635</v>
      </c>
      <c r="E37" s="53" t="s">
        <v>410</v>
      </c>
      <c r="F37" s="44">
        <v>2.4510000000000001E-2</v>
      </c>
      <c r="H37" s="1" t="s">
        <v>417</v>
      </c>
      <c r="I37" s="5" t="s">
        <v>2</v>
      </c>
      <c r="J37" s="49">
        <f t="shared" si="0"/>
        <v>0</v>
      </c>
      <c r="K37" s="50" t="str">
        <f t="shared" si="1"/>
        <v>L</v>
      </c>
      <c r="L37" s="51"/>
    </row>
    <row r="38" spans="1:12" ht="15" customHeight="1" x14ac:dyDescent="0.2">
      <c r="A38" s="42" t="s">
        <v>276</v>
      </c>
      <c r="B38" s="43" t="s">
        <v>310</v>
      </c>
      <c r="C38" s="44">
        <v>596</v>
      </c>
      <c r="D38" s="44">
        <v>1550551635</v>
      </c>
      <c r="E38" s="53" t="s">
        <v>410</v>
      </c>
      <c r="F38" s="44">
        <v>0.38438</v>
      </c>
      <c r="H38" s="1" t="s">
        <v>418</v>
      </c>
      <c r="I38" s="5" t="s">
        <v>2</v>
      </c>
      <c r="J38" s="49">
        <f t="shared" si="0"/>
        <v>0</v>
      </c>
      <c r="K38" s="50" t="str">
        <f t="shared" si="1"/>
        <v>L</v>
      </c>
      <c r="L38" s="51"/>
    </row>
    <row r="39" spans="1:12" x14ac:dyDescent="0.2">
      <c r="A39" s="42" t="s">
        <v>276</v>
      </c>
      <c r="B39" s="43" t="s">
        <v>311</v>
      </c>
      <c r="C39" s="44">
        <v>179</v>
      </c>
      <c r="D39" s="44">
        <v>1550551635</v>
      </c>
      <c r="E39" s="53" t="s">
        <v>419</v>
      </c>
      <c r="F39" s="44">
        <v>0.11544</v>
      </c>
      <c r="H39" s="1" t="s">
        <v>420</v>
      </c>
      <c r="I39" s="5" t="s">
        <v>2</v>
      </c>
      <c r="J39" s="49">
        <f t="shared" si="0"/>
        <v>0</v>
      </c>
      <c r="K39" s="50" t="str">
        <f t="shared" si="1"/>
        <v>L</v>
      </c>
      <c r="L39" s="51"/>
    </row>
    <row r="40" spans="1:12" x14ac:dyDescent="0.2">
      <c r="A40" s="42" t="s">
        <v>276</v>
      </c>
      <c r="B40" s="43" t="s">
        <v>312</v>
      </c>
      <c r="C40" s="44">
        <v>5</v>
      </c>
      <c r="D40" s="44">
        <v>1550551635</v>
      </c>
      <c r="E40" s="53" t="s">
        <v>421</v>
      </c>
      <c r="F40" s="44">
        <v>3.2200000000000002E-3</v>
      </c>
      <c r="H40" s="1" t="s">
        <v>422</v>
      </c>
      <c r="I40" s="5" t="s">
        <v>2</v>
      </c>
      <c r="J40" s="49">
        <f t="shared" si="0"/>
        <v>0</v>
      </c>
      <c r="K40" s="50" t="str">
        <f t="shared" si="1"/>
        <v>L</v>
      </c>
      <c r="L40" s="51"/>
    </row>
    <row r="41" spans="1:12" x14ac:dyDescent="0.2">
      <c r="A41" s="42" t="s">
        <v>276</v>
      </c>
      <c r="B41" s="43" t="s">
        <v>313</v>
      </c>
      <c r="C41" s="44">
        <v>6</v>
      </c>
      <c r="D41" s="44">
        <v>1550551635</v>
      </c>
      <c r="E41" s="53" t="s">
        <v>423</v>
      </c>
      <c r="F41" s="44">
        <v>3.8700000000000002E-3</v>
      </c>
      <c r="H41" s="1" t="s">
        <v>150</v>
      </c>
      <c r="I41" s="5" t="s">
        <v>2</v>
      </c>
      <c r="J41" s="49">
        <f t="shared" si="0"/>
        <v>0</v>
      </c>
      <c r="K41" s="50" t="str">
        <f t="shared" si="1"/>
        <v>L</v>
      </c>
      <c r="L41" s="51"/>
    </row>
    <row r="42" spans="1:12" x14ac:dyDescent="0.2">
      <c r="A42" s="42" t="s">
        <v>276</v>
      </c>
      <c r="B42" s="43" t="s">
        <v>314</v>
      </c>
      <c r="C42" s="44">
        <v>153</v>
      </c>
      <c r="D42" s="44">
        <v>1550551635</v>
      </c>
      <c r="E42" s="53" t="s">
        <v>424</v>
      </c>
      <c r="F42" s="44">
        <v>9.8669999999999994E-2</v>
      </c>
      <c r="H42" s="1" t="s">
        <v>154</v>
      </c>
      <c r="I42" s="5" t="s">
        <v>2</v>
      </c>
      <c r="J42" s="49">
        <f t="shared" si="0"/>
        <v>0</v>
      </c>
      <c r="K42" s="50" t="str">
        <f t="shared" si="1"/>
        <v>L</v>
      </c>
      <c r="L42" s="51"/>
    </row>
    <row r="43" spans="1:12" x14ac:dyDescent="0.2">
      <c r="A43" s="42" t="s">
        <v>276</v>
      </c>
      <c r="B43" s="43" t="s">
        <v>315</v>
      </c>
      <c r="C43" s="44">
        <v>52</v>
      </c>
      <c r="D43" s="44">
        <v>1550551635</v>
      </c>
      <c r="E43" s="53" t="s">
        <v>425</v>
      </c>
      <c r="F43" s="44">
        <v>3.354E-2</v>
      </c>
      <c r="H43" s="1" t="s">
        <v>426</v>
      </c>
      <c r="I43" s="5" t="s">
        <v>2</v>
      </c>
      <c r="J43" s="49">
        <f t="shared" si="0"/>
        <v>0</v>
      </c>
      <c r="K43" s="50" t="str">
        <f t="shared" si="1"/>
        <v>L</v>
      </c>
      <c r="L43" s="51"/>
    </row>
    <row r="44" spans="1:12" x14ac:dyDescent="0.2">
      <c r="A44" s="42" t="s">
        <v>276</v>
      </c>
      <c r="B44" s="43" t="s">
        <v>316</v>
      </c>
      <c r="C44" s="44">
        <v>177</v>
      </c>
      <c r="D44" s="44">
        <v>1550551635</v>
      </c>
      <c r="E44" s="53" t="s">
        <v>425</v>
      </c>
      <c r="F44" s="44">
        <v>0.11415</v>
      </c>
      <c r="H44" s="1" t="s">
        <v>427</v>
      </c>
      <c r="I44" s="5" t="s">
        <v>2</v>
      </c>
      <c r="J44" s="49">
        <f t="shared" si="0"/>
        <v>0</v>
      </c>
      <c r="K44" s="50" t="str">
        <f t="shared" si="1"/>
        <v>L</v>
      </c>
      <c r="L44" s="51"/>
    </row>
    <row r="45" spans="1:12" x14ac:dyDescent="0.2">
      <c r="A45" s="42" t="s">
        <v>276</v>
      </c>
      <c r="B45" s="43" t="s">
        <v>317</v>
      </c>
      <c r="C45" s="44">
        <v>28</v>
      </c>
      <c r="D45" s="44">
        <v>1550551635</v>
      </c>
      <c r="E45" s="53" t="s">
        <v>419</v>
      </c>
      <c r="F45" s="44">
        <v>1.806E-2</v>
      </c>
      <c r="H45" s="1" t="s">
        <v>428</v>
      </c>
      <c r="I45" s="5" t="s">
        <v>2</v>
      </c>
      <c r="J45" s="49">
        <f t="shared" si="0"/>
        <v>0</v>
      </c>
      <c r="K45" s="50" t="str">
        <f t="shared" si="1"/>
        <v>L</v>
      </c>
      <c r="L45" s="51"/>
    </row>
    <row r="46" spans="1:12" x14ac:dyDescent="0.2">
      <c r="A46" s="42" t="s">
        <v>276</v>
      </c>
      <c r="B46" s="43" t="s">
        <v>318</v>
      </c>
      <c r="C46" s="44">
        <v>86</v>
      </c>
      <c r="D46" s="44">
        <v>1550551635</v>
      </c>
      <c r="E46" s="53" t="s">
        <v>94</v>
      </c>
      <c r="F46" s="44">
        <v>5.5460000000000002E-2</v>
      </c>
      <c r="H46" s="1" t="s">
        <v>156</v>
      </c>
      <c r="I46" s="5" t="s">
        <v>2</v>
      </c>
      <c r="J46" s="49">
        <f t="shared" si="0"/>
        <v>0</v>
      </c>
      <c r="K46" s="50" t="str">
        <f t="shared" si="1"/>
        <v>L</v>
      </c>
      <c r="L46" s="51"/>
    </row>
    <row r="47" spans="1:12" x14ac:dyDescent="0.2">
      <c r="A47" s="42" t="s">
        <v>276</v>
      </c>
      <c r="B47" s="43" t="s">
        <v>319</v>
      </c>
      <c r="C47" s="44">
        <v>13</v>
      </c>
      <c r="D47" s="44">
        <v>1550551635</v>
      </c>
      <c r="E47" s="53" t="s">
        <v>429</v>
      </c>
      <c r="F47" s="44">
        <v>8.3800000000000003E-3</v>
      </c>
      <c r="H47" s="1" t="s">
        <v>159</v>
      </c>
      <c r="I47" s="5" t="s">
        <v>2</v>
      </c>
      <c r="J47" s="49">
        <f t="shared" si="0"/>
        <v>0</v>
      </c>
      <c r="K47" s="50" t="str">
        <f t="shared" si="1"/>
        <v>L</v>
      </c>
      <c r="L47" s="51"/>
    </row>
    <row r="48" spans="1:12" x14ac:dyDescent="0.2">
      <c r="A48" s="42" t="s">
        <v>276</v>
      </c>
      <c r="B48" s="43" t="s">
        <v>320</v>
      </c>
      <c r="C48" s="44">
        <v>16</v>
      </c>
      <c r="D48" s="44">
        <v>1550551635</v>
      </c>
      <c r="E48" s="53" t="s">
        <v>94</v>
      </c>
      <c r="F48" s="44">
        <v>1.0319999999999999E-2</v>
      </c>
      <c r="H48" s="1" t="s">
        <v>430</v>
      </c>
      <c r="I48" s="5" t="s">
        <v>2</v>
      </c>
      <c r="J48" s="49">
        <f t="shared" si="0"/>
        <v>0</v>
      </c>
      <c r="K48" s="50" t="str">
        <f t="shared" si="1"/>
        <v>L</v>
      </c>
      <c r="L48" s="51"/>
    </row>
    <row r="49" spans="1:12" x14ac:dyDescent="0.2">
      <c r="A49" s="42" t="s">
        <v>276</v>
      </c>
      <c r="B49" s="43" t="s">
        <v>321</v>
      </c>
      <c r="C49" s="44">
        <v>387</v>
      </c>
      <c r="D49" s="44">
        <v>1550551635</v>
      </c>
      <c r="E49" s="53" t="s">
        <v>429</v>
      </c>
      <c r="F49" s="44">
        <v>0.24959000000000001</v>
      </c>
      <c r="H49" s="1" t="s">
        <v>431</v>
      </c>
      <c r="I49" s="5" t="s">
        <v>2</v>
      </c>
      <c r="J49" s="49">
        <f t="shared" si="0"/>
        <v>0</v>
      </c>
      <c r="K49" s="50" t="str">
        <f t="shared" si="1"/>
        <v>L</v>
      </c>
      <c r="L49" s="51"/>
    </row>
    <row r="50" spans="1:12" x14ac:dyDescent="0.2">
      <c r="A50" s="42" t="s">
        <v>276</v>
      </c>
      <c r="B50" s="43" t="s">
        <v>322</v>
      </c>
      <c r="C50" s="44">
        <v>39</v>
      </c>
      <c r="D50" s="44">
        <v>1550551635</v>
      </c>
      <c r="E50" s="53" t="s">
        <v>425</v>
      </c>
      <c r="F50" s="44">
        <v>2.5149999999999999E-2</v>
      </c>
      <c r="H50" s="1" t="s">
        <v>432</v>
      </c>
      <c r="I50" s="5" t="s">
        <v>2</v>
      </c>
      <c r="J50" s="49">
        <f t="shared" si="0"/>
        <v>0</v>
      </c>
      <c r="K50" s="50" t="str">
        <f t="shared" si="1"/>
        <v>L</v>
      </c>
      <c r="L50" s="51"/>
    </row>
    <row r="51" spans="1:12" x14ac:dyDescent="0.2">
      <c r="A51" s="42" t="s">
        <v>276</v>
      </c>
      <c r="B51" s="43" t="s">
        <v>323</v>
      </c>
      <c r="C51" s="44">
        <v>37</v>
      </c>
      <c r="D51" s="44">
        <v>1550551635</v>
      </c>
      <c r="E51" s="53" t="s">
        <v>94</v>
      </c>
      <c r="F51" s="44">
        <v>2.3859999999999999E-2</v>
      </c>
      <c r="H51" s="1" t="s">
        <v>161</v>
      </c>
      <c r="I51" s="5" t="s">
        <v>2</v>
      </c>
      <c r="J51" s="49">
        <f t="shared" si="0"/>
        <v>0</v>
      </c>
      <c r="K51" s="50" t="str">
        <f t="shared" si="1"/>
        <v>L</v>
      </c>
      <c r="L51" s="51"/>
    </row>
    <row r="52" spans="1:12" x14ac:dyDescent="0.2">
      <c r="A52" s="42" t="s">
        <v>276</v>
      </c>
      <c r="B52" s="43" t="s">
        <v>324</v>
      </c>
      <c r="C52" s="44">
        <v>617</v>
      </c>
      <c r="D52" s="44">
        <v>1550551635</v>
      </c>
      <c r="E52" s="53" t="s">
        <v>425</v>
      </c>
      <c r="F52" s="44">
        <v>0.39792</v>
      </c>
      <c r="H52" s="1" t="s">
        <v>163</v>
      </c>
      <c r="I52" s="5" t="s">
        <v>2</v>
      </c>
      <c r="J52" s="49">
        <f t="shared" si="0"/>
        <v>0</v>
      </c>
      <c r="K52" s="50" t="str">
        <f t="shared" si="1"/>
        <v>L</v>
      </c>
      <c r="L52" s="51"/>
    </row>
    <row r="53" spans="1:12" x14ac:dyDescent="0.2">
      <c r="A53" s="42" t="s">
        <v>276</v>
      </c>
      <c r="B53" s="43" t="s">
        <v>325</v>
      </c>
      <c r="C53" s="44">
        <v>19</v>
      </c>
      <c r="D53" s="44">
        <v>1550551635</v>
      </c>
      <c r="E53" s="53" t="s">
        <v>94</v>
      </c>
      <c r="F53" s="44">
        <v>1.225E-2</v>
      </c>
      <c r="H53" s="1" t="s">
        <v>166</v>
      </c>
      <c r="I53" s="5" t="s">
        <v>2</v>
      </c>
      <c r="J53" s="49">
        <f t="shared" si="0"/>
        <v>0</v>
      </c>
      <c r="K53" s="50" t="str">
        <f t="shared" si="1"/>
        <v>L</v>
      </c>
      <c r="L53" s="51"/>
    </row>
    <row r="54" spans="1:12" x14ac:dyDescent="0.2">
      <c r="A54" s="42" t="s">
        <v>276</v>
      </c>
      <c r="B54" s="43" t="s">
        <v>326</v>
      </c>
      <c r="C54" s="44">
        <v>7</v>
      </c>
      <c r="D54" s="44">
        <v>1550551635</v>
      </c>
      <c r="E54" s="53" t="s">
        <v>94</v>
      </c>
      <c r="F54" s="44">
        <v>4.5100000000000001E-3</v>
      </c>
      <c r="H54" s="1" t="s">
        <v>423</v>
      </c>
      <c r="I54" s="5" t="s">
        <v>2</v>
      </c>
      <c r="J54" s="49">
        <f t="shared" si="0"/>
        <v>3.8700000000000002E-3</v>
      </c>
      <c r="K54" s="50" t="str">
        <f t="shared" si="1"/>
        <v>L</v>
      </c>
      <c r="L54" s="51"/>
    </row>
    <row r="55" spans="1:12" x14ac:dyDescent="0.2">
      <c r="A55" s="42" t="s">
        <v>276</v>
      </c>
      <c r="B55" s="43" t="s">
        <v>327</v>
      </c>
      <c r="C55" s="44">
        <v>26</v>
      </c>
      <c r="D55" s="44">
        <v>1550551635</v>
      </c>
      <c r="E55" s="53" t="s">
        <v>94</v>
      </c>
      <c r="F55" s="44">
        <v>1.677E-2</v>
      </c>
      <c r="H55" s="1" t="s">
        <v>168</v>
      </c>
      <c r="I55" s="5" t="s">
        <v>2</v>
      </c>
      <c r="J55" s="49">
        <f t="shared" si="0"/>
        <v>0</v>
      </c>
      <c r="K55" s="50" t="str">
        <f t="shared" si="1"/>
        <v>L</v>
      </c>
      <c r="L55" s="51"/>
    </row>
    <row r="56" spans="1:12" x14ac:dyDescent="0.2">
      <c r="A56" s="42" t="s">
        <v>276</v>
      </c>
      <c r="B56" s="43" t="s">
        <v>328</v>
      </c>
      <c r="C56" s="44">
        <v>140</v>
      </c>
      <c r="D56" s="44">
        <v>1550551635</v>
      </c>
      <c r="E56" s="53" t="s">
        <v>433</v>
      </c>
      <c r="F56" s="44">
        <v>9.0289999999999995E-2</v>
      </c>
      <c r="H56" s="1" t="s">
        <v>170</v>
      </c>
      <c r="I56" s="5" t="s">
        <v>2</v>
      </c>
      <c r="J56" s="49">
        <f t="shared" si="0"/>
        <v>0</v>
      </c>
      <c r="K56" s="50" t="str">
        <f t="shared" si="1"/>
        <v>L</v>
      </c>
      <c r="L56" s="51"/>
    </row>
    <row r="57" spans="1:12" x14ac:dyDescent="0.2">
      <c r="A57" s="42" t="s">
        <v>276</v>
      </c>
      <c r="B57" s="43" t="s">
        <v>329</v>
      </c>
      <c r="C57" s="44">
        <v>36</v>
      </c>
      <c r="D57" s="44">
        <v>1550551635</v>
      </c>
      <c r="E57" s="53" t="s">
        <v>419</v>
      </c>
      <c r="F57" s="44">
        <v>2.3220000000000001E-2</v>
      </c>
      <c r="H57" s="1" t="s">
        <v>172</v>
      </c>
      <c r="I57" s="5" t="s">
        <v>2</v>
      </c>
      <c r="J57" s="49">
        <f t="shared" si="0"/>
        <v>0</v>
      </c>
      <c r="K57" s="50" t="str">
        <f t="shared" si="1"/>
        <v>L</v>
      </c>
      <c r="L57" s="51"/>
    </row>
    <row r="58" spans="1:12" x14ac:dyDescent="0.2">
      <c r="A58" s="42" t="s">
        <v>276</v>
      </c>
      <c r="B58" s="43" t="s">
        <v>330</v>
      </c>
      <c r="C58" s="44">
        <v>17</v>
      </c>
      <c r="D58" s="44">
        <v>1550551635</v>
      </c>
      <c r="E58" s="53" t="s">
        <v>419</v>
      </c>
      <c r="F58" s="44">
        <v>1.0959999999999999E-2</v>
      </c>
      <c r="H58" s="1" t="s">
        <v>434</v>
      </c>
      <c r="I58" s="5" t="s">
        <v>2</v>
      </c>
      <c r="J58" s="49">
        <f t="shared" si="0"/>
        <v>0</v>
      </c>
      <c r="K58" s="50" t="str">
        <f t="shared" si="1"/>
        <v>L</v>
      </c>
      <c r="L58" s="51"/>
    </row>
    <row r="59" spans="1:12" x14ac:dyDescent="0.2">
      <c r="A59" s="42" t="s">
        <v>276</v>
      </c>
      <c r="B59" s="43" t="s">
        <v>331</v>
      </c>
      <c r="C59" s="44">
        <v>98</v>
      </c>
      <c r="D59" s="44">
        <v>1550551635</v>
      </c>
      <c r="E59" s="53" t="s">
        <v>410</v>
      </c>
      <c r="F59" s="44">
        <v>6.3200000000000006E-2</v>
      </c>
      <c r="H59" s="1" t="s">
        <v>174</v>
      </c>
      <c r="I59" s="5" t="s">
        <v>2</v>
      </c>
      <c r="J59" s="49">
        <f t="shared" si="0"/>
        <v>0</v>
      </c>
      <c r="K59" s="50" t="str">
        <f t="shared" si="1"/>
        <v>L</v>
      </c>
      <c r="L59" s="51"/>
    </row>
    <row r="60" spans="1:12" x14ac:dyDescent="0.2">
      <c r="A60" s="42" t="s">
        <v>276</v>
      </c>
      <c r="B60" s="43" t="s">
        <v>332</v>
      </c>
      <c r="C60" s="44">
        <v>78</v>
      </c>
      <c r="D60" s="44">
        <v>1550551635</v>
      </c>
      <c r="E60" s="53" t="s">
        <v>410</v>
      </c>
      <c r="F60" s="44">
        <v>5.0299999999999997E-2</v>
      </c>
      <c r="H60" s="1" t="s">
        <v>176</v>
      </c>
      <c r="I60" s="5" t="s">
        <v>2</v>
      </c>
      <c r="J60" s="49">
        <f t="shared" si="0"/>
        <v>0</v>
      </c>
      <c r="K60" s="50" t="str">
        <f t="shared" si="1"/>
        <v>L</v>
      </c>
      <c r="L60" s="51"/>
    </row>
    <row r="61" spans="1:12" x14ac:dyDescent="0.2">
      <c r="A61" s="42" t="s">
        <v>276</v>
      </c>
      <c r="B61" s="43" t="s">
        <v>333</v>
      </c>
      <c r="C61" s="44">
        <v>206</v>
      </c>
      <c r="D61" s="44">
        <v>1550551635</v>
      </c>
      <c r="E61" s="53" t="s">
        <v>410</v>
      </c>
      <c r="F61" s="44">
        <v>0.13286000000000001</v>
      </c>
      <c r="H61" s="1" t="s">
        <v>178</v>
      </c>
      <c r="I61" s="5" t="s">
        <v>2</v>
      </c>
      <c r="J61" s="49">
        <f t="shared" si="0"/>
        <v>0</v>
      </c>
      <c r="K61" s="50" t="str">
        <f t="shared" si="1"/>
        <v>L</v>
      </c>
      <c r="L61" s="51"/>
    </row>
    <row r="62" spans="1:12" x14ac:dyDescent="0.2">
      <c r="A62" s="42" t="s">
        <v>276</v>
      </c>
      <c r="B62" s="43" t="s">
        <v>334</v>
      </c>
      <c r="C62" s="44">
        <v>502</v>
      </c>
      <c r="D62" s="44">
        <v>1550551635</v>
      </c>
      <c r="E62" s="53" t="s">
        <v>410</v>
      </c>
      <c r="F62" s="44">
        <v>0.32375999999999999</v>
      </c>
      <c r="H62" s="1" t="s">
        <v>180</v>
      </c>
      <c r="I62" s="5" t="s">
        <v>2</v>
      </c>
      <c r="J62" s="49">
        <f t="shared" si="0"/>
        <v>0</v>
      </c>
      <c r="K62" s="50" t="str">
        <f t="shared" si="1"/>
        <v>L</v>
      </c>
      <c r="L62" s="51"/>
    </row>
    <row r="63" spans="1:12" x14ac:dyDescent="0.2">
      <c r="A63" s="42" t="s">
        <v>276</v>
      </c>
      <c r="B63" s="43" t="s">
        <v>335</v>
      </c>
      <c r="C63" s="44">
        <v>39</v>
      </c>
      <c r="D63" s="44">
        <v>1550551635</v>
      </c>
      <c r="E63" s="53" t="s">
        <v>94</v>
      </c>
      <c r="F63" s="44">
        <v>2.5149999999999999E-2</v>
      </c>
      <c r="H63" s="1" t="s">
        <v>28</v>
      </c>
      <c r="I63" s="5" t="s">
        <v>2</v>
      </c>
      <c r="J63" s="49">
        <f t="shared" si="0"/>
        <v>7.7399999999999995E-3</v>
      </c>
      <c r="K63" s="50" t="str">
        <f t="shared" si="1"/>
        <v>L</v>
      </c>
      <c r="L63" s="51"/>
    </row>
    <row r="64" spans="1:12" x14ac:dyDescent="0.2">
      <c r="A64" s="42" t="s">
        <v>276</v>
      </c>
      <c r="B64" s="43" t="s">
        <v>336</v>
      </c>
      <c r="C64" s="44">
        <v>2</v>
      </c>
      <c r="D64" s="44">
        <v>1550551635</v>
      </c>
      <c r="E64" s="53" t="s">
        <v>435</v>
      </c>
      <c r="F64" s="44">
        <v>1.2899999999999999E-3</v>
      </c>
      <c r="H64" s="1" t="s">
        <v>436</v>
      </c>
      <c r="I64" s="5" t="s">
        <v>2</v>
      </c>
      <c r="J64" s="49">
        <f t="shared" si="0"/>
        <v>0</v>
      </c>
      <c r="K64" s="50" t="str">
        <f t="shared" si="1"/>
        <v>L</v>
      </c>
      <c r="L64" s="51"/>
    </row>
    <row r="65" spans="1:12" x14ac:dyDescent="0.2">
      <c r="A65" s="42" t="s">
        <v>276</v>
      </c>
      <c r="B65" s="43" t="s">
        <v>337</v>
      </c>
      <c r="C65" s="44">
        <v>2</v>
      </c>
      <c r="D65" s="44">
        <v>1550551635</v>
      </c>
      <c r="E65" s="53" t="s">
        <v>94</v>
      </c>
      <c r="F65" s="44">
        <v>1.2899999999999999E-3</v>
      </c>
      <c r="H65" s="1" t="s">
        <v>437</v>
      </c>
      <c r="I65" s="5" t="s">
        <v>2</v>
      </c>
      <c r="J65" s="49">
        <f t="shared" si="0"/>
        <v>0</v>
      </c>
      <c r="K65" s="50" t="str">
        <f t="shared" si="1"/>
        <v>L</v>
      </c>
      <c r="L65" s="51"/>
    </row>
    <row r="66" spans="1:12" x14ac:dyDescent="0.2">
      <c r="A66" s="42" t="s">
        <v>276</v>
      </c>
      <c r="B66" s="43" t="s">
        <v>338</v>
      </c>
      <c r="C66" s="44">
        <v>7</v>
      </c>
      <c r="D66" s="44">
        <v>1550551635</v>
      </c>
      <c r="E66" s="53" t="s">
        <v>94</v>
      </c>
      <c r="F66" s="44">
        <v>4.5100000000000001E-3</v>
      </c>
      <c r="H66" s="1" t="s">
        <v>438</v>
      </c>
      <c r="I66" s="5" t="s">
        <v>2</v>
      </c>
      <c r="J66" s="49">
        <f t="shared" ref="J66:J129" si="2">SUMIF($E$5:$E$97,"*"&amp;H66&amp;"*",$F$5:$F$97)</f>
        <v>0</v>
      </c>
      <c r="K66" s="50" t="str">
        <f t="shared" si="1"/>
        <v>L</v>
      </c>
      <c r="L66" s="51"/>
    </row>
    <row r="67" spans="1:12" x14ac:dyDescent="0.2">
      <c r="A67" s="42" t="s">
        <v>276</v>
      </c>
      <c r="B67" s="43" t="s">
        <v>339</v>
      </c>
      <c r="C67" s="44">
        <v>10</v>
      </c>
      <c r="D67" s="44">
        <v>1550551635</v>
      </c>
      <c r="E67" s="53" t="s">
        <v>94</v>
      </c>
      <c r="F67" s="44">
        <v>6.45E-3</v>
      </c>
      <c r="H67" s="1" t="s">
        <v>439</v>
      </c>
      <c r="I67" s="5" t="s">
        <v>2</v>
      </c>
      <c r="J67" s="49">
        <f t="shared" si="2"/>
        <v>0</v>
      </c>
      <c r="K67" s="50" t="str">
        <f t="shared" ref="K67:K130" si="3">IF(J67&lt;=1,"L",IF(J67&lt;=100,"M",IF(J67&gt;100,"H")))</f>
        <v>L</v>
      </c>
      <c r="L67" s="51"/>
    </row>
    <row r="68" spans="1:12" x14ac:dyDescent="0.2">
      <c r="A68" s="42" t="s">
        <v>276</v>
      </c>
      <c r="B68" s="43" t="s">
        <v>340</v>
      </c>
      <c r="C68" s="44">
        <v>11</v>
      </c>
      <c r="D68" s="44">
        <v>1550551635</v>
      </c>
      <c r="E68" s="53" t="s">
        <v>384</v>
      </c>
      <c r="F68" s="44">
        <v>7.0899999999999999E-3</v>
      </c>
      <c r="H68" s="1" t="s">
        <v>440</v>
      </c>
      <c r="I68" s="5" t="s">
        <v>2</v>
      </c>
      <c r="J68" s="49">
        <f t="shared" si="2"/>
        <v>0</v>
      </c>
      <c r="K68" s="50" t="str">
        <f t="shared" si="3"/>
        <v>L</v>
      </c>
      <c r="L68" s="51"/>
    </row>
    <row r="69" spans="1:12" x14ac:dyDescent="0.2">
      <c r="A69" s="42" t="s">
        <v>276</v>
      </c>
      <c r="B69" s="43" t="s">
        <v>341</v>
      </c>
      <c r="C69" s="44">
        <v>15</v>
      </c>
      <c r="D69" s="44">
        <v>1550551635</v>
      </c>
      <c r="E69" s="53" t="s">
        <v>441</v>
      </c>
      <c r="F69" s="44">
        <v>9.6699999999999998E-3</v>
      </c>
      <c r="H69" s="1" t="s">
        <v>442</v>
      </c>
      <c r="I69" s="5" t="s">
        <v>2</v>
      </c>
      <c r="J69" s="49">
        <f t="shared" si="2"/>
        <v>0</v>
      </c>
      <c r="K69" s="50" t="str">
        <f t="shared" si="3"/>
        <v>L</v>
      </c>
      <c r="L69" s="51"/>
    </row>
    <row r="70" spans="1:12" x14ac:dyDescent="0.2">
      <c r="A70" s="42" t="s">
        <v>276</v>
      </c>
      <c r="B70" s="43" t="s">
        <v>342</v>
      </c>
      <c r="C70" s="44">
        <v>28</v>
      </c>
      <c r="D70" s="44">
        <v>1550551635</v>
      </c>
      <c r="E70" s="53" t="s">
        <v>94</v>
      </c>
      <c r="F70" s="44">
        <v>1.806E-2</v>
      </c>
      <c r="H70" s="1" t="s">
        <v>443</v>
      </c>
      <c r="I70" s="5" t="s">
        <v>2</v>
      </c>
      <c r="J70" s="49">
        <f t="shared" si="2"/>
        <v>0</v>
      </c>
      <c r="K70" s="50" t="str">
        <f t="shared" si="3"/>
        <v>L</v>
      </c>
      <c r="L70" s="51"/>
    </row>
    <row r="71" spans="1:12" x14ac:dyDescent="0.2">
      <c r="A71" s="42" t="s">
        <v>276</v>
      </c>
      <c r="B71" s="43" t="s">
        <v>343</v>
      </c>
      <c r="C71" s="44">
        <v>96</v>
      </c>
      <c r="D71" s="44">
        <v>1550551635</v>
      </c>
      <c r="E71" s="53" t="s">
        <v>94</v>
      </c>
      <c r="F71" s="44">
        <v>6.191E-2</v>
      </c>
      <c r="H71" s="1" t="s">
        <v>444</v>
      </c>
      <c r="I71" s="5" t="s">
        <v>2</v>
      </c>
      <c r="J71" s="49">
        <f t="shared" si="2"/>
        <v>0</v>
      </c>
      <c r="K71" s="50" t="str">
        <f t="shared" si="3"/>
        <v>L</v>
      </c>
      <c r="L71" s="51"/>
    </row>
    <row r="72" spans="1:12" x14ac:dyDescent="0.2">
      <c r="A72" s="42" t="s">
        <v>276</v>
      </c>
      <c r="B72" s="43" t="s">
        <v>344</v>
      </c>
      <c r="C72" s="44">
        <v>15</v>
      </c>
      <c r="D72" s="44">
        <v>1550551635</v>
      </c>
      <c r="E72" s="53" t="s">
        <v>94</v>
      </c>
      <c r="F72" s="44">
        <v>9.6699999999999998E-3</v>
      </c>
      <c r="H72" s="1" t="s">
        <v>445</v>
      </c>
      <c r="I72" s="5" t="s">
        <v>2</v>
      </c>
      <c r="J72" s="49">
        <f t="shared" si="2"/>
        <v>0</v>
      </c>
      <c r="K72" s="50" t="str">
        <f t="shared" si="3"/>
        <v>L</v>
      </c>
      <c r="L72" s="51"/>
    </row>
    <row r="73" spans="1:12" x14ac:dyDescent="0.2">
      <c r="A73" s="42" t="s">
        <v>276</v>
      </c>
      <c r="B73" s="43" t="s">
        <v>345</v>
      </c>
      <c r="C73" s="44">
        <v>4</v>
      </c>
      <c r="D73" s="44">
        <v>1550551635</v>
      </c>
      <c r="E73" s="53" t="s">
        <v>94</v>
      </c>
      <c r="F73" s="44">
        <v>2.5799999999999998E-3</v>
      </c>
      <c r="H73" s="1" t="s">
        <v>446</v>
      </c>
      <c r="I73" s="5" t="s">
        <v>2</v>
      </c>
      <c r="J73" s="49">
        <f t="shared" si="2"/>
        <v>0</v>
      </c>
      <c r="K73" s="50" t="str">
        <f t="shared" si="3"/>
        <v>L</v>
      </c>
      <c r="L73" s="51"/>
    </row>
    <row r="74" spans="1:12" x14ac:dyDescent="0.2">
      <c r="A74" s="42" t="s">
        <v>276</v>
      </c>
      <c r="B74" s="43" t="s">
        <v>346</v>
      </c>
      <c r="C74" s="44">
        <v>5</v>
      </c>
      <c r="D74" s="44">
        <v>1550551635</v>
      </c>
      <c r="E74" s="53" t="s">
        <v>396</v>
      </c>
      <c r="F74" s="44">
        <v>3.2200000000000002E-3</v>
      </c>
      <c r="H74" s="1" t="s">
        <v>447</v>
      </c>
      <c r="I74" s="5" t="s">
        <v>2</v>
      </c>
      <c r="J74" s="49">
        <f t="shared" si="2"/>
        <v>0</v>
      </c>
      <c r="K74" s="50" t="str">
        <f t="shared" si="3"/>
        <v>L</v>
      </c>
      <c r="L74" s="51"/>
    </row>
    <row r="75" spans="1:12" x14ac:dyDescent="0.2">
      <c r="A75" s="42" t="s">
        <v>276</v>
      </c>
      <c r="B75" s="43" t="s">
        <v>347</v>
      </c>
      <c r="C75" s="44">
        <v>19</v>
      </c>
      <c r="D75" s="44">
        <v>1550551635</v>
      </c>
      <c r="E75" s="53" t="s">
        <v>94</v>
      </c>
      <c r="F75" s="44">
        <v>1.225E-2</v>
      </c>
      <c r="H75" s="1" t="s">
        <v>448</v>
      </c>
      <c r="I75" s="5" t="s">
        <v>2</v>
      </c>
      <c r="J75" s="49">
        <f t="shared" si="2"/>
        <v>0</v>
      </c>
      <c r="K75" s="50" t="str">
        <f t="shared" si="3"/>
        <v>L</v>
      </c>
      <c r="L75" s="51"/>
    </row>
    <row r="76" spans="1:12" x14ac:dyDescent="0.2">
      <c r="A76" s="42" t="s">
        <v>276</v>
      </c>
      <c r="B76" s="43" t="s">
        <v>348</v>
      </c>
      <c r="C76" s="44">
        <v>70</v>
      </c>
      <c r="D76" s="44">
        <v>1550551635</v>
      </c>
      <c r="E76" s="53" t="s">
        <v>429</v>
      </c>
      <c r="F76" s="44">
        <v>4.5150000000000003E-2</v>
      </c>
      <c r="H76" s="1" t="s">
        <v>449</v>
      </c>
      <c r="I76" s="2">
        <v>5</v>
      </c>
      <c r="J76" s="49">
        <f t="shared" si="2"/>
        <v>0</v>
      </c>
      <c r="K76" s="50" t="str">
        <f t="shared" si="3"/>
        <v>L</v>
      </c>
      <c r="L76" s="51"/>
    </row>
    <row r="77" spans="1:12" x14ac:dyDescent="0.2">
      <c r="A77" s="42" t="s">
        <v>276</v>
      </c>
      <c r="B77" s="43" t="s">
        <v>349</v>
      </c>
      <c r="C77" s="44">
        <v>180</v>
      </c>
      <c r="D77" s="44">
        <v>1550551635</v>
      </c>
      <c r="E77" s="53" t="s">
        <v>94</v>
      </c>
      <c r="F77" s="44">
        <v>0.11609</v>
      </c>
      <c r="H77" s="1" t="s">
        <v>450</v>
      </c>
      <c r="I77" s="2">
        <v>4</v>
      </c>
      <c r="J77" s="49">
        <f t="shared" si="2"/>
        <v>0</v>
      </c>
      <c r="K77" s="50" t="str">
        <f t="shared" si="3"/>
        <v>L</v>
      </c>
      <c r="L77" s="51"/>
    </row>
    <row r="78" spans="1:12" x14ac:dyDescent="0.2">
      <c r="A78" s="42" t="s">
        <v>276</v>
      </c>
      <c r="B78" s="43" t="s">
        <v>350</v>
      </c>
      <c r="C78" s="44">
        <v>2</v>
      </c>
      <c r="D78" s="44">
        <v>1550551635</v>
      </c>
      <c r="E78" s="53" t="s">
        <v>94</v>
      </c>
      <c r="F78" s="44">
        <v>1.2899999999999999E-3</v>
      </c>
      <c r="H78" s="1" t="s">
        <v>451</v>
      </c>
      <c r="I78" s="5" t="s">
        <v>2</v>
      </c>
      <c r="J78" s="49">
        <f t="shared" si="2"/>
        <v>0</v>
      </c>
      <c r="K78" s="50" t="str">
        <f t="shared" si="3"/>
        <v>L</v>
      </c>
      <c r="L78" s="51"/>
    </row>
    <row r="79" spans="1:12" x14ac:dyDescent="0.2">
      <c r="A79" s="42" t="s">
        <v>276</v>
      </c>
      <c r="B79" s="43" t="s">
        <v>351</v>
      </c>
      <c r="C79" s="44">
        <v>24</v>
      </c>
      <c r="D79" s="44">
        <v>1550551635</v>
      </c>
      <c r="E79" s="53" t="s">
        <v>219</v>
      </c>
      <c r="F79" s="44">
        <v>1.5480000000000001E-2</v>
      </c>
      <c r="H79" s="1" t="s">
        <v>452</v>
      </c>
      <c r="I79" s="5" t="s">
        <v>2</v>
      </c>
      <c r="J79" s="49">
        <f t="shared" si="2"/>
        <v>0</v>
      </c>
      <c r="K79" s="50" t="str">
        <f t="shared" si="3"/>
        <v>L</v>
      </c>
      <c r="L79" s="51"/>
    </row>
    <row r="80" spans="1:12" x14ac:dyDescent="0.2">
      <c r="A80" s="42" t="s">
        <v>276</v>
      </c>
      <c r="B80" s="43" t="s">
        <v>352</v>
      </c>
      <c r="C80" s="44">
        <v>97</v>
      </c>
      <c r="D80" s="44">
        <v>1550551635</v>
      </c>
      <c r="E80" s="53" t="s">
        <v>453</v>
      </c>
      <c r="F80" s="44">
        <v>6.2560000000000004E-2</v>
      </c>
      <c r="H80" s="1" t="s">
        <v>454</v>
      </c>
      <c r="I80" s="2">
        <v>5</v>
      </c>
      <c r="J80" s="49">
        <f t="shared" si="2"/>
        <v>0</v>
      </c>
      <c r="K80" s="50" t="str">
        <f t="shared" si="3"/>
        <v>L</v>
      </c>
      <c r="L80" s="51"/>
    </row>
    <row r="81" spans="1:12" x14ac:dyDescent="0.2">
      <c r="A81" s="42" t="s">
        <v>276</v>
      </c>
      <c r="B81" s="43" t="s">
        <v>353</v>
      </c>
      <c r="C81" s="44">
        <v>42</v>
      </c>
      <c r="D81" s="44">
        <v>1550551635</v>
      </c>
      <c r="E81" s="53" t="s">
        <v>40</v>
      </c>
      <c r="F81" s="44">
        <v>2.7089999999999999E-2</v>
      </c>
      <c r="H81" s="1" t="s">
        <v>455</v>
      </c>
      <c r="I81" s="2">
        <v>4</v>
      </c>
      <c r="J81" s="49">
        <f t="shared" si="2"/>
        <v>0</v>
      </c>
      <c r="K81" s="50" t="str">
        <f t="shared" si="3"/>
        <v>L</v>
      </c>
      <c r="L81" s="51"/>
    </row>
    <row r="82" spans="1:12" x14ac:dyDescent="0.2">
      <c r="A82" s="42" t="s">
        <v>276</v>
      </c>
      <c r="B82" s="43" t="s">
        <v>354</v>
      </c>
      <c r="C82" s="44">
        <v>107</v>
      </c>
      <c r="D82" s="44">
        <v>1550551635</v>
      </c>
      <c r="E82" s="53" t="s">
        <v>40</v>
      </c>
      <c r="F82" s="44">
        <v>6.9010000000000002E-2</v>
      </c>
      <c r="H82" s="1" t="s">
        <v>456</v>
      </c>
      <c r="I82" s="5" t="s">
        <v>2</v>
      </c>
      <c r="J82" s="49">
        <f t="shared" si="2"/>
        <v>0</v>
      </c>
      <c r="K82" s="50" t="str">
        <f t="shared" si="3"/>
        <v>L</v>
      </c>
      <c r="L82" s="51"/>
    </row>
    <row r="83" spans="1:12" x14ac:dyDescent="0.2">
      <c r="A83" s="42" t="s">
        <v>276</v>
      </c>
      <c r="B83" s="43" t="s">
        <v>355</v>
      </c>
      <c r="C83" s="44">
        <v>255</v>
      </c>
      <c r="D83" s="44">
        <v>1550551635</v>
      </c>
      <c r="E83" s="53" t="s">
        <v>40</v>
      </c>
      <c r="F83" s="44">
        <v>0.16446</v>
      </c>
      <c r="H83" s="1" t="s">
        <v>457</v>
      </c>
      <c r="I83" s="5" t="s">
        <v>2</v>
      </c>
      <c r="J83" s="49">
        <f t="shared" si="2"/>
        <v>0</v>
      </c>
      <c r="K83" s="50" t="str">
        <f t="shared" si="3"/>
        <v>L</v>
      </c>
      <c r="L83" s="51"/>
    </row>
    <row r="84" spans="1:12" x14ac:dyDescent="0.2">
      <c r="A84" s="42" t="s">
        <v>276</v>
      </c>
      <c r="B84" s="43" t="s">
        <v>356</v>
      </c>
      <c r="C84" s="44">
        <v>67</v>
      </c>
      <c r="D84" s="44">
        <v>1550551635</v>
      </c>
      <c r="E84" s="53" t="s">
        <v>40</v>
      </c>
      <c r="F84" s="44">
        <v>4.3209999999999998E-2</v>
      </c>
      <c r="H84" s="1" t="s">
        <v>458</v>
      </c>
      <c r="I84" s="5" t="s">
        <v>2</v>
      </c>
      <c r="J84" s="49">
        <f t="shared" si="2"/>
        <v>0</v>
      </c>
      <c r="K84" s="50" t="str">
        <f t="shared" si="3"/>
        <v>L</v>
      </c>
      <c r="L84" s="51"/>
    </row>
    <row r="85" spans="1:12" x14ac:dyDescent="0.2">
      <c r="A85" s="42" t="s">
        <v>276</v>
      </c>
      <c r="B85" s="43" t="s">
        <v>357</v>
      </c>
      <c r="C85" s="44">
        <v>3</v>
      </c>
      <c r="D85" s="44">
        <v>1550551635</v>
      </c>
      <c r="E85" s="53" t="s">
        <v>94</v>
      </c>
      <c r="F85" s="44">
        <v>1.9300000000000001E-3</v>
      </c>
      <c r="H85" s="6" t="s">
        <v>459</v>
      </c>
      <c r="I85" s="5" t="s">
        <v>2</v>
      </c>
      <c r="J85" s="49">
        <f t="shared" si="2"/>
        <v>0</v>
      </c>
      <c r="K85" s="50" t="str">
        <f t="shared" si="3"/>
        <v>L</v>
      </c>
      <c r="L85" s="51"/>
    </row>
    <row r="86" spans="1:12" x14ac:dyDescent="0.2">
      <c r="A86" s="42" t="s">
        <v>276</v>
      </c>
      <c r="B86" s="43" t="s">
        <v>358</v>
      </c>
      <c r="C86" s="44">
        <v>6</v>
      </c>
      <c r="D86" s="44">
        <v>1550551635</v>
      </c>
      <c r="E86" s="53" t="s">
        <v>94</v>
      </c>
      <c r="F86" s="44">
        <v>3.8700000000000002E-3</v>
      </c>
      <c r="H86" s="6" t="s">
        <v>460</v>
      </c>
      <c r="I86" s="5" t="s">
        <v>2</v>
      </c>
      <c r="J86" s="49">
        <f t="shared" si="2"/>
        <v>0</v>
      </c>
      <c r="K86" s="50" t="str">
        <f t="shared" si="3"/>
        <v>L</v>
      </c>
      <c r="L86" s="51"/>
    </row>
    <row r="87" spans="1:12" x14ac:dyDescent="0.2">
      <c r="A87" s="42" t="s">
        <v>276</v>
      </c>
      <c r="B87" s="43" t="s">
        <v>359</v>
      </c>
      <c r="C87" s="44">
        <v>1</v>
      </c>
      <c r="D87" s="44">
        <v>1550551635</v>
      </c>
      <c r="E87" s="53" t="s">
        <v>94</v>
      </c>
      <c r="F87" s="44">
        <v>6.4000000000000005E-4</v>
      </c>
      <c r="H87" s="6" t="s">
        <v>184</v>
      </c>
      <c r="I87" s="5" t="s">
        <v>2</v>
      </c>
      <c r="J87" s="49">
        <f t="shared" si="2"/>
        <v>0</v>
      </c>
      <c r="K87" s="50" t="str">
        <f t="shared" si="3"/>
        <v>L</v>
      </c>
      <c r="L87" s="51"/>
    </row>
    <row r="88" spans="1:12" x14ac:dyDescent="0.2">
      <c r="A88" s="42" t="s">
        <v>276</v>
      </c>
      <c r="B88" s="43" t="s">
        <v>360</v>
      </c>
      <c r="C88" s="44">
        <v>3</v>
      </c>
      <c r="D88" s="44">
        <v>1550551635</v>
      </c>
      <c r="E88" s="53" t="s">
        <v>94</v>
      </c>
      <c r="F88" s="44">
        <v>1.9300000000000001E-3</v>
      </c>
      <c r="H88" s="6" t="s">
        <v>461</v>
      </c>
      <c r="I88" s="2">
        <v>5</v>
      </c>
      <c r="J88" s="49">
        <f t="shared" si="2"/>
        <v>0</v>
      </c>
      <c r="K88" s="50" t="str">
        <f t="shared" si="3"/>
        <v>L</v>
      </c>
      <c r="L88" s="51"/>
    </row>
    <row r="89" spans="1:12" x14ac:dyDescent="0.2">
      <c r="A89" s="42" t="s">
        <v>276</v>
      </c>
      <c r="B89" s="43" t="s">
        <v>361</v>
      </c>
      <c r="C89" s="44">
        <v>11</v>
      </c>
      <c r="D89" s="44">
        <v>1550551635</v>
      </c>
      <c r="E89" s="53" t="s">
        <v>94</v>
      </c>
      <c r="F89" s="44">
        <v>7.0899999999999999E-3</v>
      </c>
      <c r="H89" s="6" t="s">
        <v>187</v>
      </c>
      <c r="I89" s="5" t="s">
        <v>2</v>
      </c>
      <c r="J89" s="49">
        <f t="shared" si="2"/>
        <v>0</v>
      </c>
      <c r="K89" s="50" t="str">
        <f t="shared" si="3"/>
        <v>L</v>
      </c>
      <c r="L89" s="51"/>
    </row>
    <row r="90" spans="1:12" x14ac:dyDescent="0.2">
      <c r="A90" s="42" t="s">
        <v>276</v>
      </c>
      <c r="B90" s="43" t="s">
        <v>362</v>
      </c>
      <c r="C90" s="44">
        <v>3</v>
      </c>
      <c r="D90" s="44">
        <v>1550551635</v>
      </c>
      <c r="E90" s="53" t="s">
        <v>94</v>
      </c>
      <c r="F90" s="44">
        <v>1.9300000000000001E-3</v>
      </c>
      <c r="H90" s="6" t="s">
        <v>189</v>
      </c>
      <c r="I90" s="5" t="s">
        <v>2</v>
      </c>
      <c r="J90" s="49">
        <f t="shared" si="2"/>
        <v>0</v>
      </c>
      <c r="K90" s="50" t="str">
        <f t="shared" si="3"/>
        <v>L</v>
      </c>
      <c r="L90" s="51"/>
    </row>
    <row r="91" spans="1:12" x14ac:dyDescent="0.2">
      <c r="A91" s="42" t="s">
        <v>276</v>
      </c>
      <c r="B91" s="43" t="s">
        <v>363</v>
      </c>
      <c r="C91" s="44">
        <v>13</v>
      </c>
      <c r="D91" s="44">
        <v>1550551635</v>
      </c>
      <c r="E91" s="53" t="s">
        <v>94</v>
      </c>
      <c r="F91" s="44">
        <v>8.3800000000000003E-3</v>
      </c>
      <c r="H91" s="1" t="s">
        <v>462</v>
      </c>
      <c r="I91" s="5" t="s">
        <v>2</v>
      </c>
      <c r="J91" s="49">
        <f t="shared" si="2"/>
        <v>0.57075999999999993</v>
      </c>
      <c r="K91" s="50" t="str">
        <f t="shared" si="3"/>
        <v>L</v>
      </c>
      <c r="L91" s="51"/>
    </row>
    <row r="92" spans="1:12" x14ac:dyDescent="0.2">
      <c r="A92" s="42" t="s">
        <v>276</v>
      </c>
      <c r="B92" s="43" t="s">
        <v>364</v>
      </c>
      <c r="C92" s="44">
        <v>2</v>
      </c>
      <c r="D92" s="44">
        <v>1550551635</v>
      </c>
      <c r="E92" s="53" t="s">
        <v>94</v>
      </c>
      <c r="F92" s="44">
        <v>1.2899999999999999E-3</v>
      </c>
      <c r="H92" s="1" t="s">
        <v>419</v>
      </c>
      <c r="I92" s="5" t="s">
        <v>2</v>
      </c>
      <c r="J92" s="49">
        <f t="shared" si="2"/>
        <v>0.16768</v>
      </c>
      <c r="K92" s="50" t="str">
        <f t="shared" si="3"/>
        <v>L</v>
      </c>
      <c r="L92" s="51"/>
    </row>
    <row r="93" spans="1:12" x14ac:dyDescent="0.2">
      <c r="A93" s="42" t="s">
        <v>276</v>
      </c>
      <c r="B93" s="43" t="s">
        <v>365</v>
      </c>
      <c r="C93" s="44">
        <v>1</v>
      </c>
      <c r="D93" s="44">
        <v>1550551635</v>
      </c>
      <c r="E93" s="53" t="s">
        <v>94</v>
      </c>
      <c r="F93" s="44">
        <v>6.4000000000000005E-4</v>
      </c>
      <c r="H93" s="1" t="s">
        <v>463</v>
      </c>
      <c r="I93" s="5" t="s">
        <v>2</v>
      </c>
      <c r="J93" s="49">
        <f t="shared" si="2"/>
        <v>0.57075999999999993</v>
      </c>
      <c r="K93" s="50" t="str">
        <f t="shared" si="3"/>
        <v>L</v>
      </c>
      <c r="L93" s="51"/>
    </row>
    <row r="94" spans="1:12" x14ac:dyDescent="0.2">
      <c r="A94" s="42" t="s">
        <v>276</v>
      </c>
      <c r="B94" s="43" t="s">
        <v>366</v>
      </c>
      <c r="C94" s="44">
        <v>26</v>
      </c>
      <c r="D94" s="44">
        <v>1550551635</v>
      </c>
      <c r="E94" s="53" t="s">
        <v>94</v>
      </c>
      <c r="F94" s="44">
        <v>1.677E-2</v>
      </c>
      <c r="H94" s="1" t="s">
        <v>38</v>
      </c>
      <c r="I94" s="5" t="s">
        <v>2</v>
      </c>
      <c r="J94" s="49">
        <f t="shared" si="2"/>
        <v>0</v>
      </c>
      <c r="K94" s="50" t="str">
        <f t="shared" si="3"/>
        <v>L</v>
      </c>
      <c r="L94" s="51"/>
    </row>
    <row r="95" spans="1:12" x14ac:dyDescent="0.2">
      <c r="A95" s="42" t="s">
        <v>276</v>
      </c>
      <c r="B95" s="43" t="s">
        <v>367</v>
      </c>
      <c r="C95" s="44">
        <v>4</v>
      </c>
      <c r="D95" s="44">
        <v>1550551635</v>
      </c>
      <c r="E95" s="53" t="s">
        <v>28</v>
      </c>
      <c r="F95" s="44">
        <v>2.5799999999999998E-3</v>
      </c>
      <c r="H95" s="1" t="s">
        <v>464</v>
      </c>
      <c r="I95" s="5" t="s">
        <v>2</v>
      </c>
      <c r="J95" s="49">
        <f t="shared" si="2"/>
        <v>0</v>
      </c>
      <c r="K95" s="50" t="str">
        <f t="shared" si="3"/>
        <v>L</v>
      </c>
      <c r="L95" s="51"/>
    </row>
    <row r="96" spans="1:12" ht="15" customHeight="1" x14ac:dyDescent="0.2">
      <c r="A96" s="42" t="s">
        <v>276</v>
      </c>
      <c r="B96" s="43" t="s">
        <v>368</v>
      </c>
      <c r="C96" s="44">
        <v>8</v>
      </c>
      <c r="D96" s="44">
        <v>1550551635</v>
      </c>
      <c r="E96" s="53" t="s">
        <v>28</v>
      </c>
      <c r="F96" s="44">
        <v>5.1599999999999997E-3</v>
      </c>
      <c r="H96" s="1" t="s">
        <v>410</v>
      </c>
      <c r="I96" s="5" t="s">
        <v>2</v>
      </c>
      <c r="J96" s="49">
        <f t="shared" si="2"/>
        <v>1.24343</v>
      </c>
      <c r="K96" s="50" t="str">
        <f t="shared" si="3"/>
        <v>M</v>
      </c>
      <c r="L96" s="51"/>
    </row>
    <row r="97" spans="1:12" x14ac:dyDescent="0.2">
      <c r="A97" s="42" t="s">
        <v>276</v>
      </c>
      <c r="B97" s="43" t="s">
        <v>369</v>
      </c>
      <c r="C97" s="44">
        <v>1</v>
      </c>
      <c r="D97" s="44">
        <v>1550551635</v>
      </c>
      <c r="E97" s="53" t="s">
        <v>94</v>
      </c>
      <c r="F97" s="44">
        <v>6.4000000000000005E-4</v>
      </c>
      <c r="H97" s="1" t="s">
        <v>433</v>
      </c>
      <c r="I97" s="5" t="s">
        <v>2</v>
      </c>
      <c r="J97" s="49">
        <f t="shared" si="2"/>
        <v>0.18895999999999999</v>
      </c>
      <c r="K97" s="50" t="str">
        <f t="shared" si="3"/>
        <v>L</v>
      </c>
      <c r="L97" s="51"/>
    </row>
    <row r="98" spans="1:12" x14ac:dyDescent="0.25">
      <c r="A98" s="107" t="s">
        <v>370</v>
      </c>
      <c r="B98" s="107"/>
      <c r="C98" s="107"/>
      <c r="D98" s="107"/>
      <c r="E98" s="107"/>
      <c r="F98" s="107"/>
      <c r="H98" s="1" t="s">
        <v>465</v>
      </c>
      <c r="I98" s="5" t="s">
        <v>2</v>
      </c>
      <c r="J98" s="49">
        <f t="shared" si="2"/>
        <v>0</v>
      </c>
      <c r="K98" s="50" t="str">
        <f t="shared" si="3"/>
        <v>L</v>
      </c>
      <c r="L98" s="51"/>
    </row>
    <row r="99" spans="1:12" x14ac:dyDescent="0.25">
      <c r="H99" s="1" t="s">
        <v>466</v>
      </c>
      <c r="I99" s="3">
        <v>4</v>
      </c>
      <c r="J99" s="49">
        <f t="shared" si="2"/>
        <v>0.12254000000000001</v>
      </c>
      <c r="K99" s="50" t="str">
        <f t="shared" si="3"/>
        <v>L</v>
      </c>
      <c r="L99" s="51"/>
    </row>
    <row r="100" spans="1:12" x14ac:dyDescent="0.25">
      <c r="H100" s="1" t="s">
        <v>467</v>
      </c>
      <c r="I100" s="5" t="s">
        <v>2</v>
      </c>
      <c r="J100" s="49">
        <f t="shared" si="2"/>
        <v>0.12254000000000001</v>
      </c>
      <c r="K100" s="50" t="str">
        <f t="shared" si="3"/>
        <v>L</v>
      </c>
      <c r="L100" s="51"/>
    </row>
    <row r="101" spans="1:12" x14ac:dyDescent="0.25">
      <c r="H101" s="1" t="s">
        <v>468</v>
      </c>
      <c r="I101" s="5" t="s">
        <v>2</v>
      </c>
      <c r="J101" s="49">
        <f t="shared" si="2"/>
        <v>0.12254000000000001</v>
      </c>
      <c r="K101" s="50" t="str">
        <f t="shared" si="3"/>
        <v>L</v>
      </c>
      <c r="L101" s="51"/>
    </row>
    <row r="102" spans="1:12" x14ac:dyDescent="0.25">
      <c r="H102" s="1" t="s">
        <v>40</v>
      </c>
      <c r="I102" s="5" t="s">
        <v>2</v>
      </c>
      <c r="J102" s="49">
        <f t="shared" si="2"/>
        <v>0.30376999999999998</v>
      </c>
      <c r="K102" s="50" t="str">
        <f t="shared" si="3"/>
        <v>L</v>
      </c>
      <c r="L102" s="51"/>
    </row>
    <row r="103" spans="1:12" x14ac:dyDescent="0.25">
      <c r="H103" s="1" t="s">
        <v>205</v>
      </c>
      <c r="I103" s="5" t="s">
        <v>2</v>
      </c>
      <c r="J103" s="49">
        <f t="shared" si="2"/>
        <v>2.2882100000000003</v>
      </c>
      <c r="K103" s="50" t="str">
        <f t="shared" si="3"/>
        <v>M</v>
      </c>
      <c r="L103" s="51"/>
    </row>
    <row r="104" spans="1:12" x14ac:dyDescent="0.25">
      <c r="H104" s="1" t="s">
        <v>208</v>
      </c>
      <c r="I104" s="5" t="s">
        <v>2</v>
      </c>
      <c r="J104" s="49">
        <f t="shared" si="2"/>
        <v>0.75713999999999992</v>
      </c>
      <c r="K104" s="50" t="str">
        <f t="shared" si="3"/>
        <v>L</v>
      </c>
      <c r="L104" s="51"/>
    </row>
    <row r="105" spans="1:12" x14ac:dyDescent="0.25">
      <c r="H105" s="1" t="s">
        <v>209</v>
      </c>
      <c r="I105" s="5" t="s">
        <v>2</v>
      </c>
      <c r="J105" s="49">
        <f t="shared" si="2"/>
        <v>0</v>
      </c>
      <c r="K105" s="50" t="str">
        <f t="shared" si="3"/>
        <v>L</v>
      </c>
      <c r="L105" s="51"/>
    </row>
    <row r="106" spans="1:12" x14ac:dyDescent="0.25">
      <c r="H106" s="1" t="s">
        <v>469</v>
      </c>
      <c r="I106" s="5" t="s">
        <v>2</v>
      </c>
      <c r="J106" s="49">
        <f t="shared" si="2"/>
        <v>0.75713999999999992</v>
      </c>
      <c r="K106" s="50" t="str">
        <f t="shared" si="3"/>
        <v>L</v>
      </c>
      <c r="L106" s="51"/>
    </row>
    <row r="107" spans="1:12" x14ac:dyDescent="0.25">
      <c r="H107" s="1" t="s">
        <v>210</v>
      </c>
      <c r="I107" s="5" t="s">
        <v>2</v>
      </c>
      <c r="J107" s="49">
        <f t="shared" si="2"/>
        <v>0</v>
      </c>
      <c r="K107" s="50" t="str">
        <f t="shared" si="3"/>
        <v>L</v>
      </c>
      <c r="L107" s="51"/>
    </row>
    <row r="108" spans="1:12" x14ac:dyDescent="0.25">
      <c r="H108" s="1" t="s">
        <v>213</v>
      </c>
      <c r="I108" s="5" t="s">
        <v>2</v>
      </c>
      <c r="J108" s="49">
        <f t="shared" si="2"/>
        <v>0</v>
      </c>
      <c r="K108" s="50" t="str">
        <f t="shared" si="3"/>
        <v>L</v>
      </c>
      <c r="L108" s="51"/>
    </row>
    <row r="109" spans="1:12" x14ac:dyDescent="0.25">
      <c r="H109" s="1" t="s">
        <v>470</v>
      </c>
      <c r="I109" s="5" t="s">
        <v>2</v>
      </c>
      <c r="J109" s="49">
        <f t="shared" si="2"/>
        <v>2.5799999999999998E-3</v>
      </c>
      <c r="K109" s="50" t="str">
        <f t="shared" si="3"/>
        <v>L</v>
      </c>
      <c r="L109" s="51"/>
    </row>
    <row r="110" spans="1:12" x14ac:dyDescent="0.25">
      <c r="H110" s="1" t="s">
        <v>471</v>
      </c>
      <c r="I110" s="5" t="s">
        <v>2</v>
      </c>
      <c r="J110" s="49">
        <f t="shared" si="2"/>
        <v>2.5799999999999998E-3</v>
      </c>
      <c r="K110" s="50" t="str">
        <f t="shared" si="3"/>
        <v>L</v>
      </c>
      <c r="L110" s="51"/>
    </row>
    <row r="111" spans="1:12" x14ac:dyDescent="0.25">
      <c r="H111" s="1" t="s">
        <v>472</v>
      </c>
      <c r="I111" s="5" t="s">
        <v>2</v>
      </c>
      <c r="J111" s="49">
        <f t="shared" si="2"/>
        <v>2.5799999999999998E-3</v>
      </c>
      <c r="K111" s="50" t="str">
        <f t="shared" si="3"/>
        <v>L</v>
      </c>
      <c r="L111" s="51"/>
    </row>
    <row r="112" spans="1:12" x14ac:dyDescent="0.25">
      <c r="H112" s="1" t="s">
        <v>217</v>
      </c>
      <c r="I112" s="5" t="s">
        <v>2</v>
      </c>
      <c r="J112" s="49">
        <f t="shared" si="2"/>
        <v>0</v>
      </c>
      <c r="K112" s="50" t="str">
        <f t="shared" si="3"/>
        <v>L</v>
      </c>
      <c r="L112" s="51"/>
    </row>
    <row r="113" spans="8:12" x14ac:dyDescent="0.25">
      <c r="H113" s="1" t="s">
        <v>473</v>
      </c>
      <c r="I113" s="5" t="s">
        <v>2</v>
      </c>
      <c r="J113" s="49">
        <f t="shared" si="2"/>
        <v>0</v>
      </c>
      <c r="K113" s="50" t="str">
        <f t="shared" si="3"/>
        <v>L</v>
      </c>
      <c r="L113" s="51"/>
    </row>
    <row r="114" spans="8:12" x14ac:dyDescent="0.25">
      <c r="H114" s="1" t="s">
        <v>474</v>
      </c>
      <c r="I114" s="5" t="s">
        <v>2</v>
      </c>
      <c r="J114" s="49">
        <f t="shared" si="2"/>
        <v>0</v>
      </c>
      <c r="K114" s="50" t="str">
        <f t="shared" si="3"/>
        <v>L</v>
      </c>
      <c r="L114" s="51"/>
    </row>
    <row r="115" spans="8:12" x14ac:dyDescent="0.25">
      <c r="H115" s="1" t="s">
        <v>453</v>
      </c>
      <c r="I115" s="5" t="s">
        <v>2</v>
      </c>
      <c r="J115" s="49">
        <f t="shared" si="2"/>
        <v>6.2560000000000004E-2</v>
      </c>
      <c r="K115" s="50" t="str">
        <f t="shared" si="3"/>
        <v>L</v>
      </c>
      <c r="L115" s="51"/>
    </row>
    <row r="116" spans="8:12" x14ac:dyDescent="0.25">
      <c r="H116" s="1" t="s">
        <v>219</v>
      </c>
      <c r="I116" s="5" t="s">
        <v>2</v>
      </c>
      <c r="J116" s="49">
        <f t="shared" si="2"/>
        <v>1.5480000000000001E-2</v>
      </c>
      <c r="K116" s="50" t="str">
        <f t="shared" si="3"/>
        <v>L</v>
      </c>
      <c r="L116" s="51"/>
    </row>
    <row r="117" spans="8:12" x14ac:dyDescent="0.25">
      <c r="H117" s="1" t="s">
        <v>475</v>
      </c>
      <c r="I117" s="2">
        <v>4</v>
      </c>
      <c r="J117" s="49">
        <f t="shared" si="2"/>
        <v>0</v>
      </c>
      <c r="K117" s="50" t="str">
        <f t="shared" si="3"/>
        <v>L</v>
      </c>
      <c r="L117" s="51"/>
    </row>
    <row r="118" spans="8:12" x14ac:dyDescent="0.25">
      <c r="H118" s="1" t="s">
        <v>476</v>
      </c>
      <c r="I118" s="5" t="s">
        <v>2</v>
      </c>
      <c r="J118" s="49">
        <f t="shared" si="2"/>
        <v>0</v>
      </c>
      <c r="K118" s="50" t="str">
        <f t="shared" si="3"/>
        <v>L</v>
      </c>
      <c r="L118" s="51"/>
    </row>
    <row r="119" spans="8:12" x14ac:dyDescent="0.25">
      <c r="H119" s="1" t="s">
        <v>477</v>
      </c>
      <c r="I119" s="5" t="s">
        <v>2</v>
      </c>
      <c r="J119" s="49">
        <f t="shared" si="2"/>
        <v>0</v>
      </c>
      <c r="K119" s="50" t="str">
        <f t="shared" si="3"/>
        <v>L</v>
      </c>
      <c r="L119" s="51"/>
    </row>
    <row r="120" spans="8:12" x14ac:dyDescent="0.25">
      <c r="H120" s="1" t="s">
        <v>478</v>
      </c>
      <c r="I120" s="2">
        <v>4</v>
      </c>
      <c r="J120" s="49">
        <f t="shared" si="2"/>
        <v>0</v>
      </c>
      <c r="K120" s="50" t="str">
        <f t="shared" si="3"/>
        <v>L</v>
      </c>
      <c r="L120" s="51"/>
    </row>
    <row r="121" spans="8:12" x14ac:dyDescent="0.25">
      <c r="H121" s="1" t="s">
        <v>479</v>
      </c>
      <c r="I121" s="5" t="s">
        <v>2</v>
      </c>
      <c r="J121" s="49">
        <f t="shared" si="2"/>
        <v>0</v>
      </c>
      <c r="K121" s="50" t="str">
        <f t="shared" si="3"/>
        <v>L</v>
      </c>
      <c r="L121" s="51"/>
    </row>
    <row r="122" spans="8:12" x14ac:dyDescent="0.25">
      <c r="H122" s="1" t="s">
        <v>480</v>
      </c>
      <c r="I122" s="2">
        <v>4</v>
      </c>
      <c r="J122" s="49">
        <f t="shared" si="2"/>
        <v>0.12254000000000001</v>
      </c>
      <c r="K122" s="50" t="str">
        <f t="shared" si="3"/>
        <v>L</v>
      </c>
      <c r="L122" s="51"/>
    </row>
    <row r="123" spans="8:12" x14ac:dyDescent="0.25">
      <c r="H123" s="1" t="s">
        <v>481</v>
      </c>
      <c r="I123" s="5" t="s">
        <v>2</v>
      </c>
      <c r="J123" s="49">
        <f t="shared" si="2"/>
        <v>0.12254000000000001</v>
      </c>
      <c r="K123" s="50" t="str">
        <f t="shared" si="3"/>
        <v>L</v>
      </c>
      <c r="L123" s="51"/>
    </row>
    <row r="124" spans="8:12" x14ac:dyDescent="0.25">
      <c r="H124" s="1" t="s">
        <v>482</v>
      </c>
      <c r="I124" s="5" t="s">
        <v>2</v>
      </c>
      <c r="J124" s="49">
        <f t="shared" si="2"/>
        <v>0</v>
      </c>
      <c r="K124" s="50" t="str">
        <f t="shared" si="3"/>
        <v>L</v>
      </c>
      <c r="L124" s="51"/>
    </row>
    <row r="125" spans="8:12" x14ac:dyDescent="0.25">
      <c r="H125" s="6" t="s">
        <v>441</v>
      </c>
      <c r="I125" s="5" t="s">
        <v>2</v>
      </c>
      <c r="J125" s="49">
        <f t="shared" si="2"/>
        <v>9.6699999999999998E-3</v>
      </c>
      <c r="K125" s="50" t="str">
        <f t="shared" si="3"/>
        <v>L</v>
      </c>
      <c r="L125" s="51"/>
    </row>
    <row r="126" spans="8:12" x14ac:dyDescent="0.25">
      <c r="H126" s="6" t="s">
        <v>421</v>
      </c>
      <c r="I126" s="5" t="s">
        <v>2</v>
      </c>
      <c r="J126" s="49">
        <f t="shared" si="2"/>
        <v>3.2200000000000002E-3</v>
      </c>
      <c r="K126" s="50" t="str">
        <f t="shared" si="3"/>
        <v>L</v>
      </c>
      <c r="L126" s="51"/>
    </row>
    <row r="127" spans="8:12" ht="15" customHeight="1" x14ac:dyDescent="0.25">
      <c r="H127" s="6" t="s">
        <v>223</v>
      </c>
      <c r="I127" s="5" t="s">
        <v>2</v>
      </c>
      <c r="J127" s="49">
        <f t="shared" si="2"/>
        <v>0</v>
      </c>
      <c r="K127" s="50" t="str">
        <f t="shared" si="3"/>
        <v>L</v>
      </c>
      <c r="L127" s="51"/>
    </row>
    <row r="128" spans="8:12" x14ac:dyDescent="0.25">
      <c r="H128" s="6" t="s">
        <v>483</v>
      </c>
      <c r="I128" s="5" t="s">
        <v>2</v>
      </c>
      <c r="J128" s="49">
        <f t="shared" si="2"/>
        <v>0</v>
      </c>
      <c r="K128" s="50" t="str">
        <f t="shared" si="3"/>
        <v>L</v>
      </c>
      <c r="L128" s="51"/>
    </row>
    <row r="129" spans="8:12" x14ac:dyDescent="0.25">
      <c r="H129" s="6" t="s">
        <v>484</v>
      </c>
      <c r="I129" s="5" t="s">
        <v>2</v>
      </c>
      <c r="J129" s="49">
        <f t="shared" si="2"/>
        <v>0</v>
      </c>
      <c r="K129" s="50" t="str">
        <f t="shared" si="3"/>
        <v>L</v>
      </c>
      <c r="L129" s="51"/>
    </row>
    <row r="130" spans="8:12" ht="15" customHeight="1" x14ac:dyDescent="0.25">
      <c r="H130" s="6" t="s">
        <v>485</v>
      </c>
      <c r="I130" s="5" t="s">
        <v>2</v>
      </c>
      <c r="J130" s="49">
        <f t="shared" ref="J130:J193" si="4">SUMIF($E$5:$E$97,"*"&amp;H130&amp;"*",$F$5:$F$97)</f>
        <v>0</v>
      </c>
      <c r="K130" s="50" t="str">
        <f t="shared" si="3"/>
        <v>L</v>
      </c>
      <c r="L130" s="51"/>
    </row>
    <row r="131" spans="8:12" ht="15" customHeight="1" x14ac:dyDescent="0.25">
      <c r="H131" s="6" t="s">
        <v>486</v>
      </c>
      <c r="I131" s="2">
        <v>4</v>
      </c>
      <c r="J131" s="49">
        <f t="shared" si="4"/>
        <v>0</v>
      </c>
      <c r="K131" s="50" t="str">
        <f t="shared" ref="K131:K194" si="5">IF(J131&lt;=1,"L",IF(J131&lt;=100,"M",IF(J131&gt;100,"H")))</f>
        <v>L</v>
      </c>
      <c r="L131" s="51"/>
    </row>
    <row r="132" spans="8:12" x14ac:dyDescent="0.25">
      <c r="H132" s="6" t="s">
        <v>487</v>
      </c>
      <c r="I132" s="2">
        <v>4</v>
      </c>
      <c r="J132" s="49">
        <f t="shared" si="4"/>
        <v>0</v>
      </c>
      <c r="K132" s="50" t="str">
        <f t="shared" si="5"/>
        <v>L</v>
      </c>
      <c r="L132" s="51"/>
    </row>
    <row r="133" spans="8:12" ht="15" customHeight="1" x14ac:dyDescent="0.25">
      <c r="H133" s="6" t="s">
        <v>488</v>
      </c>
      <c r="I133" s="5" t="s">
        <v>2</v>
      </c>
      <c r="J133" s="49">
        <f t="shared" si="4"/>
        <v>0</v>
      </c>
      <c r="K133" s="50" t="str">
        <f t="shared" si="5"/>
        <v>L</v>
      </c>
      <c r="L133" s="51"/>
    </row>
    <row r="134" spans="8:12" ht="15" customHeight="1" x14ac:dyDescent="0.25">
      <c r="H134" s="6" t="s">
        <v>489</v>
      </c>
      <c r="I134" s="2">
        <v>4</v>
      </c>
      <c r="J134" s="49">
        <f t="shared" si="4"/>
        <v>9.8669999999999994E-2</v>
      </c>
      <c r="K134" s="50" t="str">
        <f t="shared" si="5"/>
        <v>L</v>
      </c>
      <c r="L134" s="51"/>
    </row>
    <row r="135" spans="8:12" x14ac:dyDescent="0.25">
      <c r="H135" s="6" t="s">
        <v>490</v>
      </c>
      <c r="I135" s="5" t="s">
        <v>2</v>
      </c>
      <c r="J135" s="49">
        <f t="shared" si="4"/>
        <v>0</v>
      </c>
      <c r="K135" s="50" t="str">
        <f t="shared" si="5"/>
        <v>L</v>
      </c>
      <c r="L135" s="51"/>
    </row>
    <row r="136" spans="8:12" x14ac:dyDescent="0.25">
      <c r="H136" s="6" t="s">
        <v>491</v>
      </c>
      <c r="I136" s="5" t="s">
        <v>2</v>
      </c>
      <c r="J136" s="49">
        <f t="shared" si="4"/>
        <v>0</v>
      </c>
      <c r="K136" s="50" t="str">
        <f t="shared" si="5"/>
        <v>L</v>
      </c>
      <c r="L136" s="51"/>
    </row>
    <row r="137" spans="8:12" x14ac:dyDescent="0.25">
      <c r="H137" s="6" t="s">
        <v>492</v>
      </c>
      <c r="I137" s="5" t="s">
        <v>2</v>
      </c>
      <c r="J137" s="49">
        <f t="shared" si="4"/>
        <v>0</v>
      </c>
      <c r="K137" s="50" t="str">
        <f t="shared" si="5"/>
        <v>L</v>
      </c>
      <c r="L137" s="51"/>
    </row>
    <row r="138" spans="8:12" ht="15" customHeight="1" x14ac:dyDescent="0.25">
      <c r="H138" s="6" t="s">
        <v>493</v>
      </c>
      <c r="I138" s="5" t="s">
        <v>2</v>
      </c>
      <c r="J138" s="49">
        <f t="shared" si="4"/>
        <v>0</v>
      </c>
      <c r="K138" s="50" t="str">
        <f t="shared" si="5"/>
        <v>L</v>
      </c>
      <c r="L138" s="51"/>
    </row>
    <row r="139" spans="8:12" ht="15" customHeight="1" x14ac:dyDescent="0.25">
      <c r="H139" s="6" t="s">
        <v>494</v>
      </c>
      <c r="I139" s="5" t="s">
        <v>2</v>
      </c>
      <c r="J139" s="49">
        <f t="shared" si="4"/>
        <v>0</v>
      </c>
      <c r="K139" s="50" t="str">
        <f t="shared" si="5"/>
        <v>L</v>
      </c>
      <c r="L139" s="51"/>
    </row>
    <row r="140" spans="8:12" x14ac:dyDescent="0.25">
      <c r="H140" s="6" t="s">
        <v>495</v>
      </c>
      <c r="I140" s="5" t="s">
        <v>2</v>
      </c>
      <c r="J140" s="49">
        <f t="shared" si="4"/>
        <v>0</v>
      </c>
      <c r="K140" s="50" t="str">
        <f t="shared" si="5"/>
        <v>L</v>
      </c>
      <c r="L140" s="51"/>
    </row>
    <row r="141" spans="8:12" x14ac:dyDescent="0.25">
      <c r="H141" s="6" t="s">
        <v>496</v>
      </c>
      <c r="I141" s="5" t="s">
        <v>2</v>
      </c>
      <c r="J141" s="49">
        <f t="shared" si="4"/>
        <v>0</v>
      </c>
      <c r="K141" s="50" t="str">
        <f t="shared" si="5"/>
        <v>L</v>
      </c>
      <c r="L141" s="51"/>
    </row>
    <row r="142" spans="8:12" x14ac:dyDescent="0.25">
      <c r="H142" s="6" t="s">
        <v>497</v>
      </c>
      <c r="I142" s="5" t="s">
        <v>2</v>
      </c>
      <c r="J142" s="49">
        <f t="shared" si="4"/>
        <v>0</v>
      </c>
      <c r="K142" s="50" t="str">
        <f t="shared" si="5"/>
        <v>L</v>
      </c>
      <c r="L142" s="51"/>
    </row>
    <row r="143" spans="8:12" ht="15" customHeight="1" x14ac:dyDescent="0.25">
      <c r="H143" s="6" t="s">
        <v>226</v>
      </c>
      <c r="I143" s="5" t="s">
        <v>2</v>
      </c>
      <c r="J143" s="49">
        <f t="shared" si="4"/>
        <v>0</v>
      </c>
      <c r="K143" s="50" t="str">
        <f t="shared" si="5"/>
        <v>L</v>
      </c>
      <c r="L143" s="51"/>
    </row>
    <row r="144" spans="8:12" x14ac:dyDescent="0.25">
      <c r="H144" s="6" t="s">
        <v>498</v>
      </c>
      <c r="I144" s="5" t="s">
        <v>2</v>
      </c>
      <c r="J144" s="49">
        <f t="shared" si="4"/>
        <v>0</v>
      </c>
      <c r="K144" s="50" t="str">
        <f t="shared" si="5"/>
        <v>L</v>
      </c>
      <c r="L144" s="51"/>
    </row>
    <row r="145" spans="8:12" x14ac:dyDescent="0.25">
      <c r="H145" s="6" t="s">
        <v>499</v>
      </c>
      <c r="I145" s="5" t="s">
        <v>2</v>
      </c>
      <c r="J145" s="49">
        <f t="shared" si="4"/>
        <v>0</v>
      </c>
      <c r="K145" s="50" t="str">
        <f t="shared" si="5"/>
        <v>L</v>
      </c>
      <c r="L145" s="51"/>
    </row>
    <row r="146" spans="8:12" x14ac:dyDescent="0.25">
      <c r="H146" s="6" t="s">
        <v>500</v>
      </c>
      <c r="I146" s="5" t="s">
        <v>2</v>
      </c>
      <c r="J146" s="49">
        <f t="shared" si="4"/>
        <v>0</v>
      </c>
      <c r="K146" s="50" t="str">
        <f t="shared" si="5"/>
        <v>L</v>
      </c>
      <c r="L146" s="51"/>
    </row>
    <row r="147" spans="8:12" x14ac:dyDescent="0.25">
      <c r="H147" s="1" t="s">
        <v>429</v>
      </c>
      <c r="I147" s="5" t="s">
        <v>2</v>
      </c>
      <c r="J147" s="49">
        <f t="shared" si="4"/>
        <v>0.30312000000000006</v>
      </c>
      <c r="K147" s="50" t="str">
        <f t="shared" si="5"/>
        <v>L</v>
      </c>
      <c r="L147" s="51"/>
    </row>
    <row r="148" spans="8:12" ht="15" customHeight="1" x14ac:dyDescent="0.25">
      <c r="H148" s="1" t="s">
        <v>53</v>
      </c>
      <c r="I148" s="5" t="s">
        <v>2</v>
      </c>
      <c r="J148" s="49">
        <f t="shared" si="4"/>
        <v>0</v>
      </c>
      <c r="K148" s="50" t="str">
        <f t="shared" si="5"/>
        <v>L</v>
      </c>
      <c r="L148" s="51"/>
    </row>
    <row r="149" spans="8:12" x14ac:dyDescent="0.25">
      <c r="H149" s="1" t="s">
        <v>55</v>
      </c>
      <c r="I149" s="5" t="s">
        <v>2</v>
      </c>
      <c r="J149" s="49">
        <f t="shared" si="4"/>
        <v>0</v>
      </c>
      <c r="K149" s="50" t="str">
        <f t="shared" si="5"/>
        <v>L</v>
      </c>
      <c r="L149" s="51"/>
    </row>
    <row r="150" spans="8:12" ht="15" customHeight="1" x14ac:dyDescent="0.25">
      <c r="H150" s="6" t="s">
        <v>233</v>
      </c>
      <c r="I150" s="5" t="s">
        <v>2</v>
      </c>
      <c r="J150" s="49">
        <f t="shared" si="4"/>
        <v>0</v>
      </c>
      <c r="K150" s="50" t="str">
        <f t="shared" si="5"/>
        <v>L</v>
      </c>
      <c r="L150" s="51"/>
    </row>
    <row r="151" spans="8:12" x14ac:dyDescent="0.25">
      <c r="H151" s="1" t="s">
        <v>235</v>
      </c>
      <c r="I151" s="2">
        <v>5</v>
      </c>
      <c r="J151" s="49">
        <f t="shared" si="4"/>
        <v>0</v>
      </c>
      <c r="K151" s="50" t="str">
        <f t="shared" si="5"/>
        <v>L</v>
      </c>
      <c r="L151" s="51"/>
    </row>
    <row r="152" spans="8:12" x14ac:dyDescent="0.25">
      <c r="H152" s="6" t="s">
        <v>236</v>
      </c>
      <c r="I152" s="2">
        <v>4</v>
      </c>
      <c r="J152" s="49">
        <f t="shared" si="4"/>
        <v>0</v>
      </c>
      <c r="K152" s="50" t="str">
        <f t="shared" si="5"/>
        <v>L</v>
      </c>
      <c r="L152" s="51"/>
    </row>
    <row r="153" spans="8:12" x14ac:dyDescent="0.25">
      <c r="H153" s="6" t="s">
        <v>501</v>
      </c>
      <c r="I153" s="5" t="s">
        <v>2</v>
      </c>
      <c r="J153" s="49">
        <f t="shared" si="4"/>
        <v>0</v>
      </c>
      <c r="K153" s="50" t="str">
        <f t="shared" si="5"/>
        <v>L</v>
      </c>
      <c r="L153" s="51"/>
    </row>
    <row r="154" spans="8:12" x14ac:dyDescent="0.25">
      <c r="H154" s="6" t="s">
        <v>238</v>
      </c>
      <c r="I154" s="5" t="s">
        <v>2</v>
      </c>
      <c r="J154" s="49">
        <f t="shared" si="4"/>
        <v>0</v>
      </c>
      <c r="K154" s="50" t="str">
        <f t="shared" si="5"/>
        <v>L</v>
      </c>
      <c r="L154" s="51"/>
    </row>
    <row r="155" spans="8:12" x14ac:dyDescent="0.25">
      <c r="H155" s="1" t="s">
        <v>240</v>
      </c>
      <c r="I155" s="3">
        <v>5</v>
      </c>
      <c r="J155" s="49">
        <f t="shared" si="4"/>
        <v>0</v>
      </c>
      <c r="K155" s="50" t="str">
        <f t="shared" si="5"/>
        <v>L</v>
      </c>
      <c r="L155" s="51"/>
    </row>
    <row r="156" spans="8:12" x14ac:dyDescent="0.25">
      <c r="H156" s="1" t="s">
        <v>502</v>
      </c>
      <c r="I156" s="5" t="s">
        <v>2</v>
      </c>
      <c r="J156" s="49">
        <f t="shared" si="4"/>
        <v>0</v>
      </c>
      <c r="K156" s="50" t="str">
        <f t="shared" si="5"/>
        <v>L</v>
      </c>
      <c r="L156" s="51"/>
    </row>
    <row r="157" spans="8:12" x14ac:dyDescent="0.25">
      <c r="H157" s="1" t="s">
        <v>503</v>
      </c>
      <c r="I157" s="5" t="s">
        <v>2</v>
      </c>
      <c r="J157" s="49">
        <f t="shared" si="4"/>
        <v>0</v>
      </c>
      <c r="K157" s="50" t="str">
        <f t="shared" si="5"/>
        <v>L</v>
      </c>
      <c r="L157" s="51"/>
    </row>
    <row r="158" spans="8:12" x14ac:dyDescent="0.25">
      <c r="H158" s="1" t="s">
        <v>242</v>
      </c>
      <c r="I158" s="5" t="s">
        <v>2</v>
      </c>
      <c r="J158" s="49">
        <f t="shared" si="4"/>
        <v>0</v>
      </c>
      <c r="K158" s="50" t="str">
        <f t="shared" si="5"/>
        <v>L</v>
      </c>
      <c r="L158" s="51"/>
    </row>
    <row r="159" spans="8:12" ht="15" customHeight="1" x14ac:dyDescent="0.25">
      <c r="H159" s="1" t="s">
        <v>244</v>
      </c>
      <c r="I159" s="5" t="s">
        <v>2</v>
      </c>
      <c r="J159" s="49">
        <f t="shared" si="4"/>
        <v>0</v>
      </c>
      <c r="K159" s="50" t="str">
        <f t="shared" si="5"/>
        <v>L</v>
      </c>
      <c r="L159" s="51"/>
    </row>
    <row r="160" spans="8:12" x14ac:dyDescent="0.25">
      <c r="H160" s="1" t="s">
        <v>245</v>
      </c>
      <c r="I160" s="5" t="s">
        <v>2</v>
      </c>
      <c r="J160" s="49">
        <f t="shared" si="4"/>
        <v>0</v>
      </c>
      <c r="K160" s="50" t="str">
        <f t="shared" si="5"/>
        <v>L</v>
      </c>
      <c r="L160" s="51"/>
    </row>
    <row r="161" spans="8:12" x14ac:dyDescent="0.25">
      <c r="H161" s="1" t="s">
        <v>67</v>
      </c>
      <c r="I161" s="2">
        <v>4</v>
      </c>
      <c r="J161" s="49">
        <f t="shared" si="4"/>
        <v>0</v>
      </c>
      <c r="K161" s="50" t="str">
        <f t="shared" si="5"/>
        <v>L</v>
      </c>
      <c r="L161" s="51"/>
    </row>
    <row r="162" spans="8:12" x14ac:dyDescent="0.25">
      <c r="H162" s="1" t="s">
        <v>504</v>
      </c>
      <c r="I162" s="5" t="s">
        <v>2</v>
      </c>
      <c r="J162" s="49">
        <f t="shared" si="4"/>
        <v>9.0200000000000002E-3</v>
      </c>
      <c r="K162" s="50" t="str">
        <f t="shared" si="5"/>
        <v>L</v>
      </c>
      <c r="L162" s="51"/>
    </row>
    <row r="163" spans="8:12" x14ac:dyDescent="0.25">
      <c r="H163" s="1" t="s">
        <v>505</v>
      </c>
      <c r="I163" s="5" t="s">
        <v>2</v>
      </c>
      <c r="J163" s="49">
        <f t="shared" si="4"/>
        <v>9.0200000000000002E-3</v>
      </c>
      <c r="K163" s="50" t="str">
        <f t="shared" si="5"/>
        <v>L</v>
      </c>
      <c r="L163" s="51"/>
    </row>
    <row r="164" spans="8:12" x14ac:dyDescent="0.25">
      <c r="H164" s="1" t="s">
        <v>70</v>
      </c>
      <c r="I164" s="5" t="s">
        <v>2</v>
      </c>
      <c r="J164" s="49">
        <f t="shared" si="4"/>
        <v>0</v>
      </c>
      <c r="K164" s="50" t="str">
        <f t="shared" si="5"/>
        <v>L</v>
      </c>
      <c r="L164" s="51"/>
    </row>
    <row r="165" spans="8:12" x14ac:dyDescent="0.25">
      <c r="H165" s="1" t="s">
        <v>73</v>
      </c>
      <c r="I165" s="2">
        <v>4</v>
      </c>
      <c r="J165" s="49">
        <f t="shared" si="4"/>
        <v>0</v>
      </c>
      <c r="K165" s="50" t="str">
        <f t="shared" si="5"/>
        <v>L</v>
      </c>
      <c r="L165" s="51"/>
    </row>
    <row r="166" spans="8:12" x14ac:dyDescent="0.25">
      <c r="H166" s="1" t="s">
        <v>506</v>
      </c>
      <c r="I166" s="5" t="s">
        <v>2</v>
      </c>
      <c r="J166" s="49">
        <f t="shared" si="4"/>
        <v>0</v>
      </c>
      <c r="K166" s="50" t="str">
        <f t="shared" si="5"/>
        <v>L</v>
      </c>
      <c r="L166" s="51"/>
    </row>
    <row r="167" spans="8:12" x14ac:dyDescent="0.25">
      <c r="H167" s="1" t="s">
        <v>507</v>
      </c>
      <c r="I167" s="5" t="s">
        <v>2</v>
      </c>
      <c r="J167" s="49">
        <f t="shared" si="4"/>
        <v>0</v>
      </c>
      <c r="K167" s="50" t="str">
        <f t="shared" si="5"/>
        <v>L</v>
      </c>
      <c r="L167" s="51"/>
    </row>
    <row r="168" spans="8:12" ht="15" customHeight="1" x14ac:dyDescent="0.25">
      <c r="H168" s="1" t="s">
        <v>508</v>
      </c>
      <c r="I168" s="5" t="s">
        <v>2</v>
      </c>
      <c r="J168" s="49">
        <f t="shared" si="4"/>
        <v>0</v>
      </c>
      <c r="K168" s="50" t="str">
        <f t="shared" si="5"/>
        <v>L</v>
      </c>
      <c r="L168" s="51"/>
    </row>
    <row r="169" spans="8:12" x14ac:dyDescent="0.25">
      <c r="H169" s="1" t="s">
        <v>509</v>
      </c>
      <c r="I169" s="2">
        <v>5</v>
      </c>
      <c r="J169" s="49">
        <f t="shared" si="4"/>
        <v>0</v>
      </c>
      <c r="K169" s="50" t="str">
        <f t="shared" si="5"/>
        <v>L</v>
      </c>
      <c r="L169" s="51"/>
    </row>
    <row r="170" spans="8:12" x14ac:dyDescent="0.25">
      <c r="H170" s="1" t="s">
        <v>510</v>
      </c>
      <c r="I170" s="5" t="s">
        <v>2</v>
      </c>
      <c r="J170" s="49">
        <f t="shared" si="4"/>
        <v>0</v>
      </c>
      <c r="K170" s="50" t="str">
        <f t="shared" si="5"/>
        <v>L</v>
      </c>
      <c r="L170" s="51"/>
    </row>
    <row r="171" spans="8:12" ht="15" customHeight="1" x14ac:dyDescent="0.25">
      <c r="H171" s="1" t="s">
        <v>511</v>
      </c>
      <c r="I171" s="3">
        <v>4</v>
      </c>
      <c r="J171" s="49">
        <f t="shared" si="4"/>
        <v>0</v>
      </c>
      <c r="K171" s="50" t="str">
        <f t="shared" si="5"/>
        <v>L</v>
      </c>
      <c r="L171" s="51"/>
    </row>
    <row r="172" spans="8:12" x14ac:dyDescent="0.25">
      <c r="H172" s="1" t="s">
        <v>512</v>
      </c>
      <c r="I172" s="5" t="s">
        <v>2</v>
      </c>
      <c r="J172" s="49">
        <f t="shared" si="4"/>
        <v>0</v>
      </c>
      <c r="K172" s="50" t="str">
        <f t="shared" si="5"/>
        <v>L</v>
      </c>
      <c r="L172" s="51"/>
    </row>
    <row r="173" spans="8:12" x14ac:dyDescent="0.25">
      <c r="H173" s="1" t="s">
        <v>513</v>
      </c>
      <c r="I173" s="5" t="s">
        <v>2</v>
      </c>
      <c r="J173" s="49">
        <f t="shared" si="4"/>
        <v>0</v>
      </c>
      <c r="K173" s="50" t="str">
        <f t="shared" si="5"/>
        <v>L</v>
      </c>
      <c r="L173" s="51"/>
    </row>
    <row r="174" spans="8:12" x14ac:dyDescent="0.25">
      <c r="H174" s="1" t="s">
        <v>514</v>
      </c>
      <c r="I174" s="5" t="s">
        <v>2</v>
      </c>
      <c r="J174" s="49">
        <f t="shared" si="4"/>
        <v>0</v>
      </c>
      <c r="K174" s="50" t="str">
        <f t="shared" si="5"/>
        <v>L</v>
      </c>
      <c r="L174" s="51"/>
    </row>
    <row r="175" spans="8:12" x14ac:dyDescent="0.25">
      <c r="H175" s="1" t="s">
        <v>515</v>
      </c>
      <c r="I175" s="2">
        <v>5</v>
      </c>
      <c r="J175" s="49">
        <f t="shared" si="4"/>
        <v>0</v>
      </c>
      <c r="K175" s="50" t="str">
        <f t="shared" si="5"/>
        <v>L</v>
      </c>
      <c r="L175" s="51"/>
    </row>
    <row r="176" spans="8:12" ht="15" customHeight="1" x14ac:dyDescent="0.25">
      <c r="H176" s="1" t="s">
        <v>435</v>
      </c>
      <c r="I176" s="5" t="s">
        <v>2</v>
      </c>
      <c r="J176" s="49">
        <f t="shared" si="4"/>
        <v>1.2899999999999999E-3</v>
      </c>
      <c r="K176" s="50" t="str">
        <f t="shared" si="5"/>
        <v>L</v>
      </c>
      <c r="L176" s="51"/>
    </row>
    <row r="177" spans="8:12" x14ac:dyDescent="0.25">
      <c r="H177" s="1" t="s">
        <v>516</v>
      </c>
      <c r="I177" s="5" t="s">
        <v>2</v>
      </c>
      <c r="J177" s="49">
        <f t="shared" si="4"/>
        <v>0</v>
      </c>
      <c r="K177" s="50" t="str">
        <f t="shared" si="5"/>
        <v>L</v>
      </c>
      <c r="L177" s="51"/>
    </row>
    <row r="178" spans="8:12" x14ac:dyDescent="0.25">
      <c r="H178" s="6" t="s">
        <v>517</v>
      </c>
      <c r="I178" s="5" t="s">
        <v>2</v>
      </c>
      <c r="J178" s="49">
        <f t="shared" si="4"/>
        <v>0</v>
      </c>
      <c r="K178" s="50" t="str">
        <f t="shared" si="5"/>
        <v>L</v>
      </c>
      <c r="L178" s="51"/>
    </row>
    <row r="179" spans="8:12" x14ac:dyDescent="0.25">
      <c r="H179" s="6" t="s">
        <v>518</v>
      </c>
      <c r="I179" s="2">
        <v>5</v>
      </c>
      <c r="J179" s="49">
        <f t="shared" si="4"/>
        <v>0</v>
      </c>
      <c r="K179" s="50" t="str">
        <f t="shared" si="5"/>
        <v>L</v>
      </c>
      <c r="L179" s="51"/>
    </row>
    <row r="180" spans="8:12" x14ac:dyDescent="0.25">
      <c r="H180" s="6" t="s">
        <v>249</v>
      </c>
      <c r="I180" s="2">
        <v>5</v>
      </c>
      <c r="J180" s="49">
        <f t="shared" si="4"/>
        <v>0</v>
      </c>
      <c r="K180" s="50" t="str">
        <f t="shared" si="5"/>
        <v>L</v>
      </c>
      <c r="L180" s="51"/>
    </row>
    <row r="181" spans="8:12" x14ac:dyDescent="0.25">
      <c r="H181" s="6" t="s">
        <v>252</v>
      </c>
      <c r="I181" s="3">
        <v>4</v>
      </c>
      <c r="J181" s="49">
        <f t="shared" si="4"/>
        <v>0</v>
      </c>
      <c r="K181" s="50" t="str">
        <f t="shared" si="5"/>
        <v>L</v>
      </c>
      <c r="L181" s="51"/>
    </row>
    <row r="182" spans="8:12" x14ac:dyDescent="0.25">
      <c r="H182" s="6" t="s">
        <v>253</v>
      </c>
      <c r="I182" s="5" t="s">
        <v>2</v>
      </c>
      <c r="J182" s="49">
        <f t="shared" si="4"/>
        <v>0</v>
      </c>
      <c r="K182" s="50" t="str">
        <f t="shared" si="5"/>
        <v>L</v>
      </c>
      <c r="L182" s="51"/>
    </row>
    <row r="183" spans="8:12" x14ac:dyDescent="0.25">
      <c r="H183" s="6" t="s">
        <v>254</v>
      </c>
      <c r="I183" s="5" t="s">
        <v>2</v>
      </c>
      <c r="J183" s="49">
        <f t="shared" si="4"/>
        <v>0</v>
      </c>
      <c r="K183" s="50" t="str">
        <f t="shared" si="5"/>
        <v>L</v>
      </c>
      <c r="L183" s="51"/>
    </row>
    <row r="184" spans="8:12" x14ac:dyDescent="0.25">
      <c r="H184" s="6" t="s">
        <v>519</v>
      </c>
      <c r="I184" s="5" t="s">
        <v>2</v>
      </c>
      <c r="J184" s="49">
        <f t="shared" si="4"/>
        <v>0</v>
      </c>
      <c r="K184" s="50" t="str">
        <f t="shared" si="5"/>
        <v>L</v>
      </c>
      <c r="L184" s="51"/>
    </row>
    <row r="185" spans="8:12" x14ac:dyDescent="0.25">
      <c r="H185" s="6" t="s">
        <v>520</v>
      </c>
      <c r="I185" s="5" t="s">
        <v>2</v>
      </c>
      <c r="J185" s="49">
        <f t="shared" si="4"/>
        <v>0</v>
      </c>
      <c r="K185" s="50" t="str">
        <f t="shared" si="5"/>
        <v>L</v>
      </c>
      <c r="L185" s="51"/>
    </row>
    <row r="186" spans="8:12" x14ac:dyDescent="0.25">
      <c r="H186" s="6" t="s">
        <v>521</v>
      </c>
      <c r="I186" s="5" t="s">
        <v>2</v>
      </c>
      <c r="J186" s="49">
        <f t="shared" si="4"/>
        <v>0</v>
      </c>
      <c r="K186" s="50" t="str">
        <f t="shared" si="5"/>
        <v>L</v>
      </c>
      <c r="L186" s="51"/>
    </row>
    <row r="187" spans="8:12" x14ac:dyDescent="0.25">
      <c r="H187" s="6" t="s">
        <v>522</v>
      </c>
      <c r="I187" s="5">
        <v>5</v>
      </c>
      <c r="J187" s="49">
        <f t="shared" si="4"/>
        <v>0</v>
      </c>
      <c r="K187" s="50" t="str">
        <f t="shared" si="5"/>
        <v>L</v>
      </c>
      <c r="L187" s="51"/>
    </row>
    <row r="188" spans="8:12" x14ac:dyDescent="0.25">
      <c r="H188" s="6" t="s">
        <v>256</v>
      </c>
      <c r="I188" s="5">
        <v>4</v>
      </c>
      <c r="J188" s="49">
        <f t="shared" si="4"/>
        <v>0</v>
      </c>
      <c r="K188" s="50" t="str">
        <f t="shared" si="5"/>
        <v>L</v>
      </c>
      <c r="L188" s="51"/>
    </row>
    <row r="189" spans="8:12" x14ac:dyDescent="0.25">
      <c r="H189" s="6" t="s">
        <v>258</v>
      </c>
      <c r="I189" s="5">
        <v>5</v>
      </c>
      <c r="J189" s="49">
        <f t="shared" si="4"/>
        <v>0</v>
      </c>
      <c r="K189" s="50" t="str">
        <f t="shared" si="5"/>
        <v>L</v>
      </c>
      <c r="L189" s="51"/>
    </row>
    <row r="190" spans="8:12" x14ac:dyDescent="0.25">
      <c r="H190" s="6" t="s">
        <v>523</v>
      </c>
      <c r="I190" s="5" t="s">
        <v>2</v>
      </c>
      <c r="J190" s="49">
        <f t="shared" si="4"/>
        <v>0</v>
      </c>
      <c r="K190" s="50" t="str">
        <f t="shared" si="5"/>
        <v>L</v>
      </c>
      <c r="L190" s="51"/>
    </row>
    <row r="191" spans="8:12" x14ac:dyDescent="0.25">
      <c r="H191" s="6" t="s">
        <v>524</v>
      </c>
      <c r="I191" s="5" t="s">
        <v>2</v>
      </c>
      <c r="J191" s="49">
        <f t="shared" si="4"/>
        <v>0</v>
      </c>
      <c r="K191" s="50" t="str">
        <f t="shared" si="5"/>
        <v>L</v>
      </c>
      <c r="L191" s="51"/>
    </row>
    <row r="192" spans="8:12" x14ac:dyDescent="0.25">
      <c r="H192" s="6" t="s">
        <v>525</v>
      </c>
      <c r="I192" s="5">
        <v>5</v>
      </c>
      <c r="J192" s="49">
        <f t="shared" si="4"/>
        <v>0</v>
      </c>
      <c r="K192" s="50" t="str">
        <f t="shared" si="5"/>
        <v>L</v>
      </c>
      <c r="L192" s="51"/>
    </row>
    <row r="193" spans="8:12" x14ac:dyDescent="0.25">
      <c r="H193" s="6" t="s">
        <v>259</v>
      </c>
      <c r="I193" s="5">
        <v>4</v>
      </c>
      <c r="J193" s="49">
        <f t="shared" si="4"/>
        <v>0</v>
      </c>
      <c r="K193" s="50" t="str">
        <f t="shared" si="5"/>
        <v>L</v>
      </c>
      <c r="L193" s="51"/>
    </row>
    <row r="194" spans="8:12" x14ac:dyDescent="0.25">
      <c r="H194" s="6" t="s">
        <v>261</v>
      </c>
      <c r="I194" s="5">
        <v>5</v>
      </c>
      <c r="J194" s="49">
        <f t="shared" ref="J194:J205" si="6">SUMIF($E$5:$E$97,"*"&amp;H194&amp;"*",$F$5:$F$97)</f>
        <v>0</v>
      </c>
      <c r="K194" s="50" t="str">
        <f t="shared" si="5"/>
        <v>L</v>
      </c>
      <c r="L194" s="51"/>
    </row>
    <row r="195" spans="8:12" x14ac:dyDescent="0.25">
      <c r="H195" s="6" t="s">
        <v>262</v>
      </c>
      <c r="I195" s="5" t="s">
        <v>87</v>
      </c>
      <c r="J195" s="49">
        <f t="shared" si="6"/>
        <v>0</v>
      </c>
      <c r="K195" s="50" t="str">
        <f t="shared" ref="K195:K205" si="7">IF(J195&lt;=1,"L",IF(J195&lt;=100,"M",IF(J195&gt;100,"H")))</f>
        <v>L</v>
      </c>
      <c r="L195" s="51"/>
    </row>
    <row r="196" spans="8:12" x14ac:dyDescent="0.25">
      <c r="H196" s="6" t="s">
        <v>263</v>
      </c>
      <c r="I196" s="5" t="s">
        <v>87</v>
      </c>
      <c r="J196" s="49">
        <f t="shared" si="6"/>
        <v>0</v>
      </c>
      <c r="K196" s="50" t="str">
        <f t="shared" si="7"/>
        <v>L</v>
      </c>
      <c r="L196" s="51"/>
    </row>
    <row r="197" spans="8:12" x14ac:dyDescent="0.25">
      <c r="H197" s="6" t="s">
        <v>264</v>
      </c>
      <c r="I197" s="5">
        <v>4</v>
      </c>
      <c r="J197" s="49">
        <f t="shared" si="6"/>
        <v>0</v>
      </c>
      <c r="K197" s="50" t="str">
        <f t="shared" si="7"/>
        <v>L</v>
      </c>
      <c r="L197" s="51"/>
    </row>
    <row r="198" spans="8:12" x14ac:dyDescent="0.25">
      <c r="H198" s="1" t="s">
        <v>91</v>
      </c>
      <c r="I198" s="5" t="s">
        <v>2</v>
      </c>
      <c r="J198" s="49">
        <f t="shared" si="6"/>
        <v>0</v>
      </c>
      <c r="K198" s="50" t="str">
        <f t="shared" si="7"/>
        <v>L</v>
      </c>
      <c r="L198" s="51"/>
    </row>
    <row r="199" spans="8:12" x14ac:dyDescent="0.25">
      <c r="H199" s="1" t="s">
        <v>526</v>
      </c>
      <c r="I199" s="5" t="s">
        <v>2</v>
      </c>
      <c r="J199" s="49">
        <f t="shared" si="6"/>
        <v>0</v>
      </c>
      <c r="K199" s="50" t="str">
        <f t="shared" si="7"/>
        <v>L</v>
      </c>
      <c r="L199" s="51"/>
    </row>
    <row r="200" spans="8:12" x14ac:dyDescent="0.25">
      <c r="H200" s="1" t="s">
        <v>527</v>
      </c>
      <c r="I200" s="5" t="s">
        <v>2</v>
      </c>
      <c r="J200" s="49">
        <f t="shared" si="6"/>
        <v>0</v>
      </c>
      <c r="K200" s="50" t="str">
        <f t="shared" si="7"/>
        <v>L</v>
      </c>
      <c r="L200" s="51"/>
    </row>
    <row r="201" spans="8:12" x14ac:dyDescent="0.25">
      <c r="H201" s="1" t="s">
        <v>265</v>
      </c>
      <c r="I201" s="5" t="s">
        <v>2</v>
      </c>
      <c r="J201" s="49">
        <f t="shared" si="6"/>
        <v>0</v>
      </c>
      <c r="K201" s="50" t="str">
        <f t="shared" si="7"/>
        <v>L</v>
      </c>
      <c r="L201" s="51"/>
    </row>
    <row r="202" spans="8:12" x14ac:dyDescent="0.25">
      <c r="H202" s="1" t="s">
        <v>93</v>
      </c>
      <c r="I202" s="3" t="s">
        <v>94</v>
      </c>
      <c r="J202" s="49">
        <f t="shared" si="6"/>
        <v>0</v>
      </c>
      <c r="K202" s="50" t="str">
        <f t="shared" si="7"/>
        <v>L</v>
      </c>
      <c r="L202" s="51"/>
    </row>
    <row r="203" spans="8:12" x14ac:dyDescent="0.25">
      <c r="H203" s="1" t="s">
        <v>96</v>
      </c>
      <c r="I203" s="5" t="s">
        <v>2</v>
      </c>
      <c r="J203" s="49">
        <f t="shared" si="6"/>
        <v>0</v>
      </c>
      <c r="K203" s="50" t="str">
        <f t="shared" si="7"/>
        <v>L</v>
      </c>
      <c r="L203" s="51"/>
    </row>
    <row r="204" spans="8:12" x14ac:dyDescent="0.25">
      <c r="H204" s="1" t="s">
        <v>528</v>
      </c>
      <c r="I204" s="5" t="s">
        <v>2</v>
      </c>
      <c r="J204" s="49">
        <f t="shared" si="6"/>
        <v>0</v>
      </c>
      <c r="K204" s="50" t="str">
        <f t="shared" si="7"/>
        <v>L</v>
      </c>
      <c r="L204" s="51"/>
    </row>
    <row r="205" spans="8:12" x14ac:dyDescent="0.25">
      <c r="H205" s="6" t="s">
        <v>195</v>
      </c>
      <c r="I205" s="5" t="s">
        <v>2</v>
      </c>
      <c r="J205" s="49">
        <f t="shared" si="6"/>
        <v>0</v>
      </c>
      <c r="K205" s="50" t="str">
        <f t="shared" si="7"/>
        <v>L</v>
      </c>
      <c r="L205" s="51"/>
    </row>
    <row r="206" spans="8:12" x14ac:dyDescent="0.25">
      <c r="J206" s="45"/>
    </row>
    <row r="207" spans="8:12" x14ac:dyDescent="0.25">
      <c r="J207" s="45"/>
    </row>
    <row r="208" spans="8:12" x14ac:dyDescent="0.25">
      <c r="J208" s="45"/>
    </row>
    <row r="209" spans="10:10" x14ac:dyDescent="0.25">
      <c r="J209" s="45"/>
    </row>
    <row r="210" spans="10:10" x14ac:dyDescent="0.25">
      <c r="J210" s="45"/>
    </row>
    <row r="211" spans="10:10" x14ac:dyDescent="0.25">
      <c r="J211" s="45"/>
    </row>
    <row r="212" spans="10:10" x14ac:dyDescent="0.25">
      <c r="J212" s="45"/>
    </row>
    <row r="213" spans="10:10" x14ac:dyDescent="0.25">
      <c r="J213" s="45"/>
    </row>
    <row r="214" spans="10:10" x14ac:dyDescent="0.25">
      <c r="J214" s="45"/>
    </row>
    <row r="215" spans="10:10" x14ac:dyDescent="0.25">
      <c r="J215" s="45"/>
    </row>
    <row r="216" spans="10:10" x14ac:dyDescent="0.25">
      <c r="J216" s="45"/>
    </row>
    <row r="217" spans="10:10" x14ac:dyDescent="0.25">
      <c r="J217" s="45"/>
    </row>
    <row r="218" spans="10:10" x14ac:dyDescent="0.25">
      <c r="J218" s="45"/>
    </row>
    <row r="219" spans="10:10" x14ac:dyDescent="0.25">
      <c r="J219" s="45"/>
    </row>
    <row r="220" spans="10:10" x14ac:dyDescent="0.25">
      <c r="J220" s="45"/>
    </row>
    <row r="221" spans="10:10" x14ac:dyDescent="0.25">
      <c r="J221" s="45"/>
    </row>
    <row r="222" spans="10:10" x14ac:dyDescent="0.25">
      <c r="J222" s="45"/>
    </row>
    <row r="223" spans="10:10" x14ac:dyDescent="0.25">
      <c r="J223" s="45"/>
    </row>
    <row r="224" spans="10:10" x14ac:dyDescent="0.25">
      <c r="J224" s="45"/>
    </row>
    <row r="225" spans="10:10" x14ac:dyDescent="0.25">
      <c r="J225" s="45"/>
    </row>
    <row r="226" spans="10:10" x14ac:dyDescent="0.25">
      <c r="J226" s="45"/>
    </row>
    <row r="227" spans="10:10" x14ac:dyDescent="0.25">
      <c r="J227" s="45"/>
    </row>
    <row r="228" spans="10:10" x14ac:dyDescent="0.25">
      <c r="J228" s="45"/>
    </row>
    <row r="229" spans="10:10" x14ac:dyDescent="0.25">
      <c r="J229" s="45"/>
    </row>
    <row r="230" spans="10:10" x14ac:dyDescent="0.25">
      <c r="J230" s="45"/>
    </row>
    <row r="231" spans="10:10" x14ac:dyDescent="0.25">
      <c r="J231" s="45"/>
    </row>
    <row r="232" spans="10:10" x14ac:dyDescent="0.25">
      <c r="J232" s="45"/>
    </row>
    <row r="233" spans="10:10" x14ac:dyDescent="0.25">
      <c r="J233" s="45"/>
    </row>
    <row r="234" spans="10:10" x14ac:dyDescent="0.25">
      <c r="J234" s="45"/>
    </row>
    <row r="235" spans="10:10" x14ac:dyDescent="0.25">
      <c r="J235" s="45"/>
    </row>
    <row r="236" spans="10:10" x14ac:dyDescent="0.25">
      <c r="J236" s="45"/>
    </row>
    <row r="237" spans="10:10" x14ac:dyDescent="0.25">
      <c r="J237" s="45"/>
    </row>
    <row r="238" spans="10:10" x14ac:dyDescent="0.25">
      <c r="J238" s="45"/>
    </row>
    <row r="239" spans="10:10" x14ac:dyDescent="0.25">
      <c r="J239" s="45"/>
    </row>
    <row r="240" spans="10:10" x14ac:dyDescent="0.25">
      <c r="J240" s="45"/>
    </row>
    <row r="241" spans="10:10" x14ac:dyDescent="0.25">
      <c r="J241" s="45"/>
    </row>
    <row r="242" spans="10:10" x14ac:dyDescent="0.25">
      <c r="J242" s="45"/>
    </row>
    <row r="243" spans="10:10" x14ac:dyDescent="0.25">
      <c r="J243" s="45"/>
    </row>
    <row r="244" spans="10:10" x14ac:dyDescent="0.25">
      <c r="J244" s="45"/>
    </row>
    <row r="245" spans="10:10" x14ac:dyDescent="0.25">
      <c r="J245" s="45"/>
    </row>
    <row r="246" spans="10:10" x14ac:dyDescent="0.25">
      <c r="J246" s="45"/>
    </row>
    <row r="247" spans="10:10" x14ac:dyDescent="0.25">
      <c r="J247" s="45"/>
    </row>
    <row r="248" spans="10:10" x14ac:dyDescent="0.25">
      <c r="J248" s="45"/>
    </row>
    <row r="249" spans="10:10" x14ac:dyDescent="0.25">
      <c r="J249" s="45"/>
    </row>
    <row r="250" spans="10:10" x14ac:dyDescent="0.25">
      <c r="J250" s="45"/>
    </row>
    <row r="251" spans="10:10" x14ac:dyDescent="0.25">
      <c r="J251" s="45"/>
    </row>
    <row r="252" spans="10:10" x14ac:dyDescent="0.25">
      <c r="J252" s="45"/>
    </row>
    <row r="253" spans="10:10" x14ac:dyDescent="0.25">
      <c r="J253" s="45"/>
    </row>
    <row r="254" spans="10:10" x14ac:dyDescent="0.25">
      <c r="J254" s="45"/>
    </row>
    <row r="255" spans="10:10" x14ac:dyDescent="0.25">
      <c r="J255" s="45"/>
    </row>
    <row r="256" spans="10:10" x14ac:dyDescent="0.25">
      <c r="J256" s="45"/>
    </row>
    <row r="257" spans="10:10" x14ac:dyDescent="0.25">
      <c r="J257" s="45"/>
    </row>
    <row r="258" spans="10:10" x14ac:dyDescent="0.25">
      <c r="J258" s="45"/>
    </row>
    <row r="259" spans="10:10" x14ac:dyDescent="0.25">
      <c r="J259" s="45"/>
    </row>
    <row r="260" spans="10:10" x14ac:dyDescent="0.25">
      <c r="J260" s="45"/>
    </row>
    <row r="261" spans="10:10" x14ac:dyDescent="0.25">
      <c r="J261" s="45"/>
    </row>
    <row r="262" spans="10:10" x14ac:dyDescent="0.25">
      <c r="J262" s="45"/>
    </row>
  </sheetData>
  <mergeCells count="4">
    <mergeCell ref="A1:F1"/>
    <mergeCell ref="A2:F2"/>
    <mergeCell ref="A3:F3"/>
    <mergeCell ref="A98:F98"/>
  </mergeCells>
  <printOptions horizontalCentered="1" gridLines="1"/>
  <pageMargins left="0.2" right="0.2" top="0.5" bottom="0.75" header="0.3" footer="0.3"/>
  <pageSetup paperSize="3" scale="78" fitToHeight="0" orientation="landscape" r:id="rId1"/>
  <headerFooter>
    <oddFooter>&amp;C&amp;"Times New Roman,Bold"&amp;9VCT-0301 (7)
Page &amp;P of &amp;N&amp;R&amp;"Times New Roman,Bold"&amp;9JJVC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644AA-FB0B-4B71-92F6-891C8DB50799}">
  <dimension ref="A1:C3047"/>
  <sheetViews>
    <sheetView workbookViewId="0"/>
  </sheetViews>
  <sheetFormatPr defaultRowHeight="15.75" thickBottom="1" x14ac:dyDescent="0.3"/>
  <cols>
    <col min="1" max="1" width="23.7109375" style="98" customWidth="1"/>
    <col min="2" max="3" width="28.5703125" style="98" customWidth="1"/>
  </cols>
  <sheetData>
    <row r="1" spans="1:3" ht="15" x14ac:dyDescent="0.25">
      <c r="A1" s="66" t="s">
        <v>869</v>
      </c>
      <c r="B1" s="67" t="s">
        <v>1</v>
      </c>
      <c r="C1" s="67" t="s">
        <v>1249</v>
      </c>
    </row>
    <row r="2" spans="1:3" ht="114.75" x14ac:dyDescent="0.25">
      <c r="A2" s="73" t="s">
        <v>869</v>
      </c>
      <c r="B2" s="1" t="s">
        <v>1</v>
      </c>
      <c r="C2" s="67" t="s">
        <v>1502</v>
      </c>
    </row>
    <row r="3" spans="1:3" ht="51" x14ac:dyDescent="0.25">
      <c r="A3" s="73" t="s">
        <v>869</v>
      </c>
      <c r="B3" s="1" t="s">
        <v>882</v>
      </c>
      <c r="C3" s="67" t="s">
        <v>1503</v>
      </c>
    </row>
    <row r="4" spans="1:3" ht="102" x14ac:dyDescent="0.25">
      <c r="A4" s="73" t="s">
        <v>869</v>
      </c>
      <c r="B4" s="1" t="s">
        <v>887</v>
      </c>
      <c r="C4" s="67" t="s">
        <v>1504</v>
      </c>
    </row>
    <row r="5" spans="1:3" ht="25.5" x14ac:dyDescent="0.25">
      <c r="A5" s="77" t="s">
        <v>869</v>
      </c>
      <c r="B5" s="6" t="s">
        <v>902</v>
      </c>
      <c r="C5" s="67" t="s">
        <v>1453</v>
      </c>
    </row>
    <row r="6" spans="1:3" ht="15" x14ac:dyDescent="0.25">
      <c r="A6" s="73" t="s">
        <v>914</v>
      </c>
      <c r="B6" s="1" t="s">
        <v>7</v>
      </c>
      <c r="C6" s="67" t="s">
        <v>1454</v>
      </c>
    </row>
    <row r="7" spans="1:3" ht="229.5" x14ac:dyDescent="0.25">
      <c r="A7" s="73" t="s">
        <v>914</v>
      </c>
      <c r="B7" s="1" t="s">
        <v>9</v>
      </c>
      <c r="C7" s="67" t="s">
        <v>1505</v>
      </c>
    </row>
    <row r="8" spans="1:3" ht="293.25" x14ac:dyDescent="0.25">
      <c r="A8" s="73" t="s">
        <v>914</v>
      </c>
      <c r="B8" s="1" t="s">
        <v>13</v>
      </c>
      <c r="C8" s="67" t="s">
        <v>1506</v>
      </c>
    </row>
    <row r="9" spans="1:3" ht="25.5" x14ac:dyDescent="0.25">
      <c r="A9" s="73" t="s">
        <v>914</v>
      </c>
      <c r="B9" s="81" t="s">
        <v>27</v>
      </c>
      <c r="C9" s="67" t="s">
        <v>1455</v>
      </c>
    </row>
    <row r="10" spans="1:3" ht="63.75" x14ac:dyDescent="0.25">
      <c r="A10" s="73" t="s">
        <v>914</v>
      </c>
      <c r="B10" s="81" t="s">
        <v>964</v>
      </c>
      <c r="C10" s="67" t="s">
        <v>1507</v>
      </c>
    </row>
    <row r="11" spans="1:3" ht="15" x14ac:dyDescent="0.25">
      <c r="A11" s="73" t="s">
        <v>914</v>
      </c>
      <c r="B11" s="81" t="s">
        <v>974</v>
      </c>
      <c r="C11" s="67" t="s">
        <v>1456</v>
      </c>
    </row>
    <row r="12" spans="1:3" ht="38.25" x14ac:dyDescent="0.25">
      <c r="A12" s="73" t="s">
        <v>914</v>
      </c>
      <c r="B12" s="81" t="s">
        <v>977</v>
      </c>
      <c r="C12" s="67" t="s">
        <v>1508</v>
      </c>
    </row>
    <row r="13" spans="1:3" ht="25.5" x14ac:dyDescent="0.25">
      <c r="A13" s="73" t="s">
        <v>914</v>
      </c>
      <c r="B13" s="1" t="s">
        <v>981</v>
      </c>
      <c r="C13" s="67" t="s">
        <v>1457</v>
      </c>
    </row>
    <row r="14" spans="1:3" ht="25.5" x14ac:dyDescent="0.25">
      <c r="A14" s="73" t="s">
        <v>914</v>
      </c>
      <c r="B14" s="1" t="s">
        <v>984</v>
      </c>
      <c r="C14" s="67" t="s">
        <v>1458</v>
      </c>
    </row>
    <row r="15" spans="1:3" ht="38.25" x14ac:dyDescent="0.25">
      <c r="A15" s="73" t="s">
        <v>914</v>
      </c>
      <c r="B15" s="1" t="s">
        <v>986</v>
      </c>
      <c r="C15" s="67" t="s">
        <v>1509</v>
      </c>
    </row>
    <row r="16" spans="1:3" ht="25.5" x14ac:dyDescent="0.25">
      <c r="A16" s="73" t="s">
        <v>914</v>
      </c>
      <c r="B16" s="1" t="s">
        <v>991</v>
      </c>
      <c r="C16" s="67" t="s">
        <v>1459</v>
      </c>
    </row>
    <row r="17" spans="1:3" ht="38.25" x14ac:dyDescent="0.25">
      <c r="A17" s="73" t="s">
        <v>914</v>
      </c>
      <c r="B17" s="1" t="s">
        <v>993</v>
      </c>
      <c r="C17" s="67" t="s">
        <v>1510</v>
      </c>
    </row>
    <row r="18" spans="1:3" ht="25.5" x14ac:dyDescent="0.25">
      <c r="A18" s="73" t="s">
        <v>914</v>
      </c>
      <c r="B18" s="1" t="s">
        <v>997</v>
      </c>
      <c r="C18" s="67" t="s">
        <v>1460</v>
      </c>
    </row>
    <row r="19" spans="1:3" ht="25.5" x14ac:dyDescent="0.25">
      <c r="A19" s="73" t="s">
        <v>914</v>
      </c>
      <c r="B19" s="1" t="s">
        <v>1000</v>
      </c>
      <c r="C19" s="67" t="s">
        <v>1511</v>
      </c>
    </row>
    <row r="20" spans="1:3" ht="38.25" x14ac:dyDescent="0.25">
      <c r="A20" s="73" t="s">
        <v>914</v>
      </c>
      <c r="B20" s="6" t="s">
        <v>1004</v>
      </c>
      <c r="C20" s="67" t="s">
        <v>1461</v>
      </c>
    </row>
    <row r="21" spans="1:3" ht="15" x14ac:dyDescent="0.25">
      <c r="A21" s="73" t="s">
        <v>914</v>
      </c>
      <c r="B21" s="6" t="s">
        <v>1007</v>
      </c>
      <c r="C21" s="67" t="s">
        <v>1462</v>
      </c>
    </row>
    <row r="22" spans="1:3" ht="15" x14ac:dyDescent="0.25">
      <c r="A22" s="73" t="s">
        <v>914</v>
      </c>
      <c r="B22" s="6" t="s">
        <v>1011</v>
      </c>
      <c r="C22" s="67" t="s">
        <v>1463</v>
      </c>
    </row>
    <row r="23" spans="1:3" ht="63.75" x14ac:dyDescent="0.25">
      <c r="A23" s="73" t="s">
        <v>1015</v>
      </c>
      <c r="B23" s="1" t="s">
        <v>33</v>
      </c>
      <c r="C23" s="67" t="s">
        <v>1512</v>
      </c>
    </row>
    <row r="24" spans="1:3" ht="25.5" x14ac:dyDescent="0.25">
      <c r="A24" s="73" t="s">
        <v>1015</v>
      </c>
      <c r="B24" s="1" t="s">
        <v>37</v>
      </c>
      <c r="C24" s="67" t="s">
        <v>1464</v>
      </c>
    </row>
    <row r="25" spans="1:3" ht="114.75" x14ac:dyDescent="0.25">
      <c r="A25" s="73" t="s">
        <v>1015</v>
      </c>
      <c r="B25" s="1" t="s">
        <v>1020</v>
      </c>
      <c r="C25" s="67" t="s">
        <v>1513</v>
      </c>
    </row>
    <row r="26" spans="1:3" ht="15" x14ac:dyDescent="0.25">
      <c r="A26" s="73" t="s">
        <v>1015</v>
      </c>
      <c r="B26" s="1" t="s">
        <v>1027</v>
      </c>
      <c r="C26" s="67" t="s">
        <v>1465</v>
      </c>
    </row>
    <row r="27" spans="1:3" ht="38.25" x14ac:dyDescent="0.25">
      <c r="A27" s="73" t="s">
        <v>1015</v>
      </c>
      <c r="B27" s="1" t="s">
        <v>1030</v>
      </c>
      <c r="C27" s="67" t="s">
        <v>1514</v>
      </c>
    </row>
    <row r="28" spans="1:3" ht="15" x14ac:dyDescent="0.25">
      <c r="A28" s="73" t="s">
        <v>1015</v>
      </c>
      <c r="B28" s="1" t="s">
        <v>1038</v>
      </c>
      <c r="C28" s="67" t="s">
        <v>1466</v>
      </c>
    </row>
    <row r="29" spans="1:3" ht="102" x14ac:dyDescent="0.25">
      <c r="A29" s="73" t="s">
        <v>1015</v>
      </c>
      <c r="B29" s="6" t="s">
        <v>42</v>
      </c>
      <c r="C29" s="67" t="s">
        <v>1515</v>
      </c>
    </row>
    <row r="30" spans="1:3" ht="25.5" x14ac:dyDescent="0.25">
      <c r="A30" s="73" t="s">
        <v>1015</v>
      </c>
      <c r="B30" s="1" t="s">
        <v>1065</v>
      </c>
      <c r="C30" s="67" t="s">
        <v>1516</v>
      </c>
    </row>
    <row r="31" spans="1:3" ht="25.5" x14ac:dyDescent="0.25">
      <c r="A31" s="73" t="s">
        <v>1015</v>
      </c>
      <c r="B31" s="1" t="s">
        <v>1070</v>
      </c>
      <c r="C31" s="67" t="s">
        <v>1467</v>
      </c>
    </row>
    <row r="32" spans="1:3" ht="25.5" x14ac:dyDescent="0.25">
      <c r="A32" s="73" t="s">
        <v>1015</v>
      </c>
      <c r="B32" s="1" t="s">
        <v>1072</v>
      </c>
      <c r="C32" s="67" t="s">
        <v>1517</v>
      </c>
    </row>
    <row r="33" spans="1:3" ht="25.5" x14ac:dyDescent="0.25">
      <c r="A33" s="73" t="s">
        <v>1015</v>
      </c>
      <c r="B33" s="6" t="s">
        <v>1080</v>
      </c>
      <c r="C33" s="67" t="s">
        <v>1468</v>
      </c>
    </row>
    <row r="34" spans="1:3" ht="15" x14ac:dyDescent="0.25">
      <c r="A34" s="73" t="s">
        <v>1015</v>
      </c>
      <c r="B34" s="6" t="s">
        <v>1083</v>
      </c>
      <c r="C34" s="67" t="s">
        <v>1469</v>
      </c>
    </row>
    <row r="35" spans="1:3" ht="51" x14ac:dyDescent="0.25">
      <c r="A35" s="73" t="s">
        <v>1015</v>
      </c>
      <c r="B35" s="6" t="s">
        <v>48</v>
      </c>
      <c r="C35" s="67" t="s">
        <v>1470</v>
      </c>
    </row>
    <row r="36" spans="1:3" ht="38.25" x14ac:dyDescent="0.25">
      <c r="A36" s="73" t="s">
        <v>1015</v>
      </c>
      <c r="B36" s="6" t="s">
        <v>1086</v>
      </c>
      <c r="C36" s="67" t="s">
        <v>1471</v>
      </c>
    </row>
    <row r="37" spans="1:3" ht="15" x14ac:dyDescent="0.25">
      <c r="A37" s="73" t="s">
        <v>1015</v>
      </c>
      <c r="B37" s="6" t="s">
        <v>1007</v>
      </c>
      <c r="C37" s="67" t="s">
        <v>1472</v>
      </c>
    </row>
    <row r="38" spans="1:3" ht="25.5" x14ac:dyDescent="0.25">
      <c r="A38" s="73" t="s">
        <v>1015</v>
      </c>
      <c r="B38" s="6" t="s">
        <v>1091</v>
      </c>
      <c r="C38" s="67" t="s">
        <v>1473</v>
      </c>
    </row>
    <row r="39" spans="1:3" ht="15" x14ac:dyDescent="0.25">
      <c r="A39" s="73" t="s">
        <v>1015</v>
      </c>
      <c r="B39" s="6" t="s">
        <v>1094</v>
      </c>
      <c r="C39" s="67" t="s">
        <v>1474</v>
      </c>
    </row>
    <row r="40" spans="1:3" ht="38.25" x14ac:dyDescent="0.25">
      <c r="A40" s="73" t="s">
        <v>1015</v>
      </c>
      <c r="B40" s="6" t="s">
        <v>1098</v>
      </c>
      <c r="C40" s="67" t="s">
        <v>1518</v>
      </c>
    </row>
    <row r="41" spans="1:3" ht="38.25" x14ac:dyDescent="0.25">
      <c r="A41" s="73" t="s">
        <v>1015</v>
      </c>
      <c r="B41" s="6" t="s">
        <v>1103</v>
      </c>
      <c r="C41" s="67" t="s">
        <v>1475</v>
      </c>
    </row>
    <row r="42" spans="1:3" ht="51" x14ac:dyDescent="0.25">
      <c r="A42" s="73" t="s">
        <v>1015</v>
      </c>
      <c r="B42" s="6" t="s">
        <v>1106</v>
      </c>
      <c r="C42" s="67" t="s">
        <v>1519</v>
      </c>
    </row>
    <row r="43" spans="1:3" ht="25.5" x14ac:dyDescent="0.25">
      <c r="A43" s="73" t="s">
        <v>1015</v>
      </c>
      <c r="B43" s="6" t="s">
        <v>1111</v>
      </c>
      <c r="C43" s="67" t="s">
        <v>1476</v>
      </c>
    </row>
    <row r="44" spans="1:3" ht="25.5" x14ac:dyDescent="0.25">
      <c r="A44" s="73" t="s">
        <v>1015</v>
      </c>
      <c r="B44" s="6" t="s">
        <v>1118</v>
      </c>
      <c r="C44" s="67" t="s">
        <v>1520</v>
      </c>
    </row>
    <row r="45" spans="1:3" ht="15" x14ac:dyDescent="0.25">
      <c r="A45" s="73" t="s">
        <v>1015</v>
      </c>
      <c r="B45" s="6" t="s">
        <v>1130</v>
      </c>
      <c r="C45" s="67" t="s">
        <v>1477</v>
      </c>
    </row>
    <row r="46" spans="1:3" ht="30" x14ac:dyDescent="0.25">
      <c r="A46" s="73" t="s">
        <v>1133</v>
      </c>
      <c r="B46" s="1" t="s">
        <v>1134</v>
      </c>
      <c r="C46" s="67" t="s">
        <v>1478</v>
      </c>
    </row>
    <row r="47" spans="1:3" ht="30" x14ac:dyDescent="0.25">
      <c r="A47" s="73" t="s">
        <v>1133</v>
      </c>
      <c r="B47" s="1" t="s">
        <v>52</v>
      </c>
      <c r="C47" s="67" t="s">
        <v>1479</v>
      </c>
    </row>
    <row r="48" spans="1:3" ht="30" x14ac:dyDescent="0.25">
      <c r="A48" s="73" t="s">
        <v>1133</v>
      </c>
      <c r="B48" s="4" t="s">
        <v>54</v>
      </c>
      <c r="C48" s="67" t="s">
        <v>1480</v>
      </c>
    </row>
    <row r="49" spans="1:3" ht="267.75" x14ac:dyDescent="0.25">
      <c r="A49" s="73" t="s">
        <v>1133</v>
      </c>
      <c r="B49" s="1" t="s">
        <v>57</v>
      </c>
      <c r="C49" s="67" t="s">
        <v>1521</v>
      </c>
    </row>
    <row r="50" spans="1:3" ht="29.25" x14ac:dyDescent="0.25">
      <c r="A50" s="73" t="s">
        <v>1152</v>
      </c>
      <c r="B50" s="4" t="s">
        <v>66</v>
      </c>
      <c r="C50" s="67" t="s">
        <v>1481</v>
      </c>
    </row>
    <row r="51" spans="1:3" ht="29.25" x14ac:dyDescent="0.25">
      <c r="A51" s="73" t="s">
        <v>1152</v>
      </c>
      <c r="B51" s="1" t="s">
        <v>1156</v>
      </c>
      <c r="C51" s="67" t="s">
        <v>1522</v>
      </c>
    </row>
    <row r="52" spans="1:3" ht="29.25" x14ac:dyDescent="0.25">
      <c r="A52" s="73" t="s">
        <v>1152</v>
      </c>
      <c r="B52" s="1" t="s">
        <v>1159</v>
      </c>
      <c r="C52" s="67" t="s">
        <v>1482</v>
      </c>
    </row>
    <row r="53" spans="1:3" ht="29.25" x14ac:dyDescent="0.25">
      <c r="A53" s="73" t="s">
        <v>1152</v>
      </c>
      <c r="B53" s="81" t="s">
        <v>69</v>
      </c>
      <c r="C53" s="67" t="s">
        <v>1483</v>
      </c>
    </row>
    <row r="54" spans="1:3" ht="29.25" x14ac:dyDescent="0.25">
      <c r="A54" s="73" t="s">
        <v>1152</v>
      </c>
      <c r="B54" s="1" t="s">
        <v>72</v>
      </c>
      <c r="C54" s="67" t="s">
        <v>1484</v>
      </c>
    </row>
    <row r="55" spans="1:3" ht="29.25" x14ac:dyDescent="0.25">
      <c r="A55" s="73" t="s">
        <v>1152</v>
      </c>
      <c r="B55" s="1" t="s">
        <v>1164</v>
      </c>
      <c r="C55" s="67" t="s">
        <v>1485</v>
      </c>
    </row>
    <row r="56" spans="1:3" ht="51" x14ac:dyDescent="0.25">
      <c r="A56" s="73" t="s">
        <v>1152</v>
      </c>
      <c r="B56" s="81" t="s">
        <v>1167</v>
      </c>
      <c r="C56" s="67" t="s">
        <v>1523</v>
      </c>
    </row>
    <row r="57" spans="1:3" ht="29.25" x14ac:dyDescent="0.25">
      <c r="A57" s="73" t="s">
        <v>1152</v>
      </c>
      <c r="B57" s="81" t="s">
        <v>1174</v>
      </c>
      <c r="C57" s="67" t="s">
        <v>1524</v>
      </c>
    </row>
    <row r="58" spans="1:3" ht="29.25" x14ac:dyDescent="0.25">
      <c r="A58" s="77" t="s">
        <v>1179</v>
      </c>
      <c r="B58" s="81" t="s">
        <v>1182</v>
      </c>
      <c r="C58" s="67" t="s">
        <v>1486</v>
      </c>
    </row>
    <row r="59" spans="1:3" ht="29.25" x14ac:dyDescent="0.25">
      <c r="A59" s="77" t="s">
        <v>1179</v>
      </c>
      <c r="B59" s="81" t="s">
        <v>1185</v>
      </c>
      <c r="C59" s="67" t="s">
        <v>1487</v>
      </c>
    </row>
    <row r="60" spans="1:3" ht="29.25" x14ac:dyDescent="0.25">
      <c r="A60" s="77" t="s">
        <v>1179</v>
      </c>
      <c r="B60" s="81" t="s">
        <v>1187</v>
      </c>
      <c r="C60" s="67" t="s">
        <v>1488</v>
      </c>
    </row>
    <row r="61" spans="1:3" ht="29.25" x14ac:dyDescent="0.25">
      <c r="A61" s="77" t="s">
        <v>1179</v>
      </c>
      <c r="B61" s="81" t="s">
        <v>1190</v>
      </c>
      <c r="C61" s="67" t="s">
        <v>1489</v>
      </c>
    </row>
    <row r="62" spans="1:3" ht="29.25" x14ac:dyDescent="0.25">
      <c r="A62" s="77" t="s">
        <v>1179</v>
      </c>
      <c r="B62" s="81" t="s">
        <v>1193</v>
      </c>
      <c r="C62" s="67" t="s">
        <v>1490</v>
      </c>
    </row>
    <row r="63" spans="1:3" ht="29.25" x14ac:dyDescent="0.25">
      <c r="A63" s="77" t="s">
        <v>1179</v>
      </c>
      <c r="B63" s="6" t="s">
        <v>1196</v>
      </c>
      <c r="C63" s="67" t="s">
        <v>1491</v>
      </c>
    </row>
    <row r="64" spans="1:3" ht="38.25" x14ac:dyDescent="0.25">
      <c r="A64" s="77" t="s">
        <v>1179</v>
      </c>
      <c r="B64" s="6" t="s">
        <v>75</v>
      </c>
      <c r="C64" s="67" t="s">
        <v>1525</v>
      </c>
    </row>
    <row r="65" spans="1:3" ht="38.25" x14ac:dyDescent="0.25">
      <c r="A65" s="77" t="s">
        <v>1179</v>
      </c>
      <c r="B65" s="6" t="s">
        <v>76</v>
      </c>
      <c r="C65" s="67" t="s">
        <v>1526</v>
      </c>
    </row>
    <row r="66" spans="1:3" ht="29.25" x14ac:dyDescent="0.25">
      <c r="A66" s="77" t="s">
        <v>1179</v>
      </c>
      <c r="B66" s="6" t="s">
        <v>80</v>
      </c>
      <c r="C66" s="67" t="s">
        <v>1492</v>
      </c>
    </row>
    <row r="67" spans="1:3" ht="29.25" x14ac:dyDescent="0.25">
      <c r="A67" s="77" t="s">
        <v>1179</v>
      </c>
      <c r="B67" s="6" t="s">
        <v>1205</v>
      </c>
      <c r="C67" s="67" t="s">
        <v>1493</v>
      </c>
    </row>
    <row r="68" spans="1:3" ht="15" x14ac:dyDescent="0.25">
      <c r="A68" s="73" t="s">
        <v>90</v>
      </c>
      <c r="B68" s="1" t="s">
        <v>1228</v>
      </c>
      <c r="C68" s="67" t="s">
        <v>1494</v>
      </c>
    </row>
    <row r="69" spans="1:3" ht="15" x14ac:dyDescent="0.25">
      <c r="A69" s="73" t="s">
        <v>90</v>
      </c>
      <c r="B69" s="6" t="s">
        <v>1231</v>
      </c>
      <c r="C69" s="67" t="s">
        <v>1495</v>
      </c>
    </row>
    <row r="70" spans="1:3" ht="25.5" x14ac:dyDescent="0.25">
      <c r="A70" s="73" t="s">
        <v>90</v>
      </c>
      <c r="B70" s="1" t="s">
        <v>1234</v>
      </c>
      <c r="C70" s="67" t="s">
        <v>1496</v>
      </c>
    </row>
    <row r="71" spans="1:3" ht="25.5" x14ac:dyDescent="0.25">
      <c r="A71" s="73" t="s">
        <v>90</v>
      </c>
      <c r="B71" s="1" t="s">
        <v>1237</v>
      </c>
      <c r="C71" s="67" t="s">
        <v>1497</v>
      </c>
    </row>
    <row r="72" spans="1:3" ht="15" x14ac:dyDescent="0.25">
      <c r="A72" s="73" t="s">
        <v>1238</v>
      </c>
      <c r="B72" s="1" t="s">
        <v>1239</v>
      </c>
      <c r="C72" s="67" t="s">
        <v>1498</v>
      </c>
    </row>
    <row r="73" spans="1:3" ht="38.25" x14ac:dyDescent="0.25">
      <c r="A73" s="73" t="s">
        <v>1242</v>
      </c>
      <c r="B73" s="1" t="s">
        <v>95</v>
      </c>
      <c r="C73" s="67" t="s">
        <v>1499</v>
      </c>
    </row>
    <row r="74" spans="1:3" ht="25.5" x14ac:dyDescent="0.25">
      <c r="A74" s="73" t="s">
        <v>1242</v>
      </c>
      <c r="B74" s="1" t="s">
        <v>1244</v>
      </c>
      <c r="C74" s="67" t="s">
        <v>1500</v>
      </c>
    </row>
    <row r="75" spans="1:3" ht="38.25" x14ac:dyDescent="0.25">
      <c r="A75" s="73" t="s">
        <v>1242</v>
      </c>
      <c r="B75" s="6" t="s">
        <v>98</v>
      </c>
      <c r="C75" s="67" t="s">
        <v>1501</v>
      </c>
    </row>
    <row r="76" spans="1:3" ht="15" x14ac:dyDescent="0.25">
      <c r="A76"/>
      <c r="B76"/>
      <c r="C76"/>
    </row>
    <row r="77" spans="1:3" ht="15" x14ac:dyDescent="0.25">
      <c r="A77"/>
      <c r="B77"/>
      <c r="C77"/>
    </row>
    <row r="78" spans="1:3" ht="15" x14ac:dyDescent="0.25">
      <c r="A78"/>
      <c r="B78"/>
      <c r="C78"/>
    </row>
    <row r="79" spans="1:3" ht="15" x14ac:dyDescent="0.25">
      <c r="A79"/>
      <c r="B79"/>
      <c r="C79"/>
    </row>
    <row r="80" spans="1:3" ht="15" x14ac:dyDescent="0.25">
      <c r="A80"/>
      <c r="B80"/>
      <c r="C80"/>
    </row>
    <row r="81" customFormat="1" ht="15" x14ac:dyDescent="0.25"/>
    <row r="82" customFormat="1" ht="15" x14ac:dyDescent="0.25"/>
    <row r="83" customFormat="1" ht="15" x14ac:dyDescent="0.25"/>
    <row r="84" customFormat="1" ht="15" x14ac:dyDescent="0.25"/>
    <row r="85" customFormat="1" ht="15" x14ac:dyDescent="0.25"/>
    <row r="86" customFormat="1" ht="15" x14ac:dyDescent="0.25"/>
    <row r="87" customFormat="1" ht="15" x14ac:dyDescent="0.25"/>
    <row r="88" customFormat="1" ht="15" x14ac:dyDescent="0.25"/>
    <row r="89" customFormat="1" ht="15" x14ac:dyDescent="0.25"/>
    <row r="90" customFormat="1" ht="15" x14ac:dyDescent="0.25"/>
    <row r="91" customFormat="1" ht="15" x14ac:dyDescent="0.25"/>
    <row r="92" customFormat="1" ht="15" x14ac:dyDescent="0.25"/>
    <row r="93" customFormat="1" ht="15" x14ac:dyDescent="0.25"/>
    <row r="94" customFormat="1" ht="15" x14ac:dyDescent="0.25"/>
    <row r="95" customFormat="1" ht="15" x14ac:dyDescent="0.25"/>
    <row r="96" customFormat="1" ht="15" x14ac:dyDescent="0.25"/>
    <row r="97" customFormat="1" ht="15" x14ac:dyDescent="0.25"/>
    <row r="98" customFormat="1" ht="15" x14ac:dyDescent="0.25"/>
    <row r="99" customFormat="1" ht="15" x14ac:dyDescent="0.25"/>
    <row r="100" customFormat="1" ht="15" x14ac:dyDescent="0.25"/>
    <row r="101" customFormat="1" ht="15" x14ac:dyDescent="0.25"/>
    <row r="102" customFormat="1" ht="15" x14ac:dyDescent="0.25"/>
    <row r="103" customFormat="1" ht="15" x14ac:dyDescent="0.25"/>
    <row r="104" customFormat="1" ht="15" x14ac:dyDescent="0.25"/>
    <row r="105" customFormat="1" ht="15" x14ac:dyDescent="0.25"/>
    <row r="106" customFormat="1" ht="15" x14ac:dyDescent="0.25"/>
    <row r="107" customFormat="1" ht="15" x14ac:dyDescent="0.25"/>
    <row r="108" customFormat="1" ht="15" x14ac:dyDescent="0.25"/>
    <row r="109" customFormat="1" ht="15" x14ac:dyDescent="0.25"/>
    <row r="110" customFormat="1" ht="15" x14ac:dyDescent="0.25"/>
    <row r="111" customFormat="1" ht="15" x14ac:dyDescent="0.25"/>
    <row r="112" customFormat="1" ht="15" x14ac:dyDescent="0.25"/>
    <row r="113" customFormat="1" ht="15" x14ac:dyDescent="0.25"/>
    <row r="114" customFormat="1" ht="15" x14ac:dyDescent="0.25"/>
    <row r="115" customFormat="1" ht="15" x14ac:dyDescent="0.25"/>
    <row r="116" customFormat="1" ht="15" x14ac:dyDescent="0.25"/>
    <row r="117" customFormat="1" ht="15" x14ac:dyDescent="0.25"/>
    <row r="118" customFormat="1" ht="15" x14ac:dyDescent="0.25"/>
    <row r="119" customFormat="1" ht="15" x14ac:dyDescent="0.25"/>
    <row r="120" customFormat="1" ht="15" x14ac:dyDescent="0.25"/>
    <row r="121" customFormat="1" ht="15" x14ac:dyDescent="0.25"/>
    <row r="122" customFormat="1" ht="15" x14ac:dyDescent="0.25"/>
    <row r="123" customFormat="1" ht="15" x14ac:dyDescent="0.25"/>
    <row r="124" customFormat="1" ht="15" x14ac:dyDescent="0.25"/>
    <row r="125" customFormat="1" ht="15" x14ac:dyDescent="0.25"/>
    <row r="126" customFormat="1" ht="15" x14ac:dyDescent="0.25"/>
    <row r="127" customFormat="1" ht="15" x14ac:dyDescent="0.25"/>
    <row r="128" customFormat="1" ht="15" x14ac:dyDescent="0.25"/>
    <row r="129" customFormat="1" ht="15" x14ac:dyDescent="0.25"/>
    <row r="130" customFormat="1" ht="15" x14ac:dyDescent="0.25"/>
    <row r="131" customFormat="1" ht="15" x14ac:dyDescent="0.25"/>
    <row r="132" customFormat="1" ht="15" x14ac:dyDescent="0.25"/>
    <row r="133" customFormat="1" ht="15" x14ac:dyDescent="0.25"/>
    <row r="134" customFormat="1" ht="15" x14ac:dyDescent="0.25"/>
    <row r="135" customFormat="1" ht="15" x14ac:dyDescent="0.25"/>
    <row r="136" customFormat="1" ht="15" x14ac:dyDescent="0.25"/>
    <row r="137" customFormat="1" ht="15" x14ac:dyDescent="0.25"/>
    <row r="138" customFormat="1" ht="15" x14ac:dyDescent="0.25"/>
    <row r="139" customFormat="1" ht="15" x14ac:dyDescent="0.25"/>
    <row r="140" customFormat="1" ht="15" x14ac:dyDescent="0.25"/>
    <row r="141" customFormat="1" ht="15" x14ac:dyDescent="0.25"/>
    <row r="142" customFormat="1" ht="15" x14ac:dyDescent="0.25"/>
    <row r="143" customFormat="1" ht="15" x14ac:dyDescent="0.25"/>
    <row r="144" customFormat="1" ht="15" x14ac:dyDescent="0.25"/>
    <row r="145" customFormat="1" ht="15" x14ac:dyDescent="0.25"/>
    <row r="146" customFormat="1" ht="15" x14ac:dyDescent="0.25"/>
    <row r="147" customFormat="1" ht="15" x14ac:dyDescent="0.25"/>
    <row r="148" customFormat="1" ht="15" x14ac:dyDescent="0.25"/>
    <row r="149" customFormat="1" ht="15" x14ac:dyDescent="0.25"/>
    <row r="150" customFormat="1" ht="15" x14ac:dyDescent="0.25"/>
    <row r="151" customFormat="1" ht="15" x14ac:dyDescent="0.25"/>
    <row r="152" customFormat="1" ht="15" x14ac:dyDescent="0.25"/>
    <row r="153" customFormat="1" ht="15" x14ac:dyDescent="0.25"/>
    <row r="154" customFormat="1" ht="15" x14ac:dyDescent="0.25"/>
    <row r="155" customFormat="1" ht="15" x14ac:dyDescent="0.25"/>
    <row r="156" customFormat="1" ht="15" x14ac:dyDescent="0.25"/>
    <row r="157" customFormat="1" ht="15" x14ac:dyDescent="0.25"/>
    <row r="158" customFormat="1" ht="15" x14ac:dyDescent="0.25"/>
    <row r="159" customFormat="1" ht="15" x14ac:dyDescent="0.25"/>
    <row r="160" customFormat="1" ht="15" x14ac:dyDescent="0.25"/>
    <row r="161" customFormat="1" ht="15" x14ac:dyDescent="0.25"/>
    <row r="162" customFormat="1" ht="15" x14ac:dyDescent="0.25"/>
    <row r="163" customFormat="1" ht="15" x14ac:dyDescent="0.25"/>
    <row r="164" customFormat="1" ht="15" x14ac:dyDescent="0.25"/>
    <row r="165" customFormat="1" ht="15" x14ac:dyDescent="0.25"/>
    <row r="166" customFormat="1" ht="15" x14ac:dyDescent="0.25"/>
    <row r="167" customFormat="1" ht="15" x14ac:dyDescent="0.25"/>
    <row r="168" customFormat="1" ht="15" x14ac:dyDescent="0.25"/>
    <row r="169" customFormat="1" ht="15" x14ac:dyDescent="0.25"/>
    <row r="170" customFormat="1" ht="15" x14ac:dyDescent="0.25"/>
    <row r="171" customFormat="1" ht="15" x14ac:dyDescent="0.25"/>
    <row r="172" customFormat="1" ht="15" x14ac:dyDescent="0.25"/>
    <row r="173" customFormat="1" ht="15" x14ac:dyDescent="0.25"/>
    <row r="174" customFormat="1" ht="15" x14ac:dyDescent="0.25"/>
    <row r="175" customFormat="1" ht="15" x14ac:dyDescent="0.25"/>
    <row r="176" customFormat="1" ht="15" x14ac:dyDescent="0.25"/>
    <row r="177" customFormat="1" ht="15" x14ac:dyDescent="0.25"/>
    <row r="178" customFormat="1" ht="15" x14ac:dyDescent="0.25"/>
    <row r="179" customFormat="1" ht="15" x14ac:dyDescent="0.25"/>
    <row r="180" customFormat="1" ht="15" x14ac:dyDescent="0.25"/>
    <row r="181" customFormat="1" ht="15" x14ac:dyDescent="0.25"/>
    <row r="182" customFormat="1" ht="15" x14ac:dyDescent="0.25"/>
    <row r="183" customFormat="1" ht="15" x14ac:dyDescent="0.25"/>
    <row r="184" customFormat="1" ht="15" x14ac:dyDescent="0.25"/>
    <row r="185" customFormat="1" ht="15" x14ac:dyDescent="0.25"/>
    <row r="186" customFormat="1" ht="15" x14ac:dyDescent="0.25"/>
    <row r="187" customFormat="1" ht="15" x14ac:dyDescent="0.25"/>
    <row r="188" customFormat="1" ht="15" x14ac:dyDescent="0.25"/>
    <row r="189" customFormat="1" ht="15" x14ac:dyDescent="0.25"/>
    <row r="190" customFormat="1" ht="15" x14ac:dyDescent="0.25"/>
    <row r="191" customFormat="1" ht="15" x14ac:dyDescent="0.25"/>
    <row r="192" customFormat="1" ht="15" x14ac:dyDescent="0.25"/>
    <row r="193" spans="1:3" ht="15" x14ac:dyDescent="0.25">
      <c r="A193"/>
      <c r="B193"/>
      <c r="C193"/>
    </row>
    <row r="194" spans="1:3" ht="15" x14ac:dyDescent="0.25">
      <c r="A194"/>
      <c r="B194"/>
      <c r="C194"/>
    </row>
    <row r="195" spans="1:3" ht="15" x14ac:dyDescent="0.25">
      <c r="A195"/>
      <c r="B195"/>
      <c r="C195"/>
    </row>
    <row r="196" spans="1:3" ht="15" x14ac:dyDescent="0.25">
      <c r="A196"/>
      <c r="B196"/>
      <c r="C196"/>
    </row>
    <row r="197" spans="1:3" ht="15" x14ac:dyDescent="0.25">
      <c r="A197"/>
      <c r="B197"/>
      <c r="C197"/>
    </row>
    <row r="198" spans="1:3" ht="15" x14ac:dyDescent="0.25">
      <c r="A198"/>
      <c r="B198"/>
      <c r="C198"/>
    </row>
    <row r="199" spans="1:3" ht="15" x14ac:dyDescent="0.25">
      <c r="A199"/>
      <c r="B199"/>
      <c r="C199"/>
    </row>
    <row r="200" spans="1:3" ht="15" x14ac:dyDescent="0.25">
      <c r="A200"/>
      <c r="B200"/>
      <c r="C200"/>
    </row>
    <row r="201" spans="1:3" ht="15" x14ac:dyDescent="0.25">
      <c r="A201"/>
      <c r="B201"/>
      <c r="C201"/>
    </row>
    <row r="202" spans="1:3" ht="15" x14ac:dyDescent="0.25">
      <c r="A202"/>
      <c r="B202"/>
      <c r="C202"/>
    </row>
    <row r="203" spans="1:3" ht="15" x14ac:dyDescent="0.25">
      <c r="A203"/>
      <c r="B203"/>
      <c r="C203"/>
    </row>
    <row r="204" spans="1:3" ht="15" x14ac:dyDescent="0.25">
      <c r="A204"/>
      <c r="B204"/>
      <c r="C204"/>
    </row>
    <row r="205" spans="1:3" ht="15" x14ac:dyDescent="0.25">
      <c r="A205" s="90"/>
      <c r="B205" s="91"/>
      <c r="C205" s="91"/>
    </row>
    <row r="206" spans="1:3" ht="15" x14ac:dyDescent="0.25">
      <c r="A206" s="95"/>
      <c r="B206" s="91"/>
      <c r="C206" s="91"/>
    </row>
    <row r="207" spans="1:3" ht="15" x14ac:dyDescent="0.25">
      <c r="A207" s="95"/>
      <c r="B207" s="91"/>
      <c r="C207" s="91"/>
    </row>
    <row r="208" spans="1:3" ht="15" x14ac:dyDescent="0.25">
      <c r="A208" s="95"/>
      <c r="B208" s="91"/>
      <c r="C208" s="91"/>
    </row>
    <row r="209" spans="1:3" ht="15" x14ac:dyDescent="0.25">
      <c r="A209" s="95"/>
      <c r="B209" s="91"/>
      <c r="C209" s="91"/>
    </row>
    <row r="210" spans="1:3" ht="15" x14ac:dyDescent="0.25">
      <c r="A210" s="95"/>
      <c r="B210" s="91"/>
      <c r="C210" s="91"/>
    </row>
    <row r="211" spans="1:3" ht="15" x14ac:dyDescent="0.25">
      <c r="A211" s="95"/>
      <c r="B211" s="91"/>
      <c r="C211" s="91"/>
    </row>
    <row r="212" spans="1:3" ht="15" x14ac:dyDescent="0.25">
      <c r="A212" s="95"/>
      <c r="B212" s="91"/>
      <c r="C212" s="91"/>
    </row>
    <row r="213" spans="1:3" ht="15" x14ac:dyDescent="0.25">
      <c r="A213" s="95"/>
      <c r="B213" s="91"/>
      <c r="C213" s="91"/>
    </row>
    <row r="214" spans="1:3" ht="15" x14ac:dyDescent="0.25">
      <c r="A214" s="95"/>
      <c r="B214" s="91"/>
      <c r="C214" s="91"/>
    </row>
    <row r="215" spans="1:3" ht="15" x14ac:dyDescent="0.25">
      <c r="A215" s="95"/>
      <c r="B215" s="91"/>
      <c r="C215" s="91"/>
    </row>
    <row r="216" spans="1:3" ht="15" x14ac:dyDescent="0.25">
      <c r="A216" s="95"/>
      <c r="B216" s="91"/>
      <c r="C216" s="91"/>
    </row>
    <row r="217" spans="1:3" ht="15" x14ac:dyDescent="0.25">
      <c r="A217" s="95"/>
      <c r="B217" s="91"/>
      <c r="C217" s="91"/>
    </row>
    <row r="218" spans="1:3" ht="15" x14ac:dyDescent="0.25">
      <c r="A218" s="95"/>
      <c r="B218" s="91"/>
      <c r="C218" s="91"/>
    </row>
    <row r="219" spans="1:3" ht="15" x14ac:dyDescent="0.25">
      <c r="A219" s="95"/>
      <c r="B219" s="91"/>
      <c r="C219" s="91"/>
    </row>
    <row r="220" spans="1:3" ht="15" x14ac:dyDescent="0.25">
      <c r="A220" s="95"/>
      <c r="B220" s="91"/>
      <c r="C220" s="91"/>
    </row>
    <row r="221" spans="1:3" ht="15" x14ac:dyDescent="0.25">
      <c r="A221" s="95"/>
      <c r="B221" s="91"/>
      <c r="C221" s="91"/>
    </row>
    <row r="222" spans="1:3" ht="15" x14ac:dyDescent="0.25">
      <c r="A222" s="95"/>
      <c r="B222" s="91"/>
      <c r="C222" s="91"/>
    </row>
    <row r="223" spans="1:3" ht="15" x14ac:dyDescent="0.25">
      <c r="A223" s="95"/>
      <c r="B223" s="91"/>
      <c r="C223" s="91"/>
    </row>
    <row r="224" spans="1:3" ht="15" x14ac:dyDescent="0.25">
      <c r="A224" s="95"/>
      <c r="B224" s="91"/>
      <c r="C224" s="91"/>
    </row>
    <row r="225" spans="1:3" ht="15" x14ac:dyDescent="0.25">
      <c r="A225" s="95"/>
      <c r="B225" s="91"/>
      <c r="C225" s="91"/>
    </row>
    <row r="226" spans="1:3" ht="15" x14ac:dyDescent="0.25">
      <c r="A226" s="95"/>
      <c r="B226" s="95"/>
      <c r="C226" s="95"/>
    </row>
    <row r="227" spans="1:3" ht="15" x14ac:dyDescent="0.25">
      <c r="A227" s="95"/>
      <c r="B227" s="95"/>
      <c r="C227" s="95"/>
    </row>
    <row r="228" spans="1:3" ht="15" x14ac:dyDescent="0.25">
      <c r="A228" s="95"/>
      <c r="B228" s="95"/>
      <c r="C228" s="95"/>
    </row>
    <row r="229" spans="1:3" ht="15" x14ac:dyDescent="0.25">
      <c r="A229" s="95"/>
      <c r="B229" s="95"/>
      <c r="C229" s="95"/>
    </row>
    <row r="230" spans="1:3" ht="15" x14ac:dyDescent="0.25">
      <c r="A230" s="95"/>
      <c r="B230" s="95"/>
      <c r="C230" s="95"/>
    </row>
    <row r="231" spans="1:3" ht="15" x14ac:dyDescent="0.25">
      <c r="A231" s="95"/>
      <c r="B231" s="95"/>
      <c r="C231" s="95"/>
    </row>
    <row r="232" spans="1:3" ht="15" x14ac:dyDescent="0.25">
      <c r="A232" s="95"/>
      <c r="B232" s="95"/>
      <c r="C232" s="95"/>
    </row>
    <row r="233" spans="1:3" ht="15" x14ac:dyDescent="0.25">
      <c r="A233" s="95"/>
      <c r="B233" s="95"/>
      <c r="C233" s="95"/>
    </row>
    <row r="234" spans="1:3" ht="15" x14ac:dyDescent="0.25">
      <c r="A234" s="95"/>
      <c r="B234" s="95"/>
      <c r="C234" s="95"/>
    </row>
    <row r="235" spans="1:3" ht="15" x14ac:dyDescent="0.25">
      <c r="A235" s="95"/>
      <c r="B235" s="95"/>
      <c r="C235" s="95"/>
    </row>
    <row r="236" spans="1:3" ht="15" x14ac:dyDescent="0.25">
      <c r="A236" s="95"/>
      <c r="B236" s="95"/>
      <c r="C236" s="95"/>
    </row>
    <row r="237" spans="1:3" ht="15" x14ac:dyDescent="0.25">
      <c r="A237" s="95"/>
      <c r="B237" s="95"/>
      <c r="C237" s="95"/>
    </row>
    <row r="238" spans="1:3" ht="15" x14ac:dyDescent="0.25">
      <c r="A238" s="95"/>
      <c r="B238" s="95"/>
      <c r="C238" s="95"/>
    </row>
    <row r="239" spans="1:3" ht="15" x14ac:dyDescent="0.25">
      <c r="A239" s="95"/>
      <c r="B239" s="95"/>
      <c r="C239" s="95"/>
    </row>
    <row r="240" spans="1:3" ht="15" x14ac:dyDescent="0.25">
      <c r="A240" s="95"/>
      <c r="B240" s="95"/>
      <c r="C240" s="95"/>
    </row>
    <row r="241" spans="1:3" ht="15" x14ac:dyDescent="0.25">
      <c r="A241" s="95"/>
      <c r="B241" s="95"/>
      <c r="C241" s="95"/>
    </row>
    <row r="242" spans="1:3" ht="15" x14ac:dyDescent="0.25">
      <c r="A242" s="95"/>
      <c r="B242" s="95"/>
      <c r="C242" s="95"/>
    </row>
    <row r="243" spans="1:3" ht="15" x14ac:dyDescent="0.25">
      <c r="A243" s="95"/>
      <c r="B243" s="95"/>
      <c r="C243" s="95"/>
    </row>
    <row r="244" spans="1:3" ht="15" x14ac:dyDescent="0.25">
      <c r="A244" s="95"/>
      <c r="B244" s="95"/>
      <c r="C244" s="95"/>
    </row>
    <row r="245" spans="1:3" ht="15" x14ac:dyDescent="0.25">
      <c r="A245" s="95"/>
      <c r="B245" s="95"/>
      <c r="C245" s="95"/>
    </row>
    <row r="246" spans="1:3" ht="15" x14ac:dyDescent="0.25">
      <c r="A246" s="95"/>
      <c r="B246" s="95"/>
      <c r="C246" s="95"/>
    </row>
    <row r="247" spans="1:3" ht="15" x14ac:dyDescent="0.25">
      <c r="A247" s="95"/>
      <c r="B247" s="95"/>
      <c r="C247" s="95"/>
    </row>
    <row r="248" spans="1:3" ht="15" x14ac:dyDescent="0.25">
      <c r="A248" s="95"/>
      <c r="B248" s="95"/>
      <c r="C248" s="95"/>
    </row>
    <row r="249" spans="1:3" ht="15" x14ac:dyDescent="0.25">
      <c r="A249" s="95"/>
      <c r="B249" s="95"/>
      <c r="C249" s="95"/>
    </row>
    <row r="250" spans="1:3" ht="15" x14ac:dyDescent="0.25">
      <c r="A250" s="95"/>
      <c r="B250" s="95"/>
      <c r="C250" s="95"/>
    </row>
    <row r="251" spans="1:3" ht="15" x14ac:dyDescent="0.25">
      <c r="A251" s="95"/>
      <c r="B251" s="95"/>
      <c r="C251" s="95"/>
    </row>
    <row r="252" spans="1:3" ht="15" x14ac:dyDescent="0.25">
      <c r="A252" s="95"/>
      <c r="B252" s="95"/>
      <c r="C252" s="95"/>
    </row>
    <row r="253" spans="1:3" ht="15" x14ac:dyDescent="0.25">
      <c r="A253" s="95"/>
      <c r="B253" s="95"/>
      <c r="C253" s="95"/>
    </row>
    <row r="254" spans="1:3" ht="15" x14ac:dyDescent="0.25">
      <c r="A254" s="95"/>
      <c r="B254" s="95"/>
      <c r="C254" s="95"/>
    </row>
    <row r="255" spans="1:3" ht="15" x14ac:dyDescent="0.25">
      <c r="A255" s="95"/>
      <c r="B255" s="95"/>
      <c r="C255" s="95"/>
    </row>
    <row r="256" spans="1:3" ht="15" x14ac:dyDescent="0.25">
      <c r="A256" s="95"/>
      <c r="B256" s="95"/>
      <c r="C256" s="95"/>
    </row>
    <row r="257" spans="1:3" ht="15" x14ac:dyDescent="0.25">
      <c r="A257" s="95"/>
      <c r="B257" s="95"/>
      <c r="C257" s="95"/>
    </row>
    <row r="258" spans="1:3" ht="15" x14ac:dyDescent="0.25">
      <c r="A258" s="95"/>
      <c r="B258" s="95"/>
      <c r="C258" s="95"/>
    </row>
    <row r="259" spans="1:3" ht="15" x14ac:dyDescent="0.25">
      <c r="A259" s="95"/>
      <c r="B259" s="95"/>
      <c r="C259" s="95"/>
    </row>
    <row r="260" spans="1:3" ht="15" x14ac:dyDescent="0.25">
      <c r="A260" s="95"/>
      <c r="B260" s="95"/>
      <c r="C260" s="95"/>
    </row>
    <row r="261" spans="1:3" ht="15" x14ac:dyDescent="0.25">
      <c r="A261" s="95"/>
      <c r="B261" s="95"/>
      <c r="C261" s="95"/>
    </row>
    <row r="262" spans="1:3" ht="15" x14ac:dyDescent="0.25">
      <c r="A262" s="95"/>
      <c r="B262" s="95"/>
      <c r="C262" s="95"/>
    </row>
    <row r="263" spans="1:3" ht="15" x14ac:dyDescent="0.25">
      <c r="A263" s="95"/>
      <c r="B263" s="95"/>
      <c r="C263" s="95"/>
    </row>
    <row r="264" spans="1:3" ht="15" x14ac:dyDescent="0.25">
      <c r="A264" s="95"/>
      <c r="B264" s="95"/>
      <c r="C264" s="95"/>
    </row>
    <row r="265" spans="1:3" ht="15" x14ac:dyDescent="0.25">
      <c r="A265" s="95"/>
      <c r="B265" s="95"/>
      <c r="C265" s="95"/>
    </row>
    <row r="266" spans="1:3" ht="15" x14ac:dyDescent="0.25">
      <c r="A266" s="95"/>
      <c r="B266" s="95"/>
      <c r="C266" s="95"/>
    </row>
    <row r="267" spans="1:3" ht="15" x14ac:dyDescent="0.25">
      <c r="A267" s="95"/>
      <c r="B267" s="95"/>
      <c r="C267" s="95"/>
    </row>
    <row r="268" spans="1:3" ht="15" x14ac:dyDescent="0.25">
      <c r="A268" s="95"/>
      <c r="B268" s="95"/>
      <c r="C268" s="95"/>
    </row>
    <row r="269" spans="1:3" ht="15" x14ac:dyDescent="0.25">
      <c r="A269" s="95"/>
      <c r="B269" s="95"/>
      <c r="C269" s="95"/>
    </row>
    <row r="270" spans="1:3" ht="15" x14ac:dyDescent="0.25">
      <c r="A270" s="95"/>
      <c r="B270" s="95"/>
      <c r="C270" s="95"/>
    </row>
    <row r="271" spans="1:3" ht="15" x14ac:dyDescent="0.25">
      <c r="A271" s="95"/>
      <c r="B271" s="95"/>
      <c r="C271" s="95"/>
    </row>
    <row r="272" spans="1:3" ht="15" x14ac:dyDescent="0.25">
      <c r="A272" s="95"/>
      <c r="B272" s="95"/>
      <c r="C272" s="95"/>
    </row>
    <row r="273" spans="1:3" ht="15" x14ac:dyDescent="0.25">
      <c r="A273" s="95"/>
      <c r="B273" s="95"/>
      <c r="C273" s="95"/>
    </row>
    <row r="274" spans="1:3" ht="15" x14ac:dyDescent="0.25">
      <c r="A274" s="95"/>
      <c r="B274" s="95"/>
      <c r="C274" s="95"/>
    </row>
    <row r="275" spans="1:3" ht="15" x14ac:dyDescent="0.25">
      <c r="A275" s="95"/>
      <c r="B275" s="95"/>
      <c r="C275" s="95"/>
    </row>
    <row r="276" spans="1:3" ht="15" x14ac:dyDescent="0.25">
      <c r="A276" s="95"/>
      <c r="B276" s="95"/>
      <c r="C276" s="95"/>
    </row>
    <row r="277" spans="1:3" ht="15" x14ac:dyDescent="0.25">
      <c r="A277" s="95"/>
      <c r="B277" s="95"/>
      <c r="C277" s="95"/>
    </row>
    <row r="278" spans="1:3" ht="15" x14ac:dyDescent="0.25">
      <c r="A278" s="95"/>
      <c r="B278" s="95"/>
      <c r="C278" s="95"/>
    </row>
    <row r="279" spans="1:3" ht="15" x14ac:dyDescent="0.25">
      <c r="A279" s="95"/>
      <c r="B279" s="95"/>
      <c r="C279" s="95"/>
    </row>
    <row r="280" spans="1:3" ht="15" x14ac:dyDescent="0.25">
      <c r="A280" s="95"/>
      <c r="B280" s="95"/>
      <c r="C280" s="95"/>
    </row>
    <row r="281" spans="1:3" ht="15" x14ac:dyDescent="0.25">
      <c r="A281" s="95"/>
      <c r="B281" s="95"/>
      <c r="C281" s="95"/>
    </row>
    <row r="282" spans="1:3" ht="15" x14ac:dyDescent="0.25">
      <c r="A282" s="95"/>
      <c r="B282" s="95"/>
      <c r="C282" s="95"/>
    </row>
    <row r="283" spans="1:3" ht="15" x14ac:dyDescent="0.25">
      <c r="A283" s="95"/>
      <c r="B283" s="95"/>
      <c r="C283" s="95"/>
    </row>
    <row r="284" spans="1:3" ht="15" x14ac:dyDescent="0.25">
      <c r="A284" s="95"/>
      <c r="B284" s="95"/>
      <c r="C284" s="95"/>
    </row>
    <row r="285" spans="1:3" ht="15" x14ac:dyDescent="0.25">
      <c r="A285" s="95"/>
      <c r="B285" s="95"/>
      <c r="C285" s="95"/>
    </row>
    <row r="286" spans="1:3" ht="15" x14ac:dyDescent="0.25">
      <c r="A286" s="95"/>
      <c r="B286" s="95"/>
      <c r="C286" s="95"/>
    </row>
    <row r="287" spans="1:3" ht="15" x14ac:dyDescent="0.25">
      <c r="A287" s="95"/>
      <c r="B287" s="95"/>
      <c r="C287" s="95"/>
    </row>
    <row r="288" spans="1:3" ht="15" x14ac:dyDescent="0.25">
      <c r="A288" s="95"/>
      <c r="B288" s="95"/>
      <c r="C288" s="95"/>
    </row>
    <row r="289" spans="1:3" ht="15" x14ac:dyDescent="0.25">
      <c r="A289" s="95"/>
      <c r="B289" s="95"/>
      <c r="C289" s="95"/>
    </row>
    <row r="290" spans="1:3" ht="15" x14ac:dyDescent="0.25">
      <c r="A290" s="95"/>
      <c r="B290" s="95"/>
      <c r="C290" s="95"/>
    </row>
    <row r="291" spans="1:3" ht="15" x14ac:dyDescent="0.25">
      <c r="A291" s="95"/>
      <c r="B291" s="95"/>
      <c r="C291" s="95"/>
    </row>
    <row r="292" spans="1:3" ht="15" x14ac:dyDescent="0.25">
      <c r="A292" s="95"/>
      <c r="B292" s="95"/>
      <c r="C292" s="95"/>
    </row>
    <row r="293" spans="1:3" ht="15" x14ac:dyDescent="0.25">
      <c r="A293" s="95"/>
      <c r="B293" s="95"/>
      <c r="C293" s="95"/>
    </row>
    <row r="294" spans="1:3" ht="15" x14ac:dyDescent="0.25">
      <c r="A294" s="95"/>
      <c r="B294" s="95"/>
      <c r="C294" s="95"/>
    </row>
    <row r="295" spans="1:3" ht="15" x14ac:dyDescent="0.25">
      <c r="A295" s="95"/>
      <c r="B295" s="95"/>
      <c r="C295" s="95"/>
    </row>
    <row r="296" spans="1:3" ht="15" x14ac:dyDescent="0.25">
      <c r="A296" s="95"/>
      <c r="B296" s="95"/>
      <c r="C296" s="95"/>
    </row>
    <row r="297" spans="1:3" ht="15" x14ac:dyDescent="0.25">
      <c r="A297" s="95"/>
      <c r="B297" s="95"/>
      <c r="C297" s="95"/>
    </row>
    <row r="298" spans="1:3" ht="15" x14ac:dyDescent="0.25">
      <c r="A298" s="95"/>
      <c r="B298" s="95"/>
      <c r="C298" s="95"/>
    </row>
    <row r="299" spans="1:3" ht="15" x14ac:dyDescent="0.25">
      <c r="A299" s="95"/>
      <c r="B299" s="95"/>
      <c r="C299" s="95"/>
    </row>
    <row r="300" spans="1:3" ht="15" x14ac:dyDescent="0.25">
      <c r="A300" s="95"/>
      <c r="B300" s="95"/>
      <c r="C300" s="95"/>
    </row>
    <row r="301" spans="1:3" ht="15" x14ac:dyDescent="0.25">
      <c r="A301" s="95"/>
      <c r="B301" s="95"/>
      <c r="C301" s="95"/>
    </row>
    <row r="302" spans="1:3" ht="15" x14ac:dyDescent="0.25">
      <c r="A302" s="95"/>
      <c r="B302" s="95"/>
      <c r="C302" s="95"/>
    </row>
    <row r="303" spans="1:3" ht="15" x14ac:dyDescent="0.25">
      <c r="A303" s="95"/>
      <c r="B303" s="95"/>
      <c r="C303" s="95"/>
    </row>
    <row r="304" spans="1:3" ht="15" x14ac:dyDescent="0.25">
      <c r="A304" s="95"/>
      <c r="B304" s="95"/>
      <c r="C304" s="95"/>
    </row>
    <row r="305" spans="1:3" ht="15" x14ac:dyDescent="0.25">
      <c r="A305" s="95"/>
      <c r="B305" s="95"/>
      <c r="C305" s="95"/>
    </row>
    <row r="306" spans="1:3" ht="15" x14ac:dyDescent="0.25">
      <c r="A306" s="95"/>
      <c r="B306" s="95"/>
      <c r="C306" s="95"/>
    </row>
    <row r="307" spans="1:3" ht="15" x14ac:dyDescent="0.25">
      <c r="A307" s="95"/>
      <c r="B307" s="95"/>
      <c r="C307" s="95"/>
    </row>
    <row r="308" spans="1:3" ht="15" x14ac:dyDescent="0.25">
      <c r="A308" s="95"/>
      <c r="B308" s="95"/>
      <c r="C308" s="95"/>
    </row>
    <row r="309" spans="1:3" ht="15" x14ac:dyDescent="0.25">
      <c r="A309" s="95"/>
      <c r="B309" s="95"/>
      <c r="C309" s="95"/>
    </row>
    <row r="310" spans="1:3" ht="15" x14ac:dyDescent="0.25">
      <c r="A310" s="95"/>
      <c r="B310" s="95"/>
      <c r="C310" s="95"/>
    </row>
    <row r="311" spans="1:3" ht="15" x14ac:dyDescent="0.25">
      <c r="A311" s="95"/>
      <c r="B311" s="95"/>
      <c r="C311" s="95"/>
    </row>
    <row r="312" spans="1:3" ht="15" x14ac:dyDescent="0.25">
      <c r="A312" s="95"/>
      <c r="B312" s="95"/>
      <c r="C312" s="95"/>
    </row>
    <row r="313" spans="1:3" ht="15" x14ac:dyDescent="0.25">
      <c r="A313" s="95"/>
      <c r="B313" s="95"/>
      <c r="C313" s="95"/>
    </row>
    <row r="314" spans="1:3" ht="15" x14ac:dyDescent="0.25">
      <c r="A314" s="95"/>
      <c r="B314" s="95"/>
      <c r="C314" s="95"/>
    </row>
    <row r="315" spans="1:3" ht="15" x14ac:dyDescent="0.25">
      <c r="A315" s="95"/>
      <c r="B315" s="95"/>
      <c r="C315" s="95"/>
    </row>
    <row r="316" spans="1:3" ht="15" x14ac:dyDescent="0.25">
      <c r="A316" s="95"/>
      <c r="B316" s="95"/>
      <c r="C316" s="95"/>
    </row>
    <row r="317" spans="1:3" ht="15" x14ac:dyDescent="0.25">
      <c r="A317" s="95"/>
      <c r="B317" s="95"/>
      <c r="C317" s="95"/>
    </row>
    <row r="318" spans="1:3" ht="15" x14ac:dyDescent="0.25">
      <c r="A318" s="95"/>
      <c r="B318" s="95"/>
      <c r="C318" s="95"/>
    </row>
    <row r="319" spans="1:3" ht="15" x14ac:dyDescent="0.25">
      <c r="A319" s="95"/>
      <c r="B319" s="95"/>
      <c r="C319" s="95"/>
    </row>
    <row r="320" spans="1:3" ht="15" x14ac:dyDescent="0.25">
      <c r="A320" s="95"/>
      <c r="B320" s="95"/>
      <c r="C320" s="95"/>
    </row>
    <row r="321" spans="1:3" ht="15" x14ac:dyDescent="0.25">
      <c r="A321" s="95"/>
      <c r="B321" s="95"/>
      <c r="C321" s="95"/>
    </row>
    <row r="322" spans="1:3" ht="15" x14ac:dyDescent="0.25">
      <c r="A322" s="95"/>
      <c r="B322" s="95"/>
      <c r="C322" s="95"/>
    </row>
    <row r="323" spans="1:3" ht="15" x14ac:dyDescent="0.25">
      <c r="A323" s="95"/>
      <c r="B323" s="95"/>
      <c r="C323" s="95"/>
    </row>
    <row r="324" spans="1:3" ht="15" x14ac:dyDescent="0.25">
      <c r="A324" s="95"/>
      <c r="B324" s="95"/>
      <c r="C324" s="95"/>
    </row>
    <row r="325" spans="1:3" ht="15" x14ac:dyDescent="0.25">
      <c r="A325" s="95"/>
      <c r="B325" s="95"/>
      <c r="C325" s="95"/>
    </row>
    <row r="326" spans="1:3" ht="15" x14ac:dyDescent="0.25">
      <c r="A326" s="95"/>
      <c r="B326" s="95"/>
      <c r="C326" s="95"/>
    </row>
    <row r="327" spans="1:3" ht="15" x14ac:dyDescent="0.25">
      <c r="A327" s="95"/>
      <c r="B327" s="95"/>
      <c r="C327" s="95"/>
    </row>
    <row r="328" spans="1:3" ht="15" x14ac:dyDescent="0.25">
      <c r="A328" s="95"/>
      <c r="B328" s="95"/>
      <c r="C328" s="95"/>
    </row>
    <row r="329" spans="1:3" ht="15" x14ac:dyDescent="0.25">
      <c r="A329" s="95"/>
      <c r="B329" s="95"/>
      <c r="C329" s="95"/>
    </row>
    <row r="330" spans="1:3" ht="15" x14ac:dyDescent="0.25">
      <c r="A330" s="95"/>
      <c r="B330" s="95"/>
      <c r="C330" s="95"/>
    </row>
    <row r="331" spans="1:3" ht="15" x14ac:dyDescent="0.25">
      <c r="A331" s="95"/>
      <c r="B331" s="95"/>
      <c r="C331" s="95"/>
    </row>
    <row r="332" spans="1:3" ht="15" x14ac:dyDescent="0.25">
      <c r="A332" s="95"/>
      <c r="B332" s="95"/>
      <c r="C332" s="95"/>
    </row>
    <row r="333" spans="1:3" ht="15" x14ac:dyDescent="0.25">
      <c r="A333" s="95"/>
      <c r="B333" s="95"/>
      <c r="C333" s="95"/>
    </row>
    <row r="334" spans="1:3" ht="15" x14ac:dyDescent="0.25">
      <c r="A334" s="95"/>
      <c r="B334" s="95"/>
      <c r="C334" s="95"/>
    </row>
    <row r="335" spans="1:3" ht="15" x14ac:dyDescent="0.25">
      <c r="A335" s="95"/>
      <c r="B335" s="95"/>
      <c r="C335" s="95"/>
    </row>
    <row r="336" spans="1:3" ht="15" x14ac:dyDescent="0.25">
      <c r="A336" s="95"/>
      <c r="B336" s="95"/>
      <c r="C336" s="95"/>
    </row>
    <row r="337" spans="1:3" ht="15" x14ac:dyDescent="0.25">
      <c r="A337" s="95"/>
      <c r="B337" s="95"/>
      <c r="C337" s="95"/>
    </row>
    <row r="338" spans="1:3" ht="15" x14ac:dyDescent="0.25">
      <c r="A338" s="95"/>
      <c r="B338" s="95"/>
      <c r="C338" s="95"/>
    </row>
    <row r="339" spans="1:3" ht="15" x14ac:dyDescent="0.25">
      <c r="A339" s="95"/>
      <c r="B339" s="95"/>
      <c r="C339" s="95"/>
    </row>
    <row r="340" spans="1:3" ht="15" x14ac:dyDescent="0.25">
      <c r="A340" s="95"/>
      <c r="B340" s="95"/>
      <c r="C340" s="95"/>
    </row>
    <row r="341" spans="1:3" ht="15" x14ac:dyDescent="0.25">
      <c r="A341" s="95"/>
      <c r="B341" s="95"/>
      <c r="C341" s="95"/>
    </row>
    <row r="342" spans="1:3" ht="15" x14ac:dyDescent="0.25">
      <c r="A342" s="95"/>
      <c r="B342" s="95"/>
      <c r="C342" s="95"/>
    </row>
    <row r="343" spans="1:3" ht="15" x14ac:dyDescent="0.25">
      <c r="A343" s="95"/>
      <c r="B343" s="95"/>
      <c r="C343" s="95"/>
    </row>
    <row r="344" spans="1:3" ht="15" x14ac:dyDescent="0.25">
      <c r="A344" s="95"/>
      <c r="B344" s="95"/>
      <c r="C344" s="95"/>
    </row>
    <row r="345" spans="1:3" ht="15" x14ac:dyDescent="0.25">
      <c r="A345" s="95"/>
      <c r="B345" s="95"/>
      <c r="C345" s="95"/>
    </row>
    <row r="346" spans="1:3" ht="15" x14ac:dyDescent="0.25">
      <c r="A346" s="95"/>
      <c r="B346" s="95"/>
      <c r="C346" s="95"/>
    </row>
    <row r="347" spans="1:3" ht="15" x14ac:dyDescent="0.25">
      <c r="A347" s="95"/>
      <c r="B347" s="95"/>
      <c r="C347" s="95"/>
    </row>
    <row r="348" spans="1:3" ht="15" x14ac:dyDescent="0.25">
      <c r="A348" s="95"/>
      <c r="B348" s="95"/>
      <c r="C348" s="95"/>
    </row>
    <row r="349" spans="1:3" ht="15" x14ac:dyDescent="0.25">
      <c r="A349" s="95"/>
      <c r="B349" s="95"/>
      <c r="C349" s="95"/>
    </row>
    <row r="350" spans="1:3" ht="15" x14ac:dyDescent="0.25">
      <c r="A350" s="95"/>
      <c r="B350" s="95"/>
      <c r="C350" s="95"/>
    </row>
    <row r="351" spans="1:3" ht="15" x14ac:dyDescent="0.25">
      <c r="A351" s="95"/>
      <c r="B351" s="95"/>
      <c r="C351" s="95"/>
    </row>
    <row r="352" spans="1:3" ht="15" x14ac:dyDescent="0.25">
      <c r="A352" s="95"/>
      <c r="B352" s="95"/>
      <c r="C352" s="95"/>
    </row>
    <row r="353" spans="1:3" ht="15" x14ac:dyDescent="0.25">
      <c r="A353" s="95"/>
      <c r="B353" s="95"/>
      <c r="C353" s="95"/>
    </row>
    <row r="354" spans="1:3" ht="15" x14ac:dyDescent="0.25">
      <c r="A354" s="95"/>
      <c r="B354" s="95"/>
      <c r="C354" s="95"/>
    </row>
    <row r="355" spans="1:3" ht="15" x14ac:dyDescent="0.25">
      <c r="A355" s="95"/>
      <c r="B355" s="95"/>
      <c r="C355" s="95"/>
    </row>
    <row r="356" spans="1:3" ht="15" x14ac:dyDescent="0.25">
      <c r="A356" s="95"/>
      <c r="B356" s="95"/>
      <c r="C356" s="95"/>
    </row>
    <row r="357" spans="1:3" ht="15" x14ac:dyDescent="0.25">
      <c r="A357" s="95"/>
      <c r="B357" s="95"/>
      <c r="C357" s="95"/>
    </row>
    <row r="358" spans="1:3" ht="15" x14ac:dyDescent="0.25">
      <c r="A358" s="95"/>
      <c r="B358" s="95"/>
      <c r="C358" s="95"/>
    </row>
    <row r="359" spans="1:3" ht="15" x14ac:dyDescent="0.25">
      <c r="A359" s="95"/>
      <c r="B359" s="95"/>
      <c r="C359" s="95"/>
    </row>
    <row r="360" spans="1:3" ht="15" x14ac:dyDescent="0.25">
      <c r="A360" s="95"/>
      <c r="B360" s="95"/>
      <c r="C360" s="95"/>
    </row>
    <row r="361" spans="1:3" ht="15" x14ac:dyDescent="0.25">
      <c r="A361" s="95"/>
      <c r="B361" s="95"/>
      <c r="C361" s="95"/>
    </row>
    <row r="362" spans="1:3" ht="15" x14ac:dyDescent="0.25">
      <c r="A362" s="95"/>
      <c r="B362" s="95"/>
      <c r="C362" s="95"/>
    </row>
    <row r="363" spans="1:3" ht="15" x14ac:dyDescent="0.25">
      <c r="A363" s="95"/>
      <c r="B363" s="95"/>
      <c r="C363" s="95"/>
    </row>
    <row r="364" spans="1:3" ht="15" x14ac:dyDescent="0.25">
      <c r="A364" s="95"/>
      <c r="B364" s="95"/>
      <c r="C364" s="95"/>
    </row>
    <row r="365" spans="1:3" ht="15" x14ac:dyDescent="0.25">
      <c r="A365" s="95"/>
      <c r="B365" s="95"/>
      <c r="C365" s="95"/>
    </row>
    <row r="366" spans="1:3" ht="15" x14ac:dyDescent="0.25">
      <c r="A366" s="95"/>
      <c r="B366" s="95"/>
      <c r="C366" s="95"/>
    </row>
    <row r="367" spans="1:3" ht="15" x14ac:dyDescent="0.25">
      <c r="A367" s="95"/>
      <c r="B367" s="95"/>
      <c r="C367" s="95"/>
    </row>
    <row r="368" spans="1:3" ht="15" x14ac:dyDescent="0.25">
      <c r="A368" s="95"/>
      <c r="B368" s="95"/>
      <c r="C368" s="95"/>
    </row>
    <row r="369" spans="1:3" ht="15" x14ac:dyDescent="0.25">
      <c r="A369" s="95"/>
      <c r="B369" s="95"/>
      <c r="C369" s="95"/>
    </row>
    <row r="370" spans="1:3" ht="15" x14ac:dyDescent="0.25">
      <c r="A370" s="95"/>
      <c r="B370" s="95"/>
      <c r="C370" s="95"/>
    </row>
    <row r="371" spans="1:3" ht="15" x14ac:dyDescent="0.25">
      <c r="A371" s="95"/>
      <c r="B371" s="95"/>
      <c r="C371" s="95"/>
    </row>
    <row r="372" spans="1:3" ht="15" x14ac:dyDescent="0.25">
      <c r="A372" s="95"/>
      <c r="B372" s="95"/>
      <c r="C372" s="95"/>
    </row>
    <row r="373" spans="1:3" ht="15" x14ac:dyDescent="0.25">
      <c r="A373" s="95"/>
      <c r="B373" s="95"/>
      <c r="C373" s="95"/>
    </row>
    <row r="374" spans="1:3" ht="15" x14ac:dyDescent="0.25">
      <c r="A374" s="95"/>
      <c r="B374" s="95"/>
      <c r="C374" s="95"/>
    </row>
    <row r="375" spans="1:3" ht="15" x14ac:dyDescent="0.25">
      <c r="A375" s="95"/>
      <c r="B375" s="95"/>
      <c r="C375" s="95"/>
    </row>
    <row r="376" spans="1:3" ht="15" x14ac:dyDescent="0.25">
      <c r="A376" s="95"/>
      <c r="B376" s="95"/>
      <c r="C376" s="95"/>
    </row>
    <row r="377" spans="1:3" ht="15" x14ac:dyDescent="0.25">
      <c r="A377" s="95"/>
      <c r="B377" s="95"/>
      <c r="C377" s="95"/>
    </row>
    <row r="378" spans="1:3" ht="15" x14ac:dyDescent="0.25">
      <c r="A378" s="95"/>
      <c r="B378" s="95"/>
      <c r="C378" s="95"/>
    </row>
    <row r="379" spans="1:3" ht="15" x14ac:dyDescent="0.25">
      <c r="A379" s="95"/>
      <c r="B379" s="95"/>
      <c r="C379" s="95"/>
    </row>
    <row r="380" spans="1:3" ht="15" x14ac:dyDescent="0.25">
      <c r="A380" s="95"/>
      <c r="B380" s="95"/>
      <c r="C380" s="95"/>
    </row>
    <row r="381" spans="1:3" ht="15" x14ac:dyDescent="0.25">
      <c r="A381" s="95"/>
      <c r="B381" s="95"/>
      <c r="C381" s="95"/>
    </row>
    <row r="382" spans="1:3" ht="15" x14ac:dyDescent="0.25">
      <c r="A382" s="95"/>
      <c r="B382" s="95"/>
      <c r="C382" s="95"/>
    </row>
    <row r="383" spans="1:3" ht="15" x14ac:dyDescent="0.25">
      <c r="A383" s="95"/>
      <c r="B383" s="95"/>
      <c r="C383" s="95"/>
    </row>
    <row r="384" spans="1:3" ht="15" x14ac:dyDescent="0.25">
      <c r="A384" s="95"/>
      <c r="B384" s="95"/>
      <c r="C384" s="95"/>
    </row>
    <row r="385" spans="1:3" ht="15" x14ac:dyDescent="0.25">
      <c r="A385" s="95"/>
      <c r="B385" s="95"/>
      <c r="C385" s="95"/>
    </row>
    <row r="386" spans="1:3" ht="15" x14ac:dyDescent="0.25">
      <c r="A386" s="95"/>
      <c r="B386" s="95"/>
      <c r="C386" s="95"/>
    </row>
    <row r="387" spans="1:3" ht="15" x14ac:dyDescent="0.25">
      <c r="A387" s="95"/>
      <c r="B387" s="95"/>
      <c r="C387" s="95"/>
    </row>
    <row r="388" spans="1:3" ht="15" x14ac:dyDescent="0.25">
      <c r="A388" s="95"/>
      <c r="B388" s="95"/>
      <c r="C388" s="95"/>
    </row>
    <row r="389" spans="1:3" ht="15" x14ac:dyDescent="0.25">
      <c r="A389" s="95"/>
      <c r="B389" s="95"/>
      <c r="C389" s="95"/>
    </row>
    <row r="390" spans="1:3" ht="15" x14ac:dyDescent="0.25">
      <c r="A390" s="95"/>
      <c r="B390" s="95"/>
      <c r="C390" s="95"/>
    </row>
    <row r="391" spans="1:3" ht="15" x14ac:dyDescent="0.25">
      <c r="A391" s="95"/>
      <c r="B391" s="95"/>
      <c r="C391" s="95"/>
    </row>
    <row r="392" spans="1:3" ht="15" x14ac:dyDescent="0.25">
      <c r="A392" s="95"/>
      <c r="B392" s="95"/>
      <c r="C392" s="95"/>
    </row>
    <row r="393" spans="1:3" ht="15" x14ac:dyDescent="0.25">
      <c r="A393" s="95"/>
      <c r="B393" s="95"/>
      <c r="C393" s="95"/>
    </row>
    <row r="394" spans="1:3" ht="15" x14ac:dyDescent="0.25">
      <c r="A394" s="95"/>
      <c r="B394" s="95"/>
      <c r="C394" s="95"/>
    </row>
    <row r="395" spans="1:3" ht="15" x14ac:dyDescent="0.25">
      <c r="A395" s="95"/>
      <c r="B395" s="95"/>
      <c r="C395" s="95"/>
    </row>
    <row r="396" spans="1:3" ht="15" x14ac:dyDescent="0.25">
      <c r="A396" s="95"/>
      <c r="B396" s="95"/>
      <c r="C396" s="95"/>
    </row>
    <row r="397" spans="1:3" ht="15" x14ac:dyDescent="0.25">
      <c r="A397" s="95"/>
      <c r="B397" s="95"/>
      <c r="C397" s="95"/>
    </row>
    <row r="398" spans="1:3" ht="15" x14ac:dyDescent="0.25">
      <c r="A398" s="95"/>
      <c r="B398" s="95"/>
      <c r="C398" s="95"/>
    </row>
    <row r="399" spans="1:3" ht="15" x14ac:dyDescent="0.25">
      <c r="A399" s="95"/>
      <c r="B399" s="95"/>
      <c r="C399" s="95"/>
    </row>
    <row r="400" spans="1:3" ht="15" x14ac:dyDescent="0.25">
      <c r="A400" s="95"/>
      <c r="B400" s="95"/>
      <c r="C400" s="95"/>
    </row>
    <row r="401" spans="1:3" ht="15" x14ac:dyDescent="0.25">
      <c r="A401" s="95"/>
      <c r="B401" s="95"/>
      <c r="C401" s="95"/>
    </row>
    <row r="402" spans="1:3" ht="15" x14ac:dyDescent="0.25">
      <c r="A402" s="95"/>
      <c r="B402" s="95"/>
      <c r="C402" s="95"/>
    </row>
    <row r="403" spans="1:3" ht="15" x14ac:dyDescent="0.25">
      <c r="A403" s="95"/>
      <c r="B403" s="95"/>
      <c r="C403" s="95"/>
    </row>
    <row r="404" spans="1:3" ht="15" x14ac:dyDescent="0.25">
      <c r="A404" s="95"/>
      <c r="B404" s="95"/>
      <c r="C404" s="95"/>
    </row>
    <row r="405" spans="1:3" ht="15" x14ac:dyDescent="0.25">
      <c r="A405" s="95"/>
      <c r="B405" s="95"/>
      <c r="C405" s="95"/>
    </row>
    <row r="406" spans="1:3" ht="15" x14ac:dyDescent="0.25">
      <c r="A406" s="95"/>
      <c r="B406" s="95"/>
      <c r="C406" s="95"/>
    </row>
    <row r="407" spans="1:3" ht="15" x14ac:dyDescent="0.25">
      <c r="A407" s="95"/>
      <c r="B407" s="95"/>
      <c r="C407" s="95"/>
    </row>
    <row r="408" spans="1:3" ht="15" x14ac:dyDescent="0.25">
      <c r="A408" s="95"/>
      <c r="B408" s="95"/>
      <c r="C408" s="95"/>
    </row>
    <row r="409" spans="1:3" ht="15" x14ac:dyDescent="0.25">
      <c r="A409" s="95"/>
      <c r="B409" s="95"/>
      <c r="C409" s="95"/>
    </row>
    <row r="410" spans="1:3" ht="15" x14ac:dyDescent="0.25">
      <c r="A410" s="95"/>
      <c r="B410" s="95"/>
      <c r="C410" s="95"/>
    </row>
    <row r="411" spans="1:3" ht="15" x14ac:dyDescent="0.25">
      <c r="A411" s="95"/>
      <c r="B411" s="95"/>
      <c r="C411" s="95"/>
    </row>
    <row r="412" spans="1:3" ht="15" x14ac:dyDescent="0.25">
      <c r="A412" s="95"/>
      <c r="B412" s="95"/>
      <c r="C412" s="95"/>
    </row>
    <row r="413" spans="1:3" ht="15" x14ac:dyDescent="0.25">
      <c r="A413" s="95"/>
      <c r="B413" s="95"/>
      <c r="C413" s="95"/>
    </row>
    <row r="414" spans="1:3" ht="15" x14ac:dyDescent="0.25">
      <c r="A414" s="95"/>
      <c r="B414" s="95"/>
      <c r="C414" s="95"/>
    </row>
    <row r="415" spans="1:3" ht="15" x14ac:dyDescent="0.25">
      <c r="A415" s="95"/>
      <c r="B415" s="95"/>
      <c r="C415" s="95"/>
    </row>
    <row r="416" spans="1:3" ht="15" x14ac:dyDescent="0.25">
      <c r="A416" s="95"/>
      <c r="B416" s="95"/>
      <c r="C416" s="95"/>
    </row>
    <row r="417" spans="1:3" ht="15" x14ac:dyDescent="0.25">
      <c r="A417" s="95"/>
      <c r="B417" s="95"/>
      <c r="C417" s="95"/>
    </row>
    <row r="418" spans="1:3" ht="15" x14ac:dyDescent="0.25">
      <c r="A418" s="95"/>
      <c r="B418" s="95"/>
      <c r="C418" s="95"/>
    </row>
    <row r="419" spans="1:3" ht="15" x14ac:dyDescent="0.25">
      <c r="A419" s="95"/>
      <c r="B419" s="95"/>
      <c r="C419" s="95"/>
    </row>
    <row r="420" spans="1:3" ht="15" x14ac:dyDescent="0.25">
      <c r="A420" s="95"/>
      <c r="B420" s="95"/>
      <c r="C420" s="95"/>
    </row>
    <row r="421" spans="1:3" ht="15" x14ac:dyDescent="0.25">
      <c r="A421" s="95"/>
      <c r="B421" s="95"/>
      <c r="C421" s="95"/>
    </row>
    <row r="422" spans="1:3" ht="15" x14ac:dyDescent="0.25">
      <c r="A422" s="95"/>
      <c r="B422" s="95"/>
      <c r="C422" s="95"/>
    </row>
    <row r="423" spans="1:3" ht="15" x14ac:dyDescent="0.25">
      <c r="A423" s="95"/>
      <c r="B423" s="95"/>
      <c r="C423" s="95"/>
    </row>
    <row r="424" spans="1:3" ht="15" x14ac:dyDescent="0.25">
      <c r="A424" s="95"/>
      <c r="B424" s="95"/>
      <c r="C424" s="95"/>
    </row>
    <row r="425" spans="1:3" ht="15" x14ac:dyDescent="0.25">
      <c r="A425" s="95"/>
      <c r="B425" s="95"/>
      <c r="C425" s="95"/>
    </row>
    <row r="426" spans="1:3" ht="15" x14ac:dyDescent="0.25">
      <c r="A426" s="95"/>
      <c r="B426" s="95"/>
      <c r="C426" s="95"/>
    </row>
    <row r="427" spans="1:3" ht="15" x14ac:dyDescent="0.25">
      <c r="A427" s="95"/>
      <c r="B427" s="95"/>
      <c r="C427" s="95"/>
    </row>
    <row r="428" spans="1:3" ht="15" x14ac:dyDescent="0.25">
      <c r="A428" s="95"/>
      <c r="B428" s="95"/>
      <c r="C428" s="95"/>
    </row>
    <row r="429" spans="1:3" ht="15" x14ac:dyDescent="0.25">
      <c r="A429" s="95"/>
      <c r="B429" s="95"/>
      <c r="C429" s="95"/>
    </row>
    <row r="430" spans="1:3" ht="15" x14ac:dyDescent="0.25">
      <c r="A430" s="95"/>
      <c r="B430" s="95"/>
      <c r="C430" s="95"/>
    </row>
    <row r="431" spans="1:3" ht="15" x14ac:dyDescent="0.25">
      <c r="A431" s="95"/>
      <c r="B431" s="95"/>
      <c r="C431" s="95"/>
    </row>
    <row r="432" spans="1:3" ht="15" x14ac:dyDescent="0.25">
      <c r="A432" s="95"/>
      <c r="B432" s="95"/>
      <c r="C432" s="95"/>
    </row>
    <row r="433" spans="1:3" ht="15" x14ac:dyDescent="0.25">
      <c r="A433" s="95"/>
      <c r="B433" s="95"/>
      <c r="C433" s="95"/>
    </row>
    <row r="434" spans="1:3" ht="15" x14ac:dyDescent="0.25">
      <c r="A434" s="95"/>
      <c r="B434" s="95"/>
      <c r="C434" s="95"/>
    </row>
    <row r="435" spans="1:3" ht="15" x14ac:dyDescent="0.25">
      <c r="A435" s="95"/>
      <c r="B435" s="95"/>
      <c r="C435" s="95"/>
    </row>
    <row r="436" spans="1:3" ht="15" x14ac:dyDescent="0.25">
      <c r="A436" s="95"/>
      <c r="B436" s="95"/>
      <c r="C436" s="95"/>
    </row>
    <row r="437" spans="1:3" ht="15" x14ac:dyDescent="0.25">
      <c r="A437" s="95"/>
      <c r="B437" s="95"/>
      <c r="C437" s="95"/>
    </row>
    <row r="438" spans="1:3" ht="15" x14ac:dyDescent="0.25">
      <c r="A438" s="95"/>
      <c r="B438" s="95"/>
      <c r="C438" s="95"/>
    </row>
    <row r="439" spans="1:3" ht="15" x14ac:dyDescent="0.25">
      <c r="A439" s="95"/>
      <c r="B439" s="95"/>
      <c r="C439" s="95"/>
    </row>
    <row r="440" spans="1:3" ht="15" x14ac:dyDescent="0.25">
      <c r="A440" s="95"/>
      <c r="B440" s="95"/>
      <c r="C440" s="95"/>
    </row>
    <row r="441" spans="1:3" ht="15" x14ac:dyDescent="0.25">
      <c r="A441" s="95"/>
      <c r="B441" s="95"/>
      <c r="C441" s="95"/>
    </row>
    <row r="442" spans="1:3" ht="15" x14ac:dyDescent="0.25">
      <c r="A442" s="95"/>
      <c r="B442" s="95"/>
      <c r="C442" s="95"/>
    </row>
    <row r="443" spans="1:3" ht="15" x14ac:dyDescent="0.25">
      <c r="A443" s="95"/>
      <c r="B443" s="95"/>
      <c r="C443" s="95"/>
    </row>
    <row r="444" spans="1:3" ht="15" x14ac:dyDescent="0.25">
      <c r="A444" s="95"/>
      <c r="B444" s="95"/>
      <c r="C444" s="95"/>
    </row>
    <row r="445" spans="1:3" ht="15" x14ac:dyDescent="0.25">
      <c r="A445" s="95"/>
      <c r="B445" s="95"/>
      <c r="C445" s="95"/>
    </row>
    <row r="446" spans="1:3" ht="15" x14ac:dyDescent="0.25">
      <c r="A446" s="95"/>
      <c r="B446" s="95"/>
      <c r="C446" s="95"/>
    </row>
    <row r="447" spans="1:3" ht="15" x14ac:dyDescent="0.25">
      <c r="A447" s="95"/>
      <c r="B447" s="95"/>
      <c r="C447" s="95"/>
    </row>
    <row r="448" spans="1:3" ht="15" x14ac:dyDescent="0.25">
      <c r="A448" s="95"/>
      <c r="B448" s="95"/>
      <c r="C448" s="95"/>
    </row>
    <row r="449" spans="1:3" ht="15" x14ac:dyDescent="0.25">
      <c r="A449" s="95"/>
      <c r="B449" s="95"/>
      <c r="C449" s="95"/>
    </row>
    <row r="450" spans="1:3" ht="15" x14ac:dyDescent="0.25">
      <c r="A450" s="95"/>
      <c r="B450" s="95"/>
      <c r="C450" s="95"/>
    </row>
    <row r="451" spans="1:3" ht="15" x14ac:dyDescent="0.25">
      <c r="A451" s="95"/>
      <c r="B451" s="95"/>
      <c r="C451" s="95"/>
    </row>
    <row r="452" spans="1:3" ht="15" x14ac:dyDescent="0.25">
      <c r="A452" s="95"/>
      <c r="B452" s="95"/>
      <c r="C452" s="95"/>
    </row>
    <row r="453" spans="1:3" ht="15" x14ac:dyDescent="0.25">
      <c r="A453" s="95"/>
      <c r="B453" s="95"/>
      <c r="C453" s="95"/>
    </row>
    <row r="454" spans="1:3" ht="15" x14ac:dyDescent="0.25">
      <c r="A454" s="95"/>
      <c r="B454" s="95"/>
      <c r="C454" s="95"/>
    </row>
    <row r="455" spans="1:3" ht="15" x14ac:dyDescent="0.25">
      <c r="A455" s="95"/>
      <c r="B455" s="95"/>
      <c r="C455" s="95"/>
    </row>
    <row r="456" spans="1:3" ht="15" x14ac:dyDescent="0.25">
      <c r="A456" s="95"/>
      <c r="B456" s="95"/>
      <c r="C456" s="95"/>
    </row>
    <row r="457" spans="1:3" ht="15" x14ac:dyDescent="0.25">
      <c r="A457" s="95"/>
      <c r="B457" s="95"/>
      <c r="C457" s="95"/>
    </row>
    <row r="458" spans="1:3" ht="15" x14ac:dyDescent="0.25">
      <c r="A458" s="95"/>
      <c r="B458" s="95"/>
      <c r="C458" s="95"/>
    </row>
    <row r="459" spans="1:3" ht="15" x14ac:dyDescent="0.25">
      <c r="A459" s="95"/>
      <c r="B459" s="95"/>
      <c r="C459" s="95"/>
    </row>
    <row r="460" spans="1:3" ht="15" x14ac:dyDescent="0.25">
      <c r="A460" s="95"/>
      <c r="B460" s="95"/>
      <c r="C460" s="95"/>
    </row>
    <row r="461" spans="1:3" ht="15" x14ac:dyDescent="0.25">
      <c r="A461" s="95"/>
      <c r="B461" s="95"/>
      <c r="C461" s="95"/>
    </row>
    <row r="462" spans="1:3" ht="15" x14ac:dyDescent="0.25">
      <c r="A462" s="95"/>
      <c r="B462" s="95"/>
      <c r="C462" s="95"/>
    </row>
    <row r="463" spans="1:3" ht="15" x14ac:dyDescent="0.25">
      <c r="A463" s="95"/>
      <c r="B463" s="95"/>
      <c r="C463" s="95"/>
    </row>
    <row r="464" spans="1:3" ht="15" x14ac:dyDescent="0.25">
      <c r="A464" s="95"/>
      <c r="B464" s="95"/>
      <c r="C464" s="95"/>
    </row>
    <row r="465" spans="1:3" ht="15" x14ac:dyDescent="0.25">
      <c r="A465" s="95"/>
      <c r="B465" s="95"/>
      <c r="C465" s="95"/>
    </row>
    <row r="466" spans="1:3" ht="15" x14ac:dyDescent="0.25">
      <c r="A466" s="95"/>
      <c r="B466" s="95"/>
      <c r="C466" s="95"/>
    </row>
    <row r="467" spans="1:3" ht="15" x14ac:dyDescent="0.25">
      <c r="A467" s="95"/>
      <c r="B467" s="95"/>
      <c r="C467" s="95"/>
    </row>
    <row r="468" spans="1:3" ht="15" x14ac:dyDescent="0.25">
      <c r="A468" s="95"/>
      <c r="B468" s="95"/>
      <c r="C468" s="95"/>
    </row>
    <row r="469" spans="1:3" ht="15" x14ac:dyDescent="0.25">
      <c r="A469" s="95"/>
      <c r="B469" s="95"/>
      <c r="C469" s="95"/>
    </row>
    <row r="470" spans="1:3" ht="15" x14ac:dyDescent="0.25">
      <c r="A470" s="95"/>
      <c r="B470" s="95"/>
      <c r="C470" s="95"/>
    </row>
    <row r="471" spans="1:3" ht="15" x14ac:dyDescent="0.25">
      <c r="A471" s="95"/>
      <c r="B471" s="95"/>
      <c r="C471" s="95"/>
    </row>
    <row r="472" spans="1:3" ht="15" x14ac:dyDescent="0.25">
      <c r="A472" s="95"/>
      <c r="B472" s="95"/>
      <c r="C472" s="95"/>
    </row>
    <row r="473" spans="1:3" ht="15" x14ac:dyDescent="0.25">
      <c r="A473" s="95"/>
      <c r="B473" s="95"/>
      <c r="C473" s="95"/>
    </row>
    <row r="474" spans="1:3" ht="15" x14ac:dyDescent="0.25">
      <c r="A474" s="95"/>
      <c r="B474" s="95"/>
      <c r="C474" s="95"/>
    </row>
    <row r="475" spans="1:3" ht="15" x14ac:dyDescent="0.25">
      <c r="A475" s="95"/>
      <c r="B475" s="95"/>
      <c r="C475" s="95"/>
    </row>
    <row r="476" spans="1:3" ht="15" x14ac:dyDescent="0.25">
      <c r="A476" s="95"/>
      <c r="B476" s="95"/>
      <c r="C476" s="95"/>
    </row>
    <row r="477" spans="1:3" ht="15" x14ac:dyDescent="0.25">
      <c r="A477" s="95"/>
      <c r="B477" s="95"/>
      <c r="C477" s="95"/>
    </row>
    <row r="478" spans="1:3" ht="15" x14ac:dyDescent="0.25">
      <c r="A478" s="95"/>
      <c r="B478" s="95"/>
      <c r="C478" s="95"/>
    </row>
    <row r="479" spans="1:3" ht="15" x14ac:dyDescent="0.25">
      <c r="A479" s="95"/>
      <c r="B479" s="95"/>
      <c r="C479" s="95"/>
    </row>
    <row r="480" spans="1:3" ht="15" x14ac:dyDescent="0.25">
      <c r="A480" s="95"/>
      <c r="B480" s="95"/>
      <c r="C480" s="95"/>
    </row>
    <row r="481" spans="1:3" ht="15" x14ac:dyDescent="0.25">
      <c r="A481" s="95"/>
      <c r="B481" s="95"/>
      <c r="C481" s="95"/>
    </row>
    <row r="482" spans="1:3" ht="15" x14ac:dyDescent="0.25">
      <c r="A482" s="95"/>
      <c r="B482" s="95"/>
      <c r="C482" s="95"/>
    </row>
    <row r="483" spans="1:3" ht="15" x14ac:dyDescent="0.25">
      <c r="A483" s="95"/>
      <c r="B483" s="95"/>
      <c r="C483" s="95"/>
    </row>
    <row r="484" spans="1:3" ht="15" x14ac:dyDescent="0.25">
      <c r="A484" s="95"/>
      <c r="B484" s="95"/>
      <c r="C484" s="95"/>
    </row>
    <row r="485" spans="1:3" ht="15" x14ac:dyDescent="0.25">
      <c r="A485" s="95"/>
      <c r="B485" s="95"/>
      <c r="C485" s="95"/>
    </row>
    <row r="486" spans="1:3" ht="15" x14ac:dyDescent="0.25">
      <c r="A486" s="95"/>
      <c r="B486" s="95"/>
      <c r="C486" s="95"/>
    </row>
    <row r="487" spans="1:3" ht="15" x14ac:dyDescent="0.25">
      <c r="A487" s="95"/>
      <c r="B487" s="95"/>
      <c r="C487" s="95"/>
    </row>
    <row r="488" spans="1:3" ht="15" x14ac:dyDescent="0.25">
      <c r="A488" s="95"/>
      <c r="B488" s="95"/>
      <c r="C488" s="95"/>
    </row>
    <row r="489" spans="1:3" ht="15" x14ac:dyDescent="0.25">
      <c r="A489" s="95"/>
      <c r="B489" s="95"/>
      <c r="C489" s="95"/>
    </row>
    <row r="490" spans="1:3" ht="15" x14ac:dyDescent="0.25">
      <c r="A490" s="95"/>
      <c r="B490" s="95"/>
      <c r="C490" s="95"/>
    </row>
    <row r="491" spans="1:3" ht="15" x14ac:dyDescent="0.25">
      <c r="A491" s="95"/>
      <c r="B491" s="95"/>
      <c r="C491" s="95"/>
    </row>
    <row r="492" spans="1:3" ht="15" x14ac:dyDescent="0.25">
      <c r="A492" s="95"/>
      <c r="B492" s="95"/>
      <c r="C492" s="95"/>
    </row>
    <row r="493" spans="1:3" ht="15" x14ac:dyDescent="0.25">
      <c r="A493" s="95"/>
      <c r="B493" s="95"/>
      <c r="C493" s="95"/>
    </row>
    <row r="494" spans="1:3" ht="15" x14ac:dyDescent="0.25">
      <c r="A494" s="95"/>
      <c r="B494" s="95"/>
      <c r="C494" s="95"/>
    </row>
    <row r="495" spans="1:3" ht="15" x14ac:dyDescent="0.25">
      <c r="A495" s="95"/>
      <c r="B495" s="95"/>
      <c r="C495" s="95"/>
    </row>
    <row r="496" spans="1:3" ht="15" x14ac:dyDescent="0.25">
      <c r="A496" s="95"/>
      <c r="B496" s="95"/>
      <c r="C496" s="95"/>
    </row>
    <row r="497" spans="1:3" ht="15" x14ac:dyDescent="0.25">
      <c r="A497" s="95"/>
      <c r="B497" s="95"/>
      <c r="C497" s="95"/>
    </row>
    <row r="498" spans="1:3" ht="15" x14ac:dyDescent="0.25">
      <c r="A498" s="95"/>
      <c r="B498" s="95"/>
      <c r="C498" s="95"/>
    </row>
    <row r="499" spans="1:3" ht="15" x14ac:dyDescent="0.25">
      <c r="A499" s="95"/>
      <c r="B499" s="95"/>
      <c r="C499" s="95"/>
    </row>
    <row r="500" spans="1:3" ht="15" x14ac:dyDescent="0.25">
      <c r="A500" s="95"/>
      <c r="B500" s="95"/>
      <c r="C500" s="95"/>
    </row>
    <row r="501" spans="1:3" ht="15" x14ac:dyDescent="0.25">
      <c r="A501" s="95"/>
      <c r="B501" s="95"/>
      <c r="C501" s="95"/>
    </row>
    <row r="502" spans="1:3" ht="15" x14ac:dyDescent="0.25">
      <c r="A502" s="95"/>
      <c r="B502" s="95"/>
      <c r="C502" s="95"/>
    </row>
    <row r="503" spans="1:3" ht="15" x14ac:dyDescent="0.25">
      <c r="A503" s="95"/>
      <c r="B503" s="95"/>
      <c r="C503" s="95"/>
    </row>
    <row r="504" spans="1:3" ht="15" x14ac:dyDescent="0.25">
      <c r="A504" s="95"/>
      <c r="B504" s="95"/>
      <c r="C504" s="95"/>
    </row>
    <row r="505" spans="1:3" ht="15" x14ac:dyDescent="0.25">
      <c r="A505" s="95"/>
      <c r="B505" s="95"/>
      <c r="C505" s="95"/>
    </row>
    <row r="506" spans="1:3" ht="15" x14ac:dyDescent="0.25">
      <c r="A506" s="95"/>
      <c r="B506" s="95"/>
      <c r="C506" s="95"/>
    </row>
    <row r="507" spans="1:3" ht="15" x14ac:dyDescent="0.25">
      <c r="A507" s="95"/>
      <c r="B507" s="95"/>
      <c r="C507" s="95"/>
    </row>
    <row r="508" spans="1:3" ht="15" x14ac:dyDescent="0.25">
      <c r="A508" s="95"/>
      <c r="B508" s="95"/>
      <c r="C508" s="95"/>
    </row>
    <row r="509" spans="1:3" ht="15" x14ac:dyDescent="0.25">
      <c r="A509" s="95"/>
      <c r="B509" s="95"/>
      <c r="C509" s="95"/>
    </row>
    <row r="510" spans="1:3" ht="15" x14ac:dyDescent="0.25">
      <c r="A510" s="95"/>
      <c r="B510" s="95"/>
      <c r="C510" s="95"/>
    </row>
    <row r="511" spans="1:3" ht="15" x14ac:dyDescent="0.25">
      <c r="A511" s="95"/>
      <c r="B511" s="95"/>
      <c r="C511" s="95"/>
    </row>
    <row r="512" spans="1:3" ht="15" x14ac:dyDescent="0.25">
      <c r="A512" s="95"/>
      <c r="B512" s="95"/>
      <c r="C512" s="95"/>
    </row>
    <row r="513" spans="1:3" ht="15" x14ac:dyDescent="0.25">
      <c r="A513" s="95"/>
      <c r="B513" s="95"/>
      <c r="C513" s="95"/>
    </row>
    <row r="514" spans="1:3" ht="15" x14ac:dyDescent="0.25">
      <c r="A514" s="95"/>
      <c r="B514" s="95"/>
      <c r="C514" s="95"/>
    </row>
    <row r="515" spans="1:3" ht="15" x14ac:dyDescent="0.25">
      <c r="A515" s="95"/>
      <c r="B515" s="95"/>
      <c r="C515" s="95"/>
    </row>
    <row r="516" spans="1:3" ht="15" x14ac:dyDescent="0.25">
      <c r="A516" s="95"/>
      <c r="B516" s="95"/>
      <c r="C516" s="95"/>
    </row>
    <row r="517" spans="1:3" ht="15" x14ac:dyDescent="0.25">
      <c r="A517" s="95"/>
      <c r="B517" s="95"/>
      <c r="C517" s="95"/>
    </row>
    <row r="518" spans="1:3" ht="15" x14ac:dyDescent="0.25">
      <c r="A518" s="95"/>
      <c r="B518" s="95"/>
      <c r="C518" s="95"/>
    </row>
    <row r="519" spans="1:3" ht="15" x14ac:dyDescent="0.25">
      <c r="A519" s="95"/>
      <c r="B519" s="95"/>
      <c r="C519" s="95"/>
    </row>
    <row r="520" spans="1:3" ht="15" x14ac:dyDescent="0.25">
      <c r="A520" s="95"/>
      <c r="B520" s="95"/>
      <c r="C520" s="95"/>
    </row>
    <row r="521" spans="1:3" ht="15" x14ac:dyDescent="0.25">
      <c r="A521" s="95"/>
      <c r="B521" s="95"/>
      <c r="C521" s="95"/>
    </row>
    <row r="522" spans="1:3" ht="15" x14ac:dyDescent="0.25">
      <c r="A522" s="95"/>
      <c r="B522" s="95"/>
      <c r="C522" s="95"/>
    </row>
    <row r="523" spans="1:3" ht="15" x14ac:dyDescent="0.25">
      <c r="A523" s="95"/>
      <c r="B523" s="95"/>
      <c r="C523" s="95"/>
    </row>
    <row r="524" spans="1:3" ht="15" x14ac:dyDescent="0.25">
      <c r="A524" s="95"/>
      <c r="B524" s="95"/>
      <c r="C524" s="95"/>
    </row>
    <row r="525" spans="1:3" ht="15" x14ac:dyDescent="0.25">
      <c r="A525" s="95"/>
      <c r="B525" s="95"/>
      <c r="C525" s="95"/>
    </row>
    <row r="526" spans="1:3" ht="15" x14ac:dyDescent="0.25">
      <c r="A526" s="95"/>
      <c r="B526" s="95"/>
      <c r="C526" s="95"/>
    </row>
    <row r="527" spans="1:3" ht="15" x14ac:dyDescent="0.25">
      <c r="A527" s="95"/>
      <c r="B527" s="95"/>
      <c r="C527" s="95"/>
    </row>
    <row r="528" spans="1:3" ht="15" x14ac:dyDescent="0.25">
      <c r="A528" s="95"/>
      <c r="B528" s="95"/>
      <c r="C528" s="95"/>
    </row>
    <row r="529" spans="1:3" ht="15" x14ac:dyDescent="0.25">
      <c r="A529" s="95"/>
      <c r="B529" s="95"/>
      <c r="C529" s="95"/>
    </row>
    <row r="530" spans="1:3" ht="15" x14ac:dyDescent="0.25">
      <c r="A530" s="95"/>
      <c r="B530" s="95"/>
      <c r="C530" s="95"/>
    </row>
    <row r="531" spans="1:3" ht="15" x14ac:dyDescent="0.25">
      <c r="A531" s="95"/>
      <c r="B531" s="95"/>
      <c r="C531" s="95"/>
    </row>
    <row r="532" spans="1:3" ht="15" x14ac:dyDescent="0.25">
      <c r="A532" s="95"/>
      <c r="B532" s="95"/>
      <c r="C532" s="95"/>
    </row>
    <row r="533" spans="1:3" ht="15" x14ac:dyDescent="0.25">
      <c r="A533" s="95"/>
      <c r="B533" s="95"/>
      <c r="C533" s="95"/>
    </row>
    <row r="534" spans="1:3" ht="15" x14ac:dyDescent="0.25">
      <c r="A534" s="95"/>
      <c r="B534" s="95"/>
      <c r="C534" s="95"/>
    </row>
    <row r="535" spans="1:3" ht="15" x14ac:dyDescent="0.25">
      <c r="A535" s="95"/>
      <c r="B535" s="95"/>
      <c r="C535" s="95"/>
    </row>
    <row r="536" spans="1:3" ht="15" x14ac:dyDescent="0.25">
      <c r="A536" s="95"/>
      <c r="B536" s="95"/>
      <c r="C536" s="95"/>
    </row>
    <row r="537" spans="1:3" ht="15" x14ac:dyDescent="0.25">
      <c r="A537" s="95"/>
      <c r="B537" s="95"/>
      <c r="C537" s="95"/>
    </row>
    <row r="538" spans="1:3" ht="15" x14ac:dyDescent="0.25">
      <c r="A538" s="95"/>
      <c r="B538" s="95"/>
      <c r="C538" s="95"/>
    </row>
    <row r="539" spans="1:3" ht="15" x14ac:dyDescent="0.25">
      <c r="A539" s="95"/>
      <c r="B539" s="95"/>
      <c r="C539" s="95"/>
    </row>
    <row r="540" spans="1:3" ht="15" x14ac:dyDescent="0.25">
      <c r="A540" s="95"/>
      <c r="B540" s="95"/>
      <c r="C540" s="95"/>
    </row>
    <row r="541" spans="1:3" ht="15" x14ac:dyDescent="0.25">
      <c r="A541" s="95"/>
      <c r="B541" s="95"/>
      <c r="C541" s="95"/>
    </row>
    <row r="542" spans="1:3" ht="15" x14ac:dyDescent="0.25">
      <c r="A542" s="95"/>
      <c r="B542" s="95"/>
      <c r="C542" s="95"/>
    </row>
    <row r="543" spans="1:3" ht="15" x14ac:dyDescent="0.25">
      <c r="A543" s="95"/>
      <c r="B543" s="95"/>
      <c r="C543" s="95"/>
    </row>
    <row r="544" spans="1:3" ht="15" x14ac:dyDescent="0.25">
      <c r="A544" s="95"/>
      <c r="B544" s="95"/>
      <c r="C544" s="95"/>
    </row>
    <row r="545" spans="1:3" ht="15" x14ac:dyDescent="0.25">
      <c r="A545" s="95"/>
      <c r="B545" s="95"/>
      <c r="C545" s="95"/>
    </row>
    <row r="546" spans="1:3" ht="15" x14ac:dyDescent="0.25">
      <c r="A546" s="95"/>
      <c r="B546" s="95"/>
      <c r="C546" s="95"/>
    </row>
    <row r="547" spans="1:3" ht="15" x14ac:dyDescent="0.25">
      <c r="A547" s="95"/>
      <c r="B547" s="95"/>
      <c r="C547" s="95"/>
    </row>
    <row r="548" spans="1:3" ht="15" x14ac:dyDescent="0.25">
      <c r="A548" s="95"/>
      <c r="B548" s="95"/>
      <c r="C548" s="95"/>
    </row>
    <row r="549" spans="1:3" ht="15" x14ac:dyDescent="0.25">
      <c r="A549" s="95"/>
      <c r="B549" s="95"/>
      <c r="C549" s="95"/>
    </row>
    <row r="550" spans="1:3" ht="15" x14ac:dyDescent="0.25">
      <c r="A550" s="95"/>
      <c r="B550" s="95"/>
      <c r="C550" s="95"/>
    </row>
    <row r="551" spans="1:3" ht="15" x14ac:dyDescent="0.25">
      <c r="A551" s="95"/>
      <c r="B551" s="95"/>
      <c r="C551" s="95"/>
    </row>
    <row r="552" spans="1:3" ht="15" x14ac:dyDescent="0.25">
      <c r="A552" s="95"/>
      <c r="B552" s="95"/>
      <c r="C552" s="95"/>
    </row>
    <row r="553" spans="1:3" ht="15" x14ac:dyDescent="0.25">
      <c r="A553" s="95"/>
      <c r="B553" s="95"/>
      <c r="C553" s="95"/>
    </row>
    <row r="554" spans="1:3" ht="15" x14ac:dyDescent="0.25">
      <c r="A554" s="95"/>
      <c r="B554" s="95"/>
      <c r="C554" s="95"/>
    </row>
    <row r="555" spans="1:3" ht="15" x14ac:dyDescent="0.25">
      <c r="A555" s="95"/>
      <c r="B555" s="95"/>
      <c r="C555" s="95"/>
    </row>
    <row r="556" spans="1:3" ht="15" x14ac:dyDescent="0.25">
      <c r="A556" s="95"/>
      <c r="B556" s="95"/>
      <c r="C556" s="95"/>
    </row>
    <row r="557" spans="1:3" ht="15" x14ac:dyDescent="0.25">
      <c r="A557" s="95"/>
      <c r="B557" s="95"/>
      <c r="C557" s="95"/>
    </row>
    <row r="558" spans="1:3" ht="15" x14ac:dyDescent="0.25">
      <c r="A558" s="95"/>
      <c r="B558" s="95"/>
      <c r="C558" s="95"/>
    </row>
    <row r="559" spans="1:3" ht="15" x14ac:dyDescent="0.25">
      <c r="A559" s="95"/>
      <c r="B559" s="95"/>
      <c r="C559" s="95"/>
    </row>
    <row r="560" spans="1:3" ht="15" x14ac:dyDescent="0.25">
      <c r="A560" s="95"/>
      <c r="B560" s="95"/>
      <c r="C560" s="95"/>
    </row>
    <row r="561" spans="1:3" ht="15" x14ac:dyDescent="0.25">
      <c r="A561" s="95"/>
      <c r="B561" s="95"/>
      <c r="C561" s="95"/>
    </row>
    <row r="562" spans="1:3" ht="15" x14ac:dyDescent="0.25">
      <c r="A562" s="95"/>
      <c r="B562" s="95"/>
      <c r="C562" s="95"/>
    </row>
    <row r="563" spans="1:3" ht="15" x14ac:dyDescent="0.25">
      <c r="A563" s="95"/>
      <c r="B563" s="95"/>
      <c r="C563" s="95"/>
    </row>
    <row r="564" spans="1:3" ht="15" x14ac:dyDescent="0.25">
      <c r="A564" s="95"/>
      <c r="B564" s="95"/>
      <c r="C564" s="95"/>
    </row>
    <row r="565" spans="1:3" ht="15" x14ac:dyDescent="0.25">
      <c r="A565" s="95"/>
      <c r="B565" s="95"/>
      <c r="C565" s="95"/>
    </row>
    <row r="566" spans="1:3" ht="15" x14ac:dyDescent="0.25">
      <c r="A566" s="95"/>
      <c r="B566" s="95"/>
      <c r="C566" s="95"/>
    </row>
    <row r="567" spans="1:3" ht="15" x14ac:dyDescent="0.25">
      <c r="A567" s="95"/>
      <c r="B567" s="95"/>
      <c r="C567" s="95"/>
    </row>
    <row r="568" spans="1:3" ht="15" x14ac:dyDescent="0.25">
      <c r="A568" s="95"/>
      <c r="B568" s="95"/>
      <c r="C568" s="95"/>
    </row>
    <row r="569" spans="1:3" ht="15" x14ac:dyDescent="0.25">
      <c r="A569" s="95"/>
      <c r="B569" s="95"/>
      <c r="C569" s="95"/>
    </row>
    <row r="570" spans="1:3" ht="15" x14ac:dyDescent="0.25">
      <c r="A570" s="95"/>
      <c r="B570" s="95"/>
      <c r="C570" s="95"/>
    </row>
    <row r="571" spans="1:3" ht="15" x14ac:dyDescent="0.25">
      <c r="A571" s="95"/>
      <c r="B571" s="95"/>
      <c r="C571" s="95"/>
    </row>
    <row r="572" spans="1:3" ht="15" x14ac:dyDescent="0.25">
      <c r="A572" s="95"/>
      <c r="B572" s="95"/>
      <c r="C572" s="95"/>
    </row>
    <row r="573" spans="1:3" ht="15" x14ac:dyDescent="0.25">
      <c r="A573" s="95"/>
      <c r="B573" s="95"/>
      <c r="C573" s="95"/>
    </row>
    <row r="574" spans="1:3" ht="15" x14ac:dyDescent="0.25">
      <c r="A574" s="95"/>
      <c r="B574" s="95"/>
      <c r="C574" s="95"/>
    </row>
    <row r="575" spans="1:3" ht="15" x14ac:dyDescent="0.25">
      <c r="A575" s="95"/>
      <c r="B575" s="95"/>
      <c r="C575" s="95"/>
    </row>
    <row r="576" spans="1:3" ht="15" x14ac:dyDescent="0.25">
      <c r="A576" s="95"/>
      <c r="B576" s="95"/>
      <c r="C576" s="95"/>
    </row>
    <row r="577" spans="1:3" ht="15" x14ac:dyDescent="0.25">
      <c r="A577" s="95"/>
      <c r="B577" s="95"/>
      <c r="C577" s="95"/>
    </row>
    <row r="578" spans="1:3" ht="15" x14ac:dyDescent="0.25">
      <c r="A578" s="95"/>
      <c r="B578" s="95"/>
      <c r="C578" s="95"/>
    </row>
    <row r="579" spans="1:3" ht="15" x14ac:dyDescent="0.25">
      <c r="A579" s="95"/>
      <c r="B579" s="95"/>
      <c r="C579" s="95"/>
    </row>
    <row r="580" spans="1:3" ht="15" x14ac:dyDescent="0.25">
      <c r="A580" s="95"/>
      <c r="B580" s="95"/>
      <c r="C580" s="95"/>
    </row>
    <row r="581" spans="1:3" ht="15" x14ac:dyDescent="0.25">
      <c r="A581" s="95"/>
      <c r="B581" s="95"/>
      <c r="C581" s="95"/>
    </row>
    <row r="582" spans="1:3" ht="15" x14ac:dyDescent="0.25">
      <c r="A582" s="95"/>
      <c r="B582" s="95"/>
      <c r="C582" s="95"/>
    </row>
    <row r="583" spans="1:3" ht="15" x14ac:dyDescent="0.25">
      <c r="A583" s="95"/>
      <c r="B583" s="95"/>
      <c r="C583" s="95"/>
    </row>
    <row r="584" spans="1:3" ht="15" x14ac:dyDescent="0.25">
      <c r="A584" s="95"/>
      <c r="B584" s="95"/>
      <c r="C584" s="95"/>
    </row>
    <row r="585" spans="1:3" ht="15" x14ac:dyDescent="0.25">
      <c r="A585" s="95"/>
      <c r="B585" s="95"/>
      <c r="C585" s="95"/>
    </row>
    <row r="586" spans="1:3" ht="15" x14ac:dyDescent="0.25">
      <c r="A586" s="95"/>
      <c r="B586" s="95"/>
      <c r="C586" s="95"/>
    </row>
    <row r="587" spans="1:3" ht="15" x14ac:dyDescent="0.25">
      <c r="A587" s="95"/>
      <c r="B587" s="95"/>
      <c r="C587" s="95"/>
    </row>
    <row r="588" spans="1:3" ht="15" x14ac:dyDescent="0.25">
      <c r="A588" s="95"/>
      <c r="B588" s="95"/>
      <c r="C588" s="95"/>
    </row>
    <row r="589" spans="1:3" ht="15" x14ac:dyDescent="0.25">
      <c r="A589" s="95"/>
      <c r="B589" s="95"/>
      <c r="C589" s="95"/>
    </row>
    <row r="590" spans="1:3" ht="15" x14ac:dyDescent="0.25">
      <c r="A590" s="95"/>
      <c r="B590" s="95"/>
      <c r="C590" s="95"/>
    </row>
    <row r="591" spans="1:3" ht="15" x14ac:dyDescent="0.25">
      <c r="A591" s="95"/>
      <c r="B591" s="95"/>
      <c r="C591" s="95"/>
    </row>
    <row r="592" spans="1:3" ht="15" x14ac:dyDescent="0.25">
      <c r="A592" s="95"/>
      <c r="B592" s="95"/>
      <c r="C592" s="95"/>
    </row>
    <row r="593" spans="1:3" ht="15" x14ac:dyDescent="0.25">
      <c r="A593" s="95"/>
      <c r="B593" s="95"/>
      <c r="C593" s="95"/>
    </row>
    <row r="594" spans="1:3" ht="15" x14ac:dyDescent="0.25">
      <c r="A594" s="95"/>
      <c r="B594" s="95"/>
      <c r="C594" s="95"/>
    </row>
    <row r="595" spans="1:3" ht="15" x14ac:dyDescent="0.25">
      <c r="A595" s="95"/>
      <c r="B595" s="95"/>
      <c r="C595" s="95"/>
    </row>
    <row r="596" spans="1:3" ht="15" x14ac:dyDescent="0.25">
      <c r="A596" s="95"/>
      <c r="B596" s="95"/>
      <c r="C596" s="95"/>
    </row>
    <row r="597" spans="1:3" ht="15" x14ac:dyDescent="0.25">
      <c r="A597" s="95"/>
      <c r="B597" s="95"/>
      <c r="C597" s="95"/>
    </row>
    <row r="598" spans="1:3" ht="15" x14ac:dyDescent="0.25">
      <c r="A598" s="95"/>
      <c r="B598" s="95"/>
      <c r="C598" s="95"/>
    </row>
    <row r="599" spans="1:3" ht="15" x14ac:dyDescent="0.25">
      <c r="A599" s="95"/>
      <c r="B599" s="95"/>
      <c r="C599" s="95"/>
    </row>
    <row r="600" spans="1:3" ht="15" x14ac:dyDescent="0.25">
      <c r="A600" s="95"/>
      <c r="B600" s="95"/>
      <c r="C600" s="95"/>
    </row>
    <row r="601" spans="1:3" ht="15" x14ac:dyDescent="0.25">
      <c r="A601" s="95"/>
      <c r="B601" s="95"/>
      <c r="C601" s="95"/>
    </row>
    <row r="602" spans="1:3" ht="15" x14ac:dyDescent="0.25">
      <c r="A602" s="95"/>
      <c r="B602" s="95"/>
      <c r="C602" s="95"/>
    </row>
    <row r="603" spans="1:3" ht="15" x14ac:dyDescent="0.25">
      <c r="A603" s="95"/>
      <c r="B603" s="95"/>
      <c r="C603" s="95"/>
    </row>
    <row r="604" spans="1:3" ht="15" x14ac:dyDescent="0.25">
      <c r="A604" s="95"/>
      <c r="B604" s="95"/>
      <c r="C604" s="95"/>
    </row>
    <row r="605" spans="1:3" ht="15" x14ac:dyDescent="0.25">
      <c r="A605" s="95"/>
      <c r="B605" s="95"/>
      <c r="C605" s="95"/>
    </row>
    <row r="606" spans="1:3" ht="15" x14ac:dyDescent="0.25">
      <c r="A606" s="95"/>
      <c r="B606" s="95"/>
      <c r="C606" s="95"/>
    </row>
    <row r="607" spans="1:3" ht="15" x14ac:dyDescent="0.25">
      <c r="A607" s="95"/>
      <c r="B607" s="95"/>
      <c r="C607" s="95"/>
    </row>
    <row r="608" spans="1:3" ht="15" x14ac:dyDescent="0.25">
      <c r="A608" s="95"/>
      <c r="B608" s="95"/>
      <c r="C608" s="95"/>
    </row>
    <row r="609" spans="1:3" ht="15" x14ac:dyDescent="0.25">
      <c r="A609" s="95"/>
      <c r="B609" s="95"/>
      <c r="C609" s="95"/>
    </row>
    <row r="610" spans="1:3" ht="15" x14ac:dyDescent="0.25">
      <c r="A610" s="95"/>
      <c r="B610" s="95"/>
      <c r="C610" s="95"/>
    </row>
    <row r="611" spans="1:3" ht="15" x14ac:dyDescent="0.25">
      <c r="A611" s="95"/>
      <c r="B611" s="95"/>
      <c r="C611" s="95"/>
    </row>
    <row r="612" spans="1:3" ht="15" x14ac:dyDescent="0.25">
      <c r="A612" s="95"/>
      <c r="B612" s="95"/>
      <c r="C612" s="95"/>
    </row>
    <row r="613" spans="1:3" ht="15" x14ac:dyDescent="0.25">
      <c r="A613" s="95"/>
      <c r="B613" s="95"/>
      <c r="C613" s="95"/>
    </row>
    <row r="614" spans="1:3" ht="15" x14ac:dyDescent="0.25">
      <c r="A614" s="95"/>
      <c r="B614" s="95"/>
      <c r="C614" s="95"/>
    </row>
    <row r="615" spans="1:3" ht="15" x14ac:dyDescent="0.25">
      <c r="A615" s="95"/>
      <c r="B615" s="95"/>
      <c r="C615" s="95"/>
    </row>
    <row r="616" spans="1:3" ht="15" x14ac:dyDescent="0.25">
      <c r="A616" s="95"/>
      <c r="B616" s="95"/>
      <c r="C616" s="95"/>
    </row>
    <row r="617" spans="1:3" ht="15" x14ac:dyDescent="0.25">
      <c r="A617" s="95"/>
      <c r="B617" s="95"/>
      <c r="C617" s="95"/>
    </row>
    <row r="618" spans="1:3" ht="15" x14ac:dyDescent="0.25">
      <c r="A618" s="95"/>
      <c r="B618" s="95"/>
      <c r="C618" s="95"/>
    </row>
    <row r="619" spans="1:3" ht="15" x14ac:dyDescent="0.25">
      <c r="A619" s="95"/>
      <c r="B619" s="95"/>
      <c r="C619" s="95"/>
    </row>
    <row r="620" spans="1:3" ht="15" x14ac:dyDescent="0.25">
      <c r="A620" s="95"/>
      <c r="B620" s="95"/>
      <c r="C620" s="95"/>
    </row>
    <row r="621" spans="1:3" ht="15" x14ac:dyDescent="0.25">
      <c r="A621" s="95"/>
      <c r="B621" s="95"/>
      <c r="C621" s="95"/>
    </row>
    <row r="622" spans="1:3" ht="15" x14ac:dyDescent="0.25">
      <c r="A622" s="95"/>
      <c r="B622" s="95"/>
      <c r="C622" s="95"/>
    </row>
    <row r="623" spans="1:3" ht="15" x14ac:dyDescent="0.25">
      <c r="A623" s="95"/>
      <c r="B623" s="95"/>
      <c r="C623" s="95"/>
    </row>
    <row r="624" spans="1:3" ht="15" x14ac:dyDescent="0.25">
      <c r="A624" s="95"/>
      <c r="B624" s="95"/>
      <c r="C624" s="95"/>
    </row>
    <row r="625" spans="1:3" ht="15" x14ac:dyDescent="0.25">
      <c r="A625" s="95"/>
      <c r="B625" s="95"/>
      <c r="C625" s="95"/>
    </row>
    <row r="626" spans="1:3" ht="15" x14ac:dyDescent="0.25">
      <c r="A626" s="95"/>
      <c r="B626" s="95"/>
      <c r="C626" s="95"/>
    </row>
    <row r="627" spans="1:3" ht="15" x14ac:dyDescent="0.25">
      <c r="A627" s="95"/>
      <c r="B627" s="95"/>
      <c r="C627" s="95"/>
    </row>
    <row r="628" spans="1:3" ht="15" x14ac:dyDescent="0.25">
      <c r="A628" s="95"/>
      <c r="B628" s="95"/>
      <c r="C628" s="95"/>
    </row>
    <row r="629" spans="1:3" ht="15" x14ac:dyDescent="0.25">
      <c r="A629" s="95"/>
      <c r="B629" s="95"/>
      <c r="C629" s="95"/>
    </row>
    <row r="630" spans="1:3" ht="15" x14ac:dyDescent="0.25">
      <c r="A630" s="95"/>
      <c r="B630" s="95"/>
      <c r="C630" s="95"/>
    </row>
    <row r="631" spans="1:3" ht="15" x14ac:dyDescent="0.25">
      <c r="A631" s="95"/>
      <c r="B631" s="95"/>
      <c r="C631" s="95"/>
    </row>
    <row r="632" spans="1:3" ht="15" x14ac:dyDescent="0.25">
      <c r="A632" s="95"/>
      <c r="B632" s="95"/>
      <c r="C632" s="95"/>
    </row>
    <row r="633" spans="1:3" ht="15" x14ac:dyDescent="0.25">
      <c r="A633" s="95"/>
      <c r="B633" s="95"/>
      <c r="C633" s="95"/>
    </row>
    <row r="634" spans="1:3" ht="15" x14ac:dyDescent="0.25">
      <c r="A634" s="95"/>
      <c r="B634" s="95"/>
      <c r="C634" s="95"/>
    </row>
    <row r="635" spans="1:3" ht="15" x14ac:dyDescent="0.25">
      <c r="A635" s="95"/>
      <c r="B635" s="95"/>
      <c r="C635" s="95"/>
    </row>
    <row r="636" spans="1:3" ht="15" x14ac:dyDescent="0.25">
      <c r="A636" s="95"/>
      <c r="B636" s="95"/>
      <c r="C636" s="95"/>
    </row>
    <row r="637" spans="1:3" ht="15" x14ac:dyDescent="0.25">
      <c r="A637" s="95"/>
      <c r="B637" s="95"/>
      <c r="C637" s="95"/>
    </row>
    <row r="638" spans="1:3" ht="15" x14ac:dyDescent="0.25">
      <c r="A638" s="95"/>
      <c r="B638" s="95"/>
      <c r="C638" s="95"/>
    </row>
    <row r="639" spans="1:3" ht="15" x14ac:dyDescent="0.25">
      <c r="A639" s="95"/>
      <c r="B639" s="95"/>
      <c r="C639" s="95"/>
    </row>
    <row r="640" spans="1:3" ht="15" x14ac:dyDescent="0.25">
      <c r="A640" s="95"/>
      <c r="B640" s="95"/>
      <c r="C640" s="95"/>
    </row>
    <row r="641" spans="1:3" ht="15" x14ac:dyDescent="0.25">
      <c r="A641" s="95"/>
      <c r="B641" s="95"/>
      <c r="C641" s="95"/>
    </row>
    <row r="642" spans="1:3" ht="15" x14ac:dyDescent="0.25">
      <c r="A642" s="95"/>
      <c r="B642" s="95"/>
      <c r="C642" s="95"/>
    </row>
    <row r="643" spans="1:3" ht="15" x14ac:dyDescent="0.25">
      <c r="A643" s="95"/>
      <c r="B643" s="95"/>
      <c r="C643" s="95"/>
    </row>
    <row r="644" spans="1:3" ht="15" x14ac:dyDescent="0.25">
      <c r="A644" s="95"/>
      <c r="B644" s="95"/>
      <c r="C644" s="95"/>
    </row>
    <row r="645" spans="1:3" ht="15" x14ac:dyDescent="0.25">
      <c r="A645" s="95"/>
      <c r="B645" s="95"/>
      <c r="C645" s="95"/>
    </row>
    <row r="646" spans="1:3" ht="15" x14ac:dyDescent="0.25">
      <c r="A646" s="95"/>
      <c r="B646" s="95"/>
      <c r="C646" s="95"/>
    </row>
    <row r="647" spans="1:3" ht="15" x14ac:dyDescent="0.25">
      <c r="A647" s="95"/>
      <c r="B647" s="95"/>
      <c r="C647" s="95"/>
    </row>
    <row r="648" spans="1:3" ht="15" x14ac:dyDescent="0.25">
      <c r="A648" s="95"/>
      <c r="B648" s="95"/>
      <c r="C648" s="95"/>
    </row>
    <row r="649" spans="1:3" ht="15" x14ac:dyDescent="0.25">
      <c r="A649" s="95"/>
      <c r="B649" s="95"/>
      <c r="C649" s="95"/>
    </row>
    <row r="650" spans="1:3" ht="15" x14ac:dyDescent="0.25">
      <c r="A650" s="95"/>
      <c r="B650" s="95"/>
      <c r="C650" s="95"/>
    </row>
    <row r="651" spans="1:3" ht="15" x14ac:dyDescent="0.25">
      <c r="A651" s="95"/>
      <c r="B651" s="95"/>
      <c r="C651" s="95"/>
    </row>
    <row r="652" spans="1:3" ht="15" x14ac:dyDescent="0.25">
      <c r="A652" s="95"/>
      <c r="B652" s="95"/>
      <c r="C652" s="95"/>
    </row>
    <row r="653" spans="1:3" ht="15" x14ac:dyDescent="0.25">
      <c r="A653" s="95"/>
      <c r="B653" s="95"/>
      <c r="C653" s="95"/>
    </row>
    <row r="654" spans="1:3" ht="15" x14ac:dyDescent="0.25">
      <c r="A654" s="95"/>
      <c r="B654" s="95"/>
      <c r="C654" s="95"/>
    </row>
    <row r="655" spans="1:3" ht="15" x14ac:dyDescent="0.25">
      <c r="A655" s="95"/>
      <c r="B655" s="95"/>
      <c r="C655" s="95"/>
    </row>
    <row r="656" spans="1:3" ht="15" x14ac:dyDescent="0.25">
      <c r="A656" s="95"/>
      <c r="B656" s="95"/>
      <c r="C656" s="95"/>
    </row>
    <row r="657" spans="1:3" ht="15" x14ac:dyDescent="0.25">
      <c r="A657" s="95"/>
      <c r="B657" s="95"/>
      <c r="C657" s="95"/>
    </row>
    <row r="658" spans="1:3" ht="15" x14ac:dyDescent="0.25">
      <c r="A658" s="95"/>
      <c r="B658" s="95"/>
      <c r="C658" s="95"/>
    </row>
    <row r="659" spans="1:3" ht="15" x14ac:dyDescent="0.25">
      <c r="A659" s="95"/>
      <c r="B659" s="95"/>
      <c r="C659" s="95"/>
    </row>
    <row r="660" spans="1:3" ht="15" x14ac:dyDescent="0.25">
      <c r="A660" s="95"/>
      <c r="B660" s="95"/>
      <c r="C660" s="95"/>
    </row>
    <row r="661" spans="1:3" ht="15" x14ac:dyDescent="0.25">
      <c r="A661" s="95"/>
      <c r="B661" s="95"/>
      <c r="C661" s="95"/>
    </row>
    <row r="662" spans="1:3" ht="15" x14ac:dyDescent="0.25">
      <c r="A662" s="95"/>
      <c r="B662" s="95"/>
      <c r="C662" s="95"/>
    </row>
    <row r="663" spans="1:3" ht="15" x14ac:dyDescent="0.25">
      <c r="A663" s="95"/>
      <c r="B663" s="95"/>
      <c r="C663" s="95"/>
    </row>
    <row r="664" spans="1:3" ht="15" x14ac:dyDescent="0.25">
      <c r="A664" s="95"/>
      <c r="B664" s="95"/>
      <c r="C664" s="95"/>
    </row>
    <row r="665" spans="1:3" ht="15" x14ac:dyDescent="0.25">
      <c r="A665" s="95"/>
      <c r="B665" s="95"/>
      <c r="C665" s="95"/>
    </row>
    <row r="666" spans="1:3" ht="15" x14ac:dyDescent="0.25">
      <c r="A666" s="95"/>
      <c r="B666" s="95"/>
      <c r="C666" s="95"/>
    </row>
    <row r="667" spans="1:3" ht="15" x14ac:dyDescent="0.25">
      <c r="A667" s="95"/>
      <c r="B667" s="95"/>
      <c r="C667" s="95"/>
    </row>
    <row r="668" spans="1:3" ht="15" x14ac:dyDescent="0.25">
      <c r="A668" s="95"/>
      <c r="B668" s="95"/>
      <c r="C668" s="95"/>
    </row>
    <row r="669" spans="1:3" ht="15" x14ac:dyDescent="0.25">
      <c r="A669" s="95"/>
      <c r="B669" s="95"/>
      <c r="C669" s="95"/>
    </row>
    <row r="670" spans="1:3" ht="15" x14ac:dyDescent="0.25">
      <c r="A670" s="95"/>
      <c r="B670" s="95"/>
      <c r="C670" s="95"/>
    </row>
    <row r="671" spans="1:3" ht="15" x14ac:dyDescent="0.25">
      <c r="A671" s="95"/>
      <c r="B671" s="95"/>
      <c r="C671" s="95"/>
    </row>
    <row r="672" spans="1:3" ht="15" x14ac:dyDescent="0.25">
      <c r="A672" s="95"/>
      <c r="B672" s="95"/>
      <c r="C672" s="95"/>
    </row>
    <row r="673" spans="1:3" ht="15" x14ac:dyDescent="0.25">
      <c r="A673" s="95"/>
      <c r="B673" s="95"/>
      <c r="C673" s="95"/>
    </row>
    <row r="674" spans="1:3" ht="15" x14ac:dyDescent="0.25">
      <c r="A674" s="95"/>
      <c r="B674" s="95"/>
      <c r="C674" s="95"/>
    </row>
    <row r="675" spans="1:3" ht="15" x14ac:dyDescent="0.25">
      <c r="A675" s="95"/>
      <c r="B675" s="95"/>
      <c r="C675" s="95"/>
    </row>
    <row r="676" spans="1:3" ht="15" x14ac:dyDescent="0.25">
      <c r="A676" s="95"/>
      <c r="B676" s="95"/>
      <c r="C676" s="95"/>
    </row>
    <row r="677" spans="1:3" ht="15" x14ac:dyDescent="0.25">
      <c r="A677" s="95"/>
      <c r="B677" s="95"/>
      <c r="C677" s="95"/>
    </row>
    <row r="678" spans="1:3" ht="15" x14ac:dyDescent="0.25">
      <c r="A678" s="95"/>
      <c r="B678" s="95"/>
      <c r="C678" s="95"/>
    </row>
    <row r="679" spans="1:3" ht="15" x14ac:dyDescent="0.25">
      <c r="A679" s="95"/>
      <c r="B679" s="95"/>
      <c r="C679" s="95"/>
    </row>
    <row r="680" spans="1:3" ht="15" x14ac:dyDescent="0.25">
      <c r="A680" s="95"/>
      <c r="B680" s="95"/>
      <c r="C680" s="95"/>
    </row>
    <row r="681" spans="1:3" ht="15" x14ac:dyDescent="0.25">
      <c r="A681" s="95"/>
      <c r="B681" s="95"/>
      <c r="C681" s="95"/>
    </row>
    <row r="682" spans="1:3" ht="15" x14ac:dyDescent="0.25">
      <c r="A682" s="95"/>
      <c r="B682" s="95"/>
      <c r="C682" s="95"/>
    </row>
    <row r="683" spans="1:3" ht="15" x14ac:dyDescent="0.25">
      <c r="A683" s="95"/>
      <c r="B683" s="95"/>
      <c r="C683" s="95"/>
    </row>
    <row r="684" spans="1:3" ht="15" x14ac:dyDescent="0.25">
      <c r="A684" s="95"/>
      <c r="B684" s="95"/>
      <c r="C684" s="95"/>
    </row>
    <row r="685" spans="1:3" ht="15" x14ac:dyDescent="0.25">
      <c r="A685" s="95"/>
      <c r="B685" s="95"/>
      <c r="C685" s="95"/>
    </row>
    <row r="686" spans="1:3" ht="15" x14ac:dyDescent="0.25">
      <c r="A686" s="95"/>
      <c r="B686" s="95"/>
      <c r="C686" s="95"/>
    </row>
    <row r="687" spans="1:3" ht="15" x14ac:dyDescent="0.25">
      <c r="A687" s="95"/>
      <c r="B687" s="95"/>
      <c r="C687" s="95"/>
    </row>
    <row r="688" spans="1:3" ht="15" x14ac:dyDescent="0.25">
      <c r="A688" s="95"/>
      <c r="B688" s="95"/>
      <c r="C688" s="95"/>
    </row>
    <row r="689" spans="1:3" ht="15" x14ac:dyDescent="0.25">
      <c r="A689" s="95"/>
      <c r="B689" s="95"/>
      <c r="C689" s="95"/>
    </row>
    <row r="690" spans="1:3" ht="15" x14ac:dyDescent="0.25">
      <c r="A690" s="95"/>
      <c r="B690" s="95"/>
      <c r="C690" s="95"/>
    </row>
    <row r="691" spans="1:3" ht="15" x14ac:dyDescent="0.25">
      <c r="A691" s="95"/>
      <c r="B691" s="95"/>
      <c r="C691" s="95"/>
    </row>
    <row r="692" spans="1:3" ht="15" x14ac:dyDescent="0.25">
      <c r="A692" s="95"/>
      <c r="B692" s="95"/>
      <c r="C692" s="95"/>
    </row>
    <row r="693" spans="1:3" ht="15" x14ac:dyDescent="0.25">
      <c r="A693" s="95"/>
      <c r="B693" s="95"/>
      <c r="C693" s="95"/>
    </row>
    <row r="694" spans="1:3" ht="15" x14ac:dyDescent="0.25">
      <c r="A694" s="95"/>
      <c r="B694" s="95"/>
      <c r="C694" s="95"/>
    </row>
    <row r="695" spans="1:3" ht="15" x14ac:dyDescent="0.25">
      <c r="A695" s="95"/>
      <c r="B695" s="95"/>
      <c r="C695" s="95"/>
    </row>
    <row r="696" spans="1:3" ht="15" x14ac:dyDescent="0.25">
      <c r="A696" s="95"/>
      <c r="B696" s="95"/>
      <c r="C696" s="95"/>
    </row>
    <row r="697" spans="1:3" ht="15" x14ac:dyDescent="0.25">
      <c r="A697" s="95"/>
      <c r="B697" s="95"/>
      <c r="C697" s="95"/>
    </row>
    <row r="698" spans="1:3" ht="15" x14ac:dyDescent="0.25">
      <c r="A698" s="95"/>
      <c r="B698" s="95"/>
      <c r="C698" s="95"/>
    </row>
    <row r="699" spans="1:3" ht="15" x14ac:dyDescent="0.25">
      <c r="A699" s="95"/>
      <c r="B699" s="95"/>
      <c r="C699" s="95"/>
    </row>
    <row r="700" spans="1:3" ht="15" x14ac:dyDescent="0.25">
      <c r="A700" s="95"/>
      <c r="B700" s="95"/>
      <c r="C700" s="95"/>
    </row>
    <row r="701" spans="1:3" ht="15" x14ac:dyDescent="0.25">
      <c r="A701" s="95"/>
      <c r="B701" s="95"/>
      <c r="C701" s="95"/>
    </row>
    <row r="702" spans="1:3" ht="15" x14ac:dyDescent="0.25">
      <c r="A702" s="95"/>
      <c r="B702" s="95"/>
      <c r="C702" s="95"/>
    </row>
    <row r="703" spans="1:3" ht="15" x14ac:dyDescent="0.25">
      <c r="A703" s="95"/>
      <c r="B703" s="95"/>
      <c r="C703" s="95"/>
    </row>
    <row r="704" spans="1:3" ht="15" x14ac:dyDescent="0.25">
      <c r="A704" s="95"/>
      <c r="B704" s="95"/>
      <c r="C704" s="95"/>
    </row>
    <row r="705" spans="1:3" ht="15" x14ac:dyDescent="0.25">
      <c r="A705" s="95"/>
      <c r="B705" s="95"/>
      <c r="C705" s="95"/>
    </row>
    <row r="706" spans="1:3" ht="15" x14ac:dyDescent="0.25">
      <c r="A706" s="95"/>
      <c r="B706" s="95"/>
      <c r="C706" s="95"/>
    </row>
    <row r="707" spans="1:3" ht="15" x14ac:dyDescent="0.25">
      <c r="A707" s="95"/>
      <c r="B707" s="95"/>
      <c r="C707" s="95"/>
    </row>
    <row r="708" spans="1:3" ht="15" x14ac:dyDescent="0.25">
      <c r="A708" s="95"/>
      <c r="B708" s="95"/>
      <c r="C708" s="95"/>
    </row>
    <row r="709" spans="1:3" ht="15" x14ac:dyDescent="0.25">
      <c r="A709" s="95"/>
      <c r="B709" s="95"/>
      <c r="C709" s="95"/>
    </row>
    <row r="710" spans="1:3" ht="15" x14ac:dyDescent="0.25">
      <c r="A710" s="95"/>
      <c r="B710" s="95"/>
      <c r="C710" s="95"/>
    </row>
    <row r="711" spans="1:3" ht="15" x14ac:dyDescent="0.25">
      <c r="A711" s="95"/>
      <c r="B711" s="95"/>
      <c r="C711" s="95"/>
    </row>
    <row r="712" spans="1:3" ht="15" x14ac:dyDescent="0.25">
      <c r="A712" s="95"/>
      <c r="B712" s="95"/>
      <c r="C712" s="95"/>
    </row>
    <row r="713" spans="1:3" ht="15" x14ac:dyDescent="0.25">
      <c r="A713" s="95"/>
      <c r="B713" s="95"/>
      <c r="C713" s="95"/>
    </row>
    <row r="714" spans="1:3" ht="15" x14ac:dyDescent="0.25">
      <c r="A714" s="95"/>
      <c r="B714" s="95"/>
      <c r="C714" s="95"/>
    </row>
    <row r="715" spans="1:3" ht="15" x14ac:dyDescent="0.25">
      <c r="A715" s="95"/>
      <c r="B715" s="95"/>
      <c r="C715" s="95"/>
    </row>
    <row r="716" spans="1:3" ht="15" x14ac:dyDescent="0.25">
      <c r="A716" s="95"/>
      <c r="B716" s="95"/>
      <c r="C716" s="95"/>
    </row>
    <row r="717" spans="1:3" ht="15" x14ac:dyDescent="0.25">
      <c r="A717" s="95"/>
      <c r="B717" s="95"/>
      <c r="C717" s="95"/>
    </row>
    <row r="718" spans="1:3" ht="15" x14ac:dyDescent="0.25">
      <c r="A718" s="95"/>
      <c r="B718" s="95"/>
      <c r="C718" s="95"/>
    </row>
    <row r="719" spans="1:3" ht="15" x14ac:dyDescent="0.25">
      <c r="A719" s="95"/>
      <c r="B719" s="95"/>
      <c r="C719" s="95"/>
    </row>
    <row r="720" spans="1:3" ht="15" x14ac:dyDescent="0.25">
      <c r="A720" s="95"/>
      <c r="B720" s="95"/>
      <c r="C720" s="95"/>
    </row>
    <row r="721" spans="1:3" ht="15" x14ac:dyDescent="0.25">
      <c r="A721" s="95"/>
      <c r="B721" s="95"/>
      <c r="C721" s="95"/>
    </row>
    <row r="722" spans="1:3" ht="15" x14ac:dyDescent="0.25">
      <c r="A722" s="95"/>
      <c r="B722" s="95"/>
      <c r="C722" s="95"/>
    </row>
    <row r="723" spans="1:3" ht="15" x14ac:dyDescent="0.25">
      <c r="A723" s="95"/>
      <c r="B723" s="95"/>
      <c r="C723" s="95"/>
    </row>
    <row r="724" spans="1:3" ht="15" x14ac:dyDescent="0.25">
      <c r="A724" s="95"/>
      <c r="B724" s="95"/>
      <c r="C724" s="95"/>
    </row>
    <row r="725" spans="1:3" ht="15" x14ac:dyDescent="0.25">
      <c r="A725" s="95"/>
      <c r="B725" s="95"/>
      <c r="C725" s="95"/>
    </row>
    <row r="726" spans="1:3" ht="15" x14ac:dyDescent="0.25">
      <c r="A726" s="95"/>
      <c r="B726" s="95"/>
      <c r="C726" s="95"/>
    </row>
    <row r="727" spans="1:3" ht="15" x14ac:dyDescent="0.25">
      <c r="A727" s="95"/>
      <c r="B727" s="95"/>
      <c r="C727" s="95"/>
    </row>
    <row r="728" spans="1:3" ht="15" x14ac:dyDescent="0.25">
      <c r="A728" s="95"/>
      <c r="B728" s="95"/>
      <c r="C728" s="95"/>
    </row>
    <row r="729" spans="1:3" ht="15" x14ac:dyDescent="0.25">
      <c r="A729" s="95"/>
      <c r="B729" s="95"/>
      <c r="C729" s="95"/>
    </row>
    <row r="730" spans="1:3" ht="15" x14ac:dyDescent="0.25">
      <c r="A730" s="95"/>
      <c r="B730" s="95"/>
      <c r="C730" s="95"/>
    </row>
    <row r="731" spans="1:3" ht="15" x14ac:dyDescent="0.25">
      <c r="A731" s="95"/>
      <c r="B731" s="95"/>
      <c r="C731" s="95"/>
    </row>
    <row r="732" spans="1:3" ht="15" x14ac:dyDescent="0.25">
      <c r="A732" s="95"/>
      <c r="B732" s="95"/>
      <c r="C732" s="95"/>
    </row>
    <row r="733" spans="1:3" ht="15" x14ac:dyDescent="0.25">
      <c r="A733" s="95"/>
      <c r="B733" s="95"/>
      <c r="C733" s="95"/>
    </row>
    <row r="734" spans="1:3" ht="15" x14ac:dyDescent="0.25">
      <c r="A734" s="95"/>
      <c r="B734" s="95"/>
      <c r="C734" s="95"/>
    </row>
    <row r="735" spans="1:3" ht="15" x14ac:dyDescent="0.25">
      <c r="A735" s="95"/>
      <c r="B735" s="95"/>
      <c r="C735" s="95"/>
    </row>
    <row r="736" spans="1:3" ht="15" x14ac:dyDescent="0.25">
      <c r="A736" s="95"/>
      <c r="B736" s="95"/>
      <c r="C736" s="95"/>
    </row>
    <row r="737" spans="1:3" ht="15" x14ac:dyDescent="0.25">
      <c r="A737" s="95"/>
      <c r="B737" s="95"/>
      <c r="C737" s="95"/>
    </row>
    <row r="738" spans="1:3" ht="15" x14ac:dyDescent="0.25">
      <c r="A738" s="95"/>
      <c r="B738" s="95"/>
      <c r="C738" s="95"/>
    </row>
    <row r="739" spans="1:3" ht="15" x14ac:dyDescent="0.25">
      <c r="A739" s="95"/>
      <c r="B739" s="95"/>
      <c r="C739" s="95"/>
    </row>
    <row r="740" spans="1:3" ht="15" x14ac:dyDescent="0.25">
      <c r="A740" s="95"/>
      <c r="B740" s="95"/>
      <c r="C740" s="95"/>
    </row>
    <row r="741" spans="1:3" ht="15" x14ac:dyDescent="0.25">
      <c r="A741" s="95"/>
      <c r="B741" s="95"/>
      <c r="C741" s="95"/>
    </row>
    <row r="742" spans="1:3" ht="15" x14ac:dyDescent="0.25">
      <c r="A742" s="95"/>
      <c r="B742" s="95"/>
      <c r="C742" s="95"/>
    </row>
    <row r="743" spans="1:3" ht="15" x14ac:dyDescent="0.25">
      <c r="A743" s="95"/>
      <c r="B743" s="95"/>
      <c r="C743" s="95"/>
    </row>
    <row r="744" spans="1:3" ht="15" x14ac:dyDescent="0.25">
      <c r="A744" s="95"/>
      <c r="B744" s="95"/>
      <c r="C744" s="95"/>
    </row>
    <row r="745" spans="1:3" ht="15" x14ac:dyDescent="0.25">
      <c r="A745" s="95"/>
      <c r="B745" s="95"/>
      <c r="C745" s="95"/>
    </row>
    <row r="746" spans="1:3" ht="15" x14ac:dyDescent="0.25">
      <c r="A746" s="95"/>
      <c r="B746" s="95"/>
      <c r="C746" s="95"/>
    </row>
    <row r="747" spans="1:3" ht="15" x14ac:dyDescent="0.25">
      <c r="A747" s="95"/>
      <c r="B747" s="95"/>
      <c r="C747" s="95"/>
    </row>
    <row r="748" spans="1:3" ht="15" x14ac:dyDescent="0.25">
      <c r="A748" s="95"/>
      <c r="B748" s="95"/>
      <c r="C748" s="95"/>
    </row>
    <row r="749" spans="1:3" ht="15" x14ac:dyDescent="0.25">
      <c r="A749" s="95"/>
      <c r="B749" s="95"/>
      <c r="C749" s="95"/>
    </row>
    <row r="750" spans="1:3" ht="15" x14ac:dyDescent="0.25">
      <c r="A750" s="95"/>
      <c r="B750" s="95"/>
      <c r="C750" s="95"/>
    </row>
    <row r="751" spans="1:3" ht="15" x14ac:dyDescent="0.25">
      <c r="A751" s="95"/>
      <c r="B751" s="95"/>
      <c r="C751" s="95"/>
    </row>
    <row r="752" spans="1:3" ht="15" x14ac:dyDescent="0.25">
      <c r="A752" s="95"/>
      <c r="B752" s="95"/>
      <c r="C752" s="95"/>
    </row>
    <row r="753" spans="1:3" ht="15" x14ac:dyDescent="0.25">
      <c r="A753" s="95"/>
      <c r="B753" s="95"/>
      <c r="C753" s="95"/>
    </row>
    <row r="754" spans="1:3" ht="15" x14ac:dyDescent="0.25">
      <c r="A754" s="95"/>
      <c r="B754" s="95"/>
      <c r="C754" s="95"/>
    </row>
    <row r="755" spans="1:3" ht="15" x14ac:dyDescent="0.25">
      <c r="A755" s="95"/>
      <c r="B755" s="95"/>
      <c r="C755" s="95"/>
    </row>
    <row r="756" spans="1:3" ht="15" x14ac:dyDescent="0.25">
      <c r="A756" s="95"/>
      <c r="B756" s="95"/>
      <c r="C756" s="95"/>
    </row>
    <row r="757" spans="1:3" ht="15" x14ac:dyDescent="0.25">
      <c r="A757" s="95"/>
      <c r="B757" s="95"/>
      <c r="C757" s="95"/>
    </row>
    <row r="758" spans="1:3" ht="15" x14ac:dyDescent="0.25">
      <c r="A758" s="95"/>
      <c r="B758" s="95"/>
      <c r="C758" s="95"/>
    </row>
    <row r="759" spans="1:3" ht="15" x14ac:dyDescent="0.25">
      <c r="A759" s="95"/>
      <c r="B759" s="95"/>
      <c r="C759" s="95"/>
    </row>
    <row r="760" spans="1:3" ht="15" x14ac:dyDescent="0.25">
      <c r="A760" s="95"/>
      <c r="B760" s="95"/>
      <c r="C760" s="95"/>
    </row>
    <row r="761" spans="1:3" ht="15" x14ac:dyDescent="0.25">
      <c r="A761" s="95"/>
      <c r="B761" s="95"/>
      <c r="C761" s="95"/>
    </row>
    <row r="762" spans="1:3" ht="15" x14ac:dyDescent="0.25">
      <c r="A762" s="95"/>
      <c r="B762" s="95"/>
      <c r="C762" s="95"/>
    </row>
    <row r="763" spans="1:3" ht="15" x14ac:dyDescent="0.25">
      <c r="A763" s="95"/>
      <c r="B763" s="95"/>
      <c r="C763" s="95"/>
    </row>
    <row r="764" spans="1:3" ht="15" x14ac:dyDescent="0.25">
      <c r="A764" s="95"/>
      <c r="B764" s="95"/>
      <c r="C764" s="95"/>
    </row>
    <row r="765" spans="1:3" ht="15" x14ac:dyDescent="0.25">
      <c r="A765" s="95"/>
      <c r="B765" s="95"/>
      <c r="C765" s="95"/>
    </row>
    <row r="766" spans="1:3" ht="15" x14ac:dyDescent="0.25">
      <c r="A766" s="95"/>
      <c r="B766" s="95"/>
      <c r="C766" s="95"/>
    </row>
    <row r="767" spans="1:3" ht="15" x14ac:dyDescent="0.25">
      <c r="A767" s="95"/>
      <c r="B767" s="95"/>
      <c r="C767" s="95"/>
    </row>
    <row r="768" spans="1:3" ht="15" x14ac:dyDescent="0.25">
      <c r="A768" s="95"/>
      <c r="B768" s="95"/>
      <c r="C768" s="95"/>
    </row>
    <row r="769" spans="1:3" ht="15" x14ac:dyDescent="0.25">
      <c r="A769" s="95"/>
      <c r="B769" s="95"/>
      <c r="C769" s="95"/>
    </row>
    <row r="770" spans="1:3" ht="15" x14ac:dyDescent="0.25">
      <c r="A770" s="95"/>
      <c r="B770" s="95"/>
      <c r="C770" s="95"/>
    </row>
    <row r="771" spans="1:3" ht="15" x14ac:dyDescent="0.25">
      <c r="A771" s="95"/>
      <c r="B771" s="95"/>
      <c r="C771" s="95"/>
    </row>
    <row r="772" spans="1:3" ht="15" x14ac:dyDescent="0.25">
      <c r="A772" s="95"/>
      <c r="B772" s="95"/>
      <c r="C772" s="95"/>
    </row>
    <row r="773" spans="1:3" ht="15" x14ac:dyDescent="0.25">
      <c r="A773" s="95"/>
      <c r="B773" s="95"/>
      <c r="C773" s="95"/>
    </row>
    <row r="774" spans="1:3" ht="15" x14ac:dyDescent="0.25">
      <c r="A774" s="95"/>
      <c r="B774" s="95"/>
      <c r="C774" s="95"/>
    </row>
    <row r="775" spans="1:3" ht="15" x14ac:dyDescent="0.25">
      <c r="A775" s="95"/>
      <c r="B775" s="95"/>
      <c r="C775" s="95"/>
    </row>
    <row r="776" spans="1:3" ht="15" x14ac:dyDescent="0.25">
      <c r="A776" s="95"/>
      <c r="B776" s="95"/>
      <c r="C776" s="95"/>
    </row>
    <row r="777" spans="1:3" ht="15" x14ac:dyDescent="0.25">
      <c r="A777" s="95"/>
      <c r="B777" s="95"/>
      <c r="C777" s="95"/>
    </row>
    <row r="778" spans="1:3" ht="15" x14ac:dyDescent="0.25">
      <c r="A778" s="95"/>
      <c r="B778" s="95"/>
      <c r="C778" s="95"/>
    </row>
    <row r="779" spans="1:3" ht="15" x14ac:dyDescent="0.25">
      <c r="A779" s="95"/>
      <c r="B779" s="95"/>
      <c r="C779" s="95"/>
    </row>
    <row r="780" spans="1:3" ht="15" x14ac:dyDescent="0.25">
      <c r="A780" s="95"/>
      <c r="B780" s="95"/>
      <c r="C780" s="95"/>
    </row>
    <row r="781" spans="1:3" ht="15" x14ac:dyDescent="0.25">
      <c r="A781" s="95"/>
      <c r="B781" s="95"/>
      <c r="C781" s="95"/>
    </row>
    <row r="782" spans="1:3" ht="15" x14ac:dyDescent="0.25">
      <c r="A782" s="95"/>
      <c r="B782" s="95"/>
      <c r="C782" s="95"/>
    </row>
    <row r="783" spans="1:3" ht="15" x14ac:dyDescent="0.25">
      <c r="A783" s="95"/>
      <c r="B783" s="95"/>
      <c r="C783" s="95"/>
    </row>
    <row r="784" spans="1:3" ht="15" x14ac:dyDescent="0.25">
      <c r="A784" s="95"/>
      <c r="B784" s="95"/>
      <c r="C784" s="95"/>
    </row>
    <row r="785" spans="1:3" ht="15" x14ac:dyDescent="0.25">
      <c r="A785" s="95"/>
      <c r="B785" s="95"/>
      <c r="C785" s="95"/>
    </row>
    <row r="786" spans="1:3" ht="15" x14ac:dyDescent="0.25">
      <c r="A786" s="95"/>
      <c r="B786" s="95"/>
      <c r="C786" s="95"/>
    </row>
    <row r="787" spans="1:3" ht="15" x14ac:dyDescent="0.25">
      <c r="A787" s="95"/>
      <c r="B787" s="95"/>
      <c r="C787" s="95"/>
    </row>
    <row r="788" spans="1:3" ht="15" x14ac:dyDescent="0.25">
      <c r="A788" s="95"/>
      <c r="B788" s="95"/>
      <c r="C788" s="95"/>
    </row>
    <row r="789" spans="1:3" ht="15" x14ac:dyDescent="0.25">
      <c r="A789" s="95"/>
      <c r="B789" s="95"/>
      <c r="C789" s="95"/>
    </row>
    <row r="790" spans="1:3" ht="15" x14ac:dyDescent="0.25">
      <c r="A790" s="95"/>
      <c r="B790" s="95"/>
      <c r="C790" s="95"/>
    </row>
    <row r="791" spans="1:3" ht="15" x14ac:dyDescent="0.25">
      <c r="A791" s="95"/>
      <c r="B791" s="95"/>
      <c r="C791" s="95"/>
    </row>
    <row r="792" spans="1:3" ht="15" x14ac:dyDescent="0.25">
      <c r="A792" s="95"/>
      <c r="B792" s="95"/>
      <c r="C792" s="95"/>
    </row>
    <row r="793" spans="1:3" ht="15" x14ac:dyDescent="0.25">
      <c r="A793" s="95"/>
      <c r="B793" s="95"/>
      <c r="C793" s="95"/>
    </row>
    <row r="794" spans="1:3" ht="15" x14ac:dyDescent="0.25">
      <c r="A794" s="95"/>
      <c r="B794" s="95"/>
      <c r="C794" s="95"/>
    </row>
    <row r="795" spans="1:3" ht="15" x14ac:dyDescent="0.25">
      <c r="A795" s="95"/>
      <c r="B795" s="95"/>
      <c r="C795" s="95"/>
    </row>
    <row r="796" spans="1:3" ht="15" x14ac:dyDescent="0.25">
      <c r="A796" s="95"/>
      <c r="B796" s="95"/>
      <c r="C796" s="95"/>
    </row>
    <row r="797" spans="1:3" ht="15" x14ac:dyDescent="0.25">
      <c r="A797" s="95"/>
      <c r="B797" s="95"/>
      <c r="C797" s="95"/>
    </row>
    <row r="798" spans="1:3" ht="15" x14ac:dyDescent="0.25">
      <c r="A798" s="95"/>
      <c r="B798" s="95"/>
      <c r="C798" s="95"/>
    </row>
    <row r="799" spans="1:3" ht="15" x14ac:dyDescent="0.25">
      <c r="A799" s="95"/>
      <c r="B799" s="95"/>
      <c r="C799" s="95"/>
    </row>
    <row r="800" spans="1:3" ht="15" x14ac:dyDescent="0.25">
      <c r="A800" s="95"/>
      <c r="B800" s="95"/>
      <c r="C800" s="95"/>
    </row>
    <row r="801" spans="1:3" ht="15" x14ac:dyDescent="0.25">
      <c r="A801" s="95"/>
      <c r="B801" s="95"/>
      <c r="C801" s="95"/>
    </row>
    <row r="802" spans="1:3" ht="15" x14ac:dyDescent="0.25">
      <c r="A802" s="95"/>
      <c r="B802" s="95"/>
      <c r="C802" s="95"/>
    </row>
    <row r="803" spans="1:3" ht="15" x14ac:dyDescent="0.25">
      <c r="A803" s="95"/>
      <c r="B803" s="95"/>
      <c r="C803" s="95"/>
    </row>
    <row r="804" spans="1:3" ht="15" x14ac:dyDescent="0.25">
      <c r="A804" s="95"/>
      <c r="B804" s="95"/>
      <c r="C804" s="95"/>
    </row>
    <row r="805" spans="1:3" ht="15" x14ac:dyDescent="0.25">
      <c r="A805" s="95"/>
      <c r="B805" s="95"/>
      <c r="C805" s="95"/>
    </row>
    <row r="806" spans="1:3" ht="15" x14ac:dyDescent="0.25">
      <c r="A806" s="95"/>
      <c r="B806" s="95"/>
      <c r="C806" s="95"/>
    </row>
    <row r="807" spans="1:3" ht="15" x14ac:dyDescent="0.25">
      <c r="A807" s="95"/>
      <c r="B807" s="95"/>
      <c r="C807" s="95"/>
    </row>
    <row r="808" spans="1:3" ht="15" x14ac:dyDescent="0.25">
      <c r="A808" s="95"/>
      <c r="B808" s="95"/>
      <c r="C808" s="95"/>
    </row>
    <row r="809" spans="1:3" ht="15" x14ac:dyDescent="0.25">
      <c r="A809" s="95"/>
      <c r="B809" s="95"/>
      <c r="C809" s="95"/>
    </row>
    <row r="810" spans="1:3" ht="15" x14ac:dyDescent="0.25">
      <c r="A810" s="95"/>
      <c r="B810" s="95"/>
      <c r="C810" s="95"/>
    </row>
    <row r="811" spans="1:3" ht="15" x14ac:dyDescent="0.25">
      <c r="A811" s="95"/>
      <c r="B811" s="95"/>
      <c r="C811" s="95"/>
    </row>
    <row r="812" spans="1:3" ht="15" x14ac:dyDescent="0.25">
      <c r="A812" s="95"/>
      <c r="B812" s="95"/>
      <c r="C812" s="95"/>
    </row>
    <row r="813" spans="1:3" ht="15" x14ac:dyDescent="0.25">
      <c r="A813" s="95"/>
      <c r="B813" s="95"/>
      <c r="C813" s="95"/>
    </row>
    <row r="814" spans="1:3" ht="15" x14ac:dyDescent="0.25">
      <c r="A814" s="95"/>
      <c r="B814" s="95"/>
      <c r="C814" s="95"/>
    </row>
    <row r="815" spans="1:3" ht="15" x14ac:dyDescent="0.25">
      <c r="A815" s="95"/>
      <c r="B815" s="95"/>
      <c r="C815" s="95"/>
    </row>
    <row r="816" spans="1:3" ht="15" x14ac:dyDescent="0.25">
      <c r="A816" s="95"/>
      <c r="B816" s="95"/>
      <c r="C816" s="95"/>
    </row>
    <row r="817" spans="1:3" ht="15" x14ac:dyDescent="0.25">
      <c r="A817" s="95"/>
      <c r="B817" s="95"/>
      <c r="C817" s="95"/>
    </row>
    <row r="818" spans="1:3" ht="15" x14ac:dyDescent="0.25">
      <c r="A818" s="95"/>
      <c r="B818" s="95"/>
      <c r="C818" s="95"/>
    </row>
    <row r="819" spans="1:3" ht="15" x14ac:dyDescent="0.25">
      <c r="A819" s="95"/>
      <c r="B819" s="95"/>
      <c r="C819" s="95"/>
    </row>
    <row r="820" spans="1:3" ht="15" x14ac:dyDescent="0.25">
      <c r="A820" s="95"/>
      <c r="B820" s="95"/>
      <c r="C820" s="95"/>
    </row>
    <row r="821" spans="1:3" ht="15" x14ac:dyDescent="0.25">
      <c r="A821" s="95"/>
      <c r="B821" s="95"/>
      <c r="C821" s="95"/>
    </row>
    <row r="822" spans="1:3" ht="15" x14ac:dyDescent="0.25">
      <c r="A822" s="95"/>
      <c r="B822" s="95"/>
      <c r="C822" s="95"/>
    </row>
    <row r="823" spans="1:3" ht="15" x14ac:dyDescent="0.25">
      <c r="A823" s="95"/>
      <c r="B823" s="95"/>
      <c r="C823" s="95"/>
    </row>
    <row r="824" spans="1:3" ht="15" x14ac:dyDescent="0.25">
      <c r="A824" s="95"/>
      <c r="B824" s="95"/>
      <c r="C824" s="95"/>
    </row>
    <row r="825" spans="1:3" ht="15" x14ac:dyDescent="0.25">
      <c r="A825" s="95"/>
      <c r="B825" s="95"/>
      <c r="C825" s="95"/>
    </row>
    <row r="826" spans="1:3" ht="15" x14ac:dyDescent="0.25">
      <c r="A826" s="95"/>
      <c r="B826" s="95"/>
      <c r="C826" s="95"/>
    </row>
    <row r="827" spans="1:3" ht="15" x14ac:dyDescent="0.25">
      <c r="A827" s="95"/>
      <c r="B827" s="95"/>
      <c r="C827" s="95"/>
    </row>
    <row r="828" spans="1:3" ht="15" x14ac:dyDescent="0.25">
      <c r="A828" s="95"/>
      <c r="B828" s="95"/>
      <c r="C828" s="95"/>
    </row>
    <row r="829" spans="1:3" ht="15" x14ac:dyDescent="0.25">
      <c r="A829" s="95"/>
      <c r="B829" s="95"/>
      <c r="C829" s="95"/>
    </row>
    <row r="830" spans="1:3" ht="15" x14ac:dyDescent="0.25">
      <c r="A830" s="95"/>
      <c r="B830" s="95"/>
      <c r="C830" s="95"/>
    </row>
    <row r="831" spans="1:3" ht="15" x14ac:dyDescent="0.25">
      <c r="A831" s="95"/>
      <c r="B831" s="95"/>
      <c r="C831" s="95"/>
    </row>
    <row r="832" spans="1:3" ht="15" x14ac:dyDescent="0.25">
      <c r="A832" s="95"/>
      <c r="B832" s="95"/>
      <c r="C832" s="95"/>
    </row>
    <row r="833" spans="1:3" ht="15" x14ac:dyDescent="0.25">
      <c r="A833" s="95"/>
      <c r="B833" s="95"/>
      <c r="C833" s="95"/>
    </row>
    <row r="834" spans="1:3" ht="15" x14ac:dyDescent="0.25">
      <c r="A834" s="95"/>
      <c r="B834" s="95"/>
      <c r="C834" s="95"/>
    </row>
    <row r="835" spans="1:3" ht="15" x14ac:dyDescent="0.25">
      <c r="A835" s="95"/>
      <c r="B835" s="95"/>
      <c r="C835" s="95"/>
    </row>
    <row r="836" spans="1:3" ht="15" x14ac:dyDescent="0.25">
      <c r="A836" s="95"/>
      <c r="B836" s="95"/>
      <c r="C836" s="95"/>
    </row>
    <row r="837" spans="1:3" ht="15" x14ac:dyDescent="0.25">
      <c r="A837" s="95"/>
      <c r="B837" s="95"/>
      <c r="C837" s="95"/>
    </row>
    <row r="838" spans="1:3" ht="15" x14ac:dyDescent="0.25">
      <c r="A838" s="95"/>
      <c r="B838" s="95"/>
      <c r="C838" s="95"/>
    </row>
    <row r="839" spans="1:3" ht="15" x14ac:dyDescent="0.25">
      <c r="A839" s="95"/>
      <c r="B839" s="95"/>
      <c r="C839" s="95"/>
    </row>
    <row r="840" spans="1:3" ht="15" x14ac:dyDescent="0.25">
      <c r="A840" s="95"/>
      <c r="B840" s="95"/>
      <c r="C840" s="95"/>
    </row>
    <row r="841" spans="1:3" ht="15" x14ac:dyDescent="0.25">
      <c r="A841" s="95"/>
      <c r="B841" s="95"/>
      <c r="C841" s="95"/>
    </row>
    <row r="842" spans="1:3" ht="15" x14ac:dyDescent="0.25">
      <c r="A842" s="95"/>
      <c r="B842" s="95"/>
      <c r="C842" s="95"/>
    </row>
    <row r="843" spans="1:3" ht="15" x14ac:dyDescent="0.25">
      <c r="A843" s="95"/>
      <c r="B843" s="95"/>
      <c r="C843" s="95"/>
    </row>
    <row r="844" spans="1:3" ht="15" x14ac:dyDescent="0.25">
      <c r="A844" s="95"/>
      <c r="B844" s="95"/>
      <c r="C844" s="95"/>
    </row>
    <row r="845" spans="1:3" ht="15" x14ac:dyDescent="0.25">
      <c r="A845" s="95"/>
      <c r="B845" s="95"/>
      <c r="C845" s="95"/>
    </row>
    <row r="846" spans="1:3" ht="15" x14ac:dyDescent="0.25">
      <c r="A846" s="95"/>
      <c r="B846" s="95"/>
      <c r="C846" s="95"/>
    </row>
    <row r="847" spans="1:3" ht="15" x14ac:dyDescent="0.25">
      <c r="A847" s="95"/>
      <c r="B847" s="95"/>
      <c r="C847" s="95"/>
    </row>
    <row r="848" spans="1:3" ht="15" x14ac:dyDescent="0.25">
      <c r="A848" s="95"/>
      <c r="B848" s="95"/>
      <c r="C848" s="95"/>
    </row>
    <row r="849" spans="1:3" ht="15" x14ac:dyDescent="0.25">
      <c r="A849" s="95"/>
      <c r="B849" s="95"/>
      <c r="C849" s="95"/>
    </row>
    <row r="850" spans="1:3" ht="15" x14ac:dyDescent="0.25">
      <c r="A850" s="95"/>
      <c r="B850" s="95"/>
      <c r="C850" s="95"/>
    </row>
    <row r="851" spans="1:3" ht="15" x14ac:dyDescent="0.25">
      <c r="A851" s="95"/>
      <c r="B851" s="95"/>
      <c r="C851" s="95"/>
    </row>
    <row r="852" spans="1:3" ht="15" x14ac:dyDescent="0.25">
      <c r="A852" s="95"/>
      <c r="B852" s="95"/>
      <c r="C852" s="95"/>
    </row>
    <row r="853" spans="1:3" ht="15" x14ac:dyDescent="0.25">
      <c r="A853" s="95"/>
      <c r="B853" s="95"/>
      <c r="C853" s="95"/>
    </row>
    <row r="854" spans="1:3" ht="15" x14ac:dyDescent="0.25">
      <c r="A854" s="95"/>
      <c r="B854" s="95"/>
      <c r="C854" s="95"/>
    </row>
    <row r="855" spans="1:3" ht="15" x14ac:dyDescent="0.25">
      <c r="A855" s="95"/>
      <c r="B855" s="95"/>
      <c r="C855" s="95"/>
    </row>
    <row r="856" spans="1:3" ht="15" x14ac:dyDescent="0.25">
      <c r="A856" s="95"/>
      <c r="B856" s="95"/>
      <c r="C856" s="95"/>
    </row>
    <row r="857" spans="1:3" ht="15" x14ac:dyDescent="0.25">
      <c r="A857" s="95"/>
      <c r="B857" s="95"/>
      <c r="C857" s="95"/>
    </row>
    <row r="858" spans="1:3" ht="15" x14ac:dyDescent="0.25">
      <c r="A858" s="95"/>
      <c r="B858" s="95"/>
      <c r="C858" s="95"/>
    </row>
    <row r="859" spans="1:3" ht="15" x14ac:dyDescent="0.25">
      <c r="A859" s="95"/>
      <c r="B859" s="95"/>
      <c r="C859" s="95"/>
    </row>
    <row r="860" spans="1:3" ht="15" x14ac:dyDescent="0.25">
      <c r="A860" s="95"/>
      <c r="B860" s="95"/>
      <c r="C860" s="95"/>
    </row>
    <row r="861" spans="1:3" ht="15" x14ac:dyDescent="0.25">
      <c r="A861" s="95"/>
      <c r="B861" s="95"/>
      <c r="C861" s="95"/>
    </row>
    <row r="862" spans="1:3" ht="15" x14ac:dyDescent="0.25">
      <c r="A862" s="95"/>
      <c r="B862" s="95"/>
      <c r="C862" s="95"/>
    </row>
    <row r="863" spans="1:3" ht="15" x14ac:dyDescent="0.25">
      <c r="A863" s="95"/>
      <c r="B863" s="95"/>
      <c r="C863" s="95"/>
    </row>
    <row r="864" spans="1:3" ht="15" x14ac:dyDescent="0.25">
      <c r="A864" s="95"/>
      <c r="B864" s="95"/>
      <c r="C864" s="95"/>
    </row>
    <row r="865" spans="1:3" ht="15" x14ac:dyDescent="0.25">
      <c r="A865" s="95"/>
      <c r="B865" s="95"/>
      <c r="C865" s="95"/>
    </row>
    <row r="866" spans="1:3" ht="15" x14ac:dyDescent="0.25">
      <c r="A866" s="95"/>
      <c r="B866" s="95"/>
      <c r="C866" s="95"/>
    </row>
    <row r="867" spans="1:3" ht="15" x14ac:dyDescent="0.25">
      <c r="A867" s="95"/>
      <c r="B867" s="95"/>
      <c r="C867" s="95"/>
    </row>
    <row r="868" spans="1:3" ht="15" x14ac:dyDescent="0.25">
      <c r="A868" s="95"/>
      <c r="B868" s="95"/>
      <c r="C868" s="95"/>
    </row>
    <row r="869" spans="1:3" ht="15" x14ac:dyDescent="0.25">
      <c r="A869" s="95"/>
      <c r="B869" s="95"/>
      <c r="C869" s="95"/>
    </row>
    <row r="870" spans="1:3" ht="15" x14ac:dyDescent="0.25">
      <c r="A870" s="95"/>
      <c r="B870" s="95"/>
      <c r="C870" s="95"/>
    </row>
    <row r="871" spans="1:3" ht="15" x14ac:dyDescent="0.25">
      <c r="A871" s="95"/>
      <c r="B871" s="95"/>
      <c r="C871" s="95"/>
    </row>
    <row r="872" spans="1:3" ht="15" x14ac:dyDescent="0.25">
      <c r="A872" s="95"/>
      <c r="B872" s="95"/>
      <c r="C872" s="95"/>
    </row>
    <row r="873" spans="1:3" ht="15" x14ac:dyDescent="0.25">
      <c r="A873" s="95"/>
      <c r="B873" s="95"/>
      <c r="C873" s="95"/>
    </row>
    <row r="874" spans="1:3" ht="15" x14ac:dyDescent="0.25">
      <c r="A874" s="95"/>
      <c r="B874" s="95"/>
      <c r="C874" s="95"/>
    </row>
    <row r="875" spans="1:3" ht="15" x14ac:dyDescent="0.25">
      <c r="A875" s="95"/>
      <c r="B875" s="95"/>
      <c r="C875" s="95"/>
    </row>
    <row r="876" spans="1:3" ht="15" x14ac:dyDescent="0.25">
      <c r="A876" s="95"/>
      <c r="B876" s="95"/>
      <c r="C876" s="95"/>
    </row>
    <row r="877" spans="1:3" ht="15" x14ac:dyDescent="0.25">
      <c r="A877" s="95"/>
      <c r="B877" s="95"/>
      <c r="C877" s="95"/>
    </row>
    <row r="878" spans="1:3" ht="15" x14ac:dyDescent="0.25">
      <c r="A878" s="95"/>
      <c r="B878" s="95"/>
      <c r="C878" s="95"/>
    </row>
    <row r="879" spans="1:3" ht="15" x14ac:dyDescent="0.25">
      <c r="A879" s="95"/>
      <c r="B879" s="95"/>
      <c r="C879" s="95"/>
    </row>
    <row r="880" spans="1:3" ht="15" x14ac:dyDescent="0.25">
      <c r="A880" s="95"/>
      <c r="B880" s="95"/>
      <c r="C880" s="95"/>
    </row>
    <row r="881" spans="1:3" ht="15" x14ac:dyDescent="0.25">
      <c r="A881" s="95"/>
      <c r="B881" s="95"/>
      <c r="C881" s="95"/>
    </row>
    <row r="882" spans="1:3" ht="15" x14ac:dyDescent="0.25">
      <c r="A882" s="95"/>
      <c r="B882" s="95"/>
      <c r="C882" s="95"/>
    </row>
    <row r="883" spans="1:3" ht="15" x14ac:dyDescent="0.25">
      <c r="A883" s="95"/>
      <c r="B883" s="95"/>
      <c r="C883" s="95"/>
    </row>
    <row r="884" spans="1:3" ht="15" x14ac:dyDescent="0.25">
      <c r="A884" s="95"/>
      <c r="B884" s="95"/>
      <c r="C884" s="95"/>
    </row>
    <row r="885" spans="1:3" ht="15" x14ac:dyDescent="0.25">
      <c r="A885" s="95"/>
      <c r="B885" s="95"/>
      <c r="C885" s="95"/>
    </row>
    <row r="886" spans="1:3" ht="15" x14ac:dyDescent="0.25">
      <c r="A886" s="95"/>
      <c r="B886" s="95"/>
      <c r="C886" s="95"/>
    </row>
    <row r="887" spans="1:3" ht="15" x14ac:dyDescent="0.25">
      <c r="A887" s="95"/>
      <c r="B887" s="95"/>
      <c r="C887" s="95"/>
    </row>
    <row r="888" spans="1:3" ht="15" x14ac:dyDescent="0.25">
      <c r="A888" s="95"/>
      <c r="B888" s="95"/>
      <c r="C888" s="95"/>
    </row>
    <row r="889" spans="1:3" ht="15" x14ac:dyDescent="0.25">
      <c r="A889" s="95"/>
      <c r="B889" s="95"/>
      <c r="C889" s="95"/>
    </row>
    <row r="890" spans="1:3" ht="15" x14ac:dyDescent="0.25">
      <c r="A890" s="95"/>
      <c r="B890" s="95"/>
      <c r="C890" s="95"/>
    </row>
    <row r="891" spans="1:3" ht="15" x14ac:dyDescent="0.25">
      <c r="A891" s="95"/>
      <c r="B891" s="95"/>
      <c r="C891" s="95"/>
    </row>
    <row r="892" spans="1:3" ht="15" x14ac:dyDescent="0.25">
      <c r="A892" s="95"/>
      <c r="B892" s="95"/>
      <c r="C892" s="95"/>
    </row>
    <row r="893" spans="1:3" ht="15" x14ac:dyDescent="0.25">
      <c r="A893" s="95"/>
      <c r="B893" s="95"/>
      <c r="C893" s="95"/>
    </row>
    <row r="894" spans="1:3" ht="15" x14ac:dyDescent="0.25">
      <c r="A894" s="95"/>
      <c r="B894" s="95"/>
      <c r="C894" s="95"/>
    </row>
    <row r="895" spans="1:3" ht="15" x14ac:dyDescent="0.25">
      <c r="A895" s="95"/>
      <c r="B895" s="95"/>
      <c r="C895" s="95"/>
    </row>
    <row r="896" spans="1:3" ht="15" x14ac:dyDescent="0.25">
      <c r="A896" s="95"/>
      <c r="B896" s="95"/>
      <c r="C896" s="95"/>
    </row>
    <row r="897" spans="1:3" ht="15" x14ac:dyDescent="0.25">
      <c r="A897" s="95"/>
      <c r="B897" s="95"/>
      <c r="C897" s="95"/>
    </row>
    <row r="898" spans="1:3" ht="15" x14ac:dyDescent="0.25">
      <c r="A898" s="95"/>
      <c r="B898" s="95"/>
      <c r="C898" s="95"/>
    </row>
    <row r="899" spans="1:3" ht="15" x14ac:dyDescent="0.25">
      <c r="A899" s="95"/>
      <c r="B899" s="95"/>
      <c r="C899" s="95"/>
    </row>
    <row r="900" spans="1:3" ht="15" x14ac:dyDescent="0.25">
      <c r="A900" s="95"/>
      <c r="B900" s="95"/>
      <c r="C900" s="95"/>
    </row>
    <row r="901" spans="1:3" ht="15" x14ac:dyDescent="0.25">
      <c r="A901" s="95"/>
      <c r="B901" s="95"/>
      <c r="C901" s="95"/>
    </row>
    <row r="902" spans="1:3" ht="15" x14ac:dyDescent="0.25">
      <c r="A902" s="95"/>
      <c r="B902" s="95"/>
      <c r="C902" s="95"/>
    </row>
    <row r="903" spans="1:3" ht="15" x14ac:dyDescent="0.25">
      <c r="A903" s="95"/>
      <c r="B903" s="95"/>
      <c r="C903" s="95"/>
    </row>
    <row r="904" spans="1:3" ht="15" x14ac:dyDescent="0.25">
      <c r="A904" s="95"/>
      <c r="B904" s="95"/>
      <c r="C904" s="95"/>
    </row>
    <row r="905" spans="1:3" ht="15" x14ac:dyDescent="0.25">
      <c r="A905" s="95"/>
      <c r="B905" s="95"/>
      <c r="C905" s="95"/>
    </row>
    <row r="906" spans="1:3" ht="15" x14ac:dyDescent="0.25">
      <c r="A906" s="95"/>
      <c r="B906" s="95"/>
      <c r="C906" s="95"/>
    </row>
    <row r="907" spans="1:3" ht="15" x14ac:dyDescent="0.25">
      <c r="A907" s="95"/>
      <c r="B907" s="95"/>
      <c r="C907" s="95"/>
    </row>
    <row r="908" spans="1:3" ht="15" x14ac:dyDescent="0.25">
      <c r="A908" s="95"/>
      <c r="B908" s="95"/>
      <c r="C908" s="95"/>
    </row>
    <row r="909" spans="1:3" ht="15" x14ac:dyDescent="0.25">
      <c r="A909" s="95"/>
      <c r="B909" s="95"/>
      <c r="C909" s="95"/>
    </row>
    <row r="910" spans="1:3" ht="15" x14ac:dyDescent="0.25">
      <c r="A910" s="95"/>
      <c r="B910" s="95"/>
      <c r="C910" s="95"/>
    </row>
    <row r="911" spans="1:3" ht="15" x14ac:dyDescent="0.25">
      <c r="A911" s="95"/>
      <c r="B911" s="95"/>
      <c r="C911" s="95"/>
    </row>
    <row r="912" spans="1:3" ht="15" x14ac:dyDescent="0.25">
      <c r="A912" s="95"/>
      <c r="B912" s="95"/>
      <c r="C912" s="95"/>
    </row>
    <row r="913" spans="1:3" ht="15" x14ac:dyDescent="0.25">
      <c r="A913" s="95"/>
      <c r="B913" s="95"/>
      <c r="C913" s="95"/>
    </row>
    <row r="914" spans="1:3" ht="15" x14ac:dyDescent="0.25">
      <c r="A914" s="95"/>
      <c r="B914" s="95"/>
      <c r="C914" s="95"/>
    </row>
    <row r="915" spans="1:3" ht="15" x14ac:dyDescent="0.25">
      <c r="A915" s="95"/>
      <c r="B915" s="95"/>
      <c r="C915" s="95"/>
    </row>
    <row r="916" spans="1:3" ht="15" x14ac:dyDescent="0.25">
      <c r="A916" s="95"/>
      <c r="B916" s="95"/>
      <c r="C916" s="95"/>
    </row>
    <row r="917" spans="1:3" ht="15" x14ac:dyDescent="0.25">
      <c r="A917" s="95"/>
      <c r="B917" s="95"/>
      <c r="C917" s="95"/>
    </row>
    <row r="918" spans="1:3" ht="15" x14ac:dyDescent="0.25">
      <c r="A918" s="95"/>
      <c r="B918" s="95"/>
      <c r="C918" s="95"/>
    </row>
    <row r="919" spans="1:3" ht="15" x14ac:dyDescent="0.25">
      <c r="A919" s="95"/>
      <c r="B919" s="95"/>
      <c r="C919" s="95"/>
    </row>
    <row r="920" spans="1:3" ht="15" x14ac:dyDescent="0.25">
      <c r="A920" s="95"/>
      <c r="B920" s="95"/>
      <c r="C920" s="95"/>
    </row>
    <row r="921" spans="1:3" ht="15" x14ac:dyDescent="0.25">
      <c r="A921" s="95"/>
      <c r="B921" s="95"/>
      <c r="C921" s="95"/>
    </row>
    <row r="922" spans="1:3" ht="15" x14ac:dyDescent="0.25">
      <c r="A922" s="95"/>
      <c r="B922" s="95"/>
      <c r="C922" s="95"/>
    </row>
    <row r="923" spans="1:3" ht="15" x14ac:dyDescent="0.25">
      <c r="A923" s="95"/>
      <c r="B923" s="95"/>
      <c r="C923" s="95"/>
    </row>
    <row r="924" spans="1:3" ht="15" x14ac:dyDescent="0.25">
      <c r="A924" s="95"/>
      <c r="B924" s="95"/>
      <c r="C924" s="95"/>
    </row>
    <row r="925" spans="1:3" ht="15" x14ac:dyDescent="0.25">
      <c r="A925" s="95"/>
      <c r="B925" s="95"/>
      <c r="C925" s="95"/>
    </row>
    <row r="926" spans="1:3" ht="15" x14ac:dyDescent="0.25">
      <c r="A926" s="95"/>
      <c r="B926" s="95"/>
      <c r="C926" s="95"/>
    </row>
    <row r="927" spans="1:3" ht="15" x14ac:dyDescent="0.25">
      <c r="A927" s="95"/>
      <c r="B927" s="95"/>
      <c r="C927" s="95"/>
    </row>
    <row r="928" spans="1:3" ht="15" x14ac:dyDescent="0.25">
      <c r="A928" s="95"/>
      <c r="B928" s="95"/>
      <c r="C928" s="95"/>
    </row>
    <row r="929" spans="1:3" ht="15" x14ac:dyDescent="0.25">
      <c r="A929" s="95"/>
      <c r="B929" s="95"/>
      <c r="C929" s="95"/>
    </row>
    <row r="930" spans="1:3" ht="15" x14ac:dyDescent="0.25">
      <c r="A930" s="95"/>
      <c r="B930" s="95"/>
      <c r="C930" s="95"/>
    </row>
    <row r="931" spans="1:3" ht="15" x14ac:dyDescent="0.25">
      <c r="A931" s="95"/>
      <c r="B931" s="95"/>
      <c r="C931" s="95"/>
    </row>
    <row r="932" spans="1:3" ht="15" x14ac:dyDescent="0.25">
      <c r="A932" s="95"/>
      <c r="B932" s="95"/>
      <c r="C932" s="95"/>
    </row>
    <row r="933" spans="1:3" ht="15" x14ac:dyDescent="0.25">
      <c r="A933" s="95"/>
      <c r="B933" s="95"/>
      <c r="C933" s="95"/>
    </row>
    <row r="934" spans="1:3" ht="15" x14ac:dyDescent="0.25">
      <c r="A934" s="95"/>
      <c r="B934" s="95"/>
      <c r="C934" s="95"/>
    </row>
    <row r="935" spans="1:3" ht="15" x14ac:dyDescent="0.25">
      <c r="A935" s="95"/>
      <c r="B935" s="95"/>
      <c r="C935" s="95"/>
    </row>
    <row r="936" spans="1:3" ht="15" x14ac:dyDescent="0.25">
      <c r="A936" s="95"/>
      <c r="B936" s="95"/>
      <c r="C936" s="95"/>
    </row>
    <row r="937" spans="1:3" ht="15" x14ac:dyDescent="0.25">
      <c r="A937" s="95"/>
      <c r="B937" s="95"/>
      <c r="C937" s="95"/>
    </row>
    <row r="938" spans="1:3" ht="15" x14ac:dyDescent="0.25">
      <c r="A938" s="95"/>
      <c r="B938" s="95"/>
      <c r="C938" s="95"/>
    </row>
    <row r="939" spans="1:3" ht="15" x14ac:dyDescent="0.25">
      <c r="A939" s="95"/>
      <c r="B939" s="95"/>
      <c r="C939" s="95"/>
    </row>
    <row r="940" spans="1:3" ht="15" x14ac:dyDescent="0.25">
      <c r="A940" s="95"/>
      <c r="B940" s="95"/>
      <c r="C940" s="95"/>
    </row>
    <row r="941" spans="1:3" ht="15" x14ac:dyDescent="0.25">
      <c r="A941" s="95"/>
      <c r="B941" s="95"/>
      <c r="C941" s="95"/>
    </row>
    <row r="942" spans="1:3" ht="15" x14ac:dyDescent="0.25">
      <c r="A942" s="95"/>
      <c r="B942" s="95"/>
      <c r="C942" s="95"/>
    </row>
    <row r="943" spans="1:3" ht="15" x14ac:dyDescent="0.25">
      <c r="A943" s="95"/>
      <c r="B943" s="95"/>
      <c r="C943" s="95"/>
    </row>
    <row r="944" spans="1:3" ht="15" x14ac:dyDescent="0.25">
      <c r="A944" s="95"/>
      <c r="B944" s="95"/>
      <c r="C944" s="95"/>
    </row>
    <row r="945" spans="1:3" ht="15" x14ac:dyDescent="0.25">
      <c r="A945" s="95"/>
      <c r="B945" s="95"/>
      <c r="C945" s="95"/>
    </row>
    <row r="946" spans="1:3" ht="15" x14ac:dyDescent="0.25">
      <c r="A946" s="95"/>
      <c r="B946" s="95"/>
      <c r="C946" s="95"/>
    </row>
    <row r="947" spans="1:3" ht="15" x14ac:dyDescent="0.25">
      <c r="A947" s="95"/>
      <c r="B947" s="95"/>
      <c r="C947" s="95"/>
    </row>
    <row r="948" spans="1:3" ht="15" x14ac:dyDescent="0.25">
      <c r="A948" s="95"/>
      <c r="B948" s="95"/>
      <c r="C948" s="95"/>
    </row>
    <row r="949" spans="1:3" ht="15" x14ac:dyDescent="0.25">
      <c r="A949" s="95"/>
      <c r="B949" s="95"/>
      <c r="C949" s="95"/>
    </row>
    <row r="950" spans="1:3" ht="15" x14ac:dyDescent="0.25">
      <c r="A950" s="95"/>
      <c r="B950" s="95"/>
      <c r="C950" s="95"/>
    </row>
    <row r="951" spans="1:3" ht="15" x14ac:dyDescent="0.25">
      <c r="A951" s="95"/>
      <c r="B951" s="95"/>
      <c r="C951" s="95"/>
    </row>
    <row r="952" spans="1:3" ht="15" x14ac:dyDescent="0.25">
      <c r="A952" s="95"/>
      <c r="B952" s="95"/>
      <c r="C952" s="95"/>
    </row>
    <row r="953" spans="1:3" ht="15" x14ac:dyDescent="0.25">
      <c r="A953" s="95"/>
      <c r="B953" s="95"/>
      <c r="C953" s="95"/>
    </row>
    <row r="954" spans="1:3" ht="15" x14ac:dyDescent="0.25">
      <c r="A954" s="95"/>
      <c r="B954" s="95"/>
      <c r="C954" s="95"/>
    </row>
    <row r="955" spans="1:3" ht="15" x14ac:dyDescent="0.25">
      <c r="A955" s="95"/>
      <c r="B955" s="95"/>
      <c r="C955" s="95"/>
    </row>
    <row r="956" spans="1:3" ht="15" x14ac:dyDescent="0.25">
      <c r="A956" s="95"/>
      <c r="B956" s="95"/>
      <c r="C956" s="95"/>
    </row>
    <row r="957" spans="1:3" ht="15" x14ac:dyDescent="0.25">
      <c r="A957" s="95"/>
      <c r="B957" s="95"/>
      <c r="C957" s="95"/>
    </row>
    <row r="958" spans="1:3" ht="15" x14ac:dyDescent="0.25">
      <c r="A958" s="95"/>
      <c r="B958" s="95"/>
      <c r="C958" s="95"/>
    </row>
    <row r="959" spans="1:3" ht="15" x14ac:dyDescent="0.25">
      <c r="A959" s="95"/>
      <c r="B959" s="95"/>
      <c r="C959" s="95"/>
    </row>
    <row r="960" spans="1:3" ht="15" x14ac:dyDescent="0.25">
      <c r="A960" s="95"/>
      <c r="B960" s="95"/>
      <c r="C960" s="95"/>
    </row>
    <row r="961" spans="1:3" ht="15" x14ac:dyDescent="0.25">
      <c r="A961" s="95"/>
      <c r="B961" s="95"/>
      <c r="C961" s="95"/>
    </row>
    <row r="962" spans="1:3" ht="15" x14ac:dyDescent="0.25">
      <c r="A962" s="95"/>
      <c r="B962" s="95"/>
      <c r="C962" s="95"/>
    </row>
    <row r="963" spans="1:3" ht="15" x14ac:dyDescent="0.25">
      <c r="A963" s="95"/>
      <c r="B963" s="95"/>
      <c r="C963" s="95"/>
    </row>
    <row r="964" spans="1:3" ht="15" x14ac:dyDescent="0.25">
      <c r="A964" s="95"/>
      <c r="B964" s="95"/>
      <c r="C964" s="95"/>
    </row>
    <row r="965" spans="1:3" ht="15" x14ac:dyDescent="0.25">
      <c r="A965" s="95"/>
      <c r="B965" s="95"/>
      <c r="C965" s="95"/>
    </row>
    <row r="966" spans="1:3" ht="15" x14ac:dyDescent="0.25">
      <c r="A966" s="95"/>
      <c r="B966" s="95"/>
      <c r="C966" s="95"/>
    </row>
    <row r="967" spans="1:3" ht="15" x14ac:dyDescent="0.25">
      <c r="A967" s="95"/>
      <c r="B967" s="95"/>
      <c r="C967" s="95"/>
    </row>
    <row r="968" spans="1:3" ht="15" x14ac:dyDescent="0.25">
      <c r="A968" s="95"/>
      <c r="B968" s="95"/>
      <c r="C968" s="95"/>
    </row>
    <row r="969" spans="1:3" ht="15" x14ac:dyDescent="0.25">
      <c r="A969" s="95"/>
      <c r="B969" s="95"/>
      <c r="C969" s="95"/>
    </row>
    <row r="970" spans="1:3" ht="15" x14ac:dyDescent="0.25">
      <c r="A970" s="95"/>
      <c r="B970" s="95"/>
      <c r="C970" s="95"/>
    </row>
    <row r="971" spans="1:3" ht="15" x14ac:dyDescent="0.25">
      <c r="A971" s="95"/>
      <c r="B971" s="95"/>
      <c r="C971" s="95"/>
    </row>
    <row r="972" spans="1:3" ht="15" x14ac:dyDescent="0.25">
      <c r="A972" s="95"/>
      <c r="B972" s="95"/>
      <c r="C972" s="95"/>
    </row>
    <row r="973" spans="1:3" ht="15" x14ac:dyDescent="0.25">
      <c r="A973" s="95"/>
      <c r="B973" s="95"/>
      <c r="C973" s="95"/>
    </row>
    <row r="974" spans="1:3" ht="15" x14ac:dyDescent="0.25">
      <c r="A974" s="95"/>
      <c r="B974" s="95"/>
      <c r="C974" s="95"/>
    </row>
    <row r="975" spans="1:3" ht="15" x14ac:dyDescent="0.25">
      <c r="A975" s="95"/>
      <c r="B975" s="95"/>
      <c r="C975" s="95"/>
    </row>
    <row r="976" spans="1:3" ht="15" x14ac:dyDescent="0.25">
      <c r="A976" s="95"/>
      <c r="B976" s="95"/>
      <c r="C976" s="95"/>
    </row>
    <row r="977" spans="1:3" ht="15" x14ac:dyDescent="0.25">
      <c r="A977" s="95"/>
      <c r="B977" s="95"/>
      <c r="C977" s="95"/>
    </row>
    <row r="978" spans="1:3" ht="15" x14ac:dyDescent="0.25">
      <c r="A978" s="95"/>
      <c r="B978" s="95"/>
      <c r="C978" s="95"/>
    </row>
    <row r="979" spans="1:3" ht="15" x14ac:dyDescent="0.25">
      <c r="A979" s="95"/>
      <c r="B979" s="95"/>
      <c r="C979" s="95"/>
    </row>
    <row r="980" spans="1:3" ht="15" x14ac:dyDescent="0.25">
      <c r="A980" s="95"/>
      <c r="B980" s="95"/>
      <c r="C980" s="95"/>
    </row>
    <row r="981" spans="1:3" ht="15" x14ac:dyDescent="0.25">
      <c r="A981" s="95"/>
      <c r="B981" s="95"/>
      <c r="C981" s="95"/>
    </row>
    <row r="982" spans="1:3" ht="15" x14ac:dyDescent="0.25">
      <c r="A982" s="95"/>
      <c r="B982" s="95"/>
      <c r="C982" s="95"/>
    </row>
    <row r="983" spans="1:3" ht="15" x14ac:dyDescent="0.25">
      <c r="A983" s="95"/>
      <c r="B983" s="95"/>
      <c r="C983" s="95"/>
    </row>
    <row r="984" spans="1:3" ht="15" x14ac:dyDescent="0.25">
      <c r="A984" s="95"/>
      <c r="B984" s="95"/>
      <c r="C984" s="95"/>
    </row>
    <row r="985" spans="1:3" ht="15" x14ac:dyDescent="0.25">
      <c r="A985" s="95"/>
      <c r="B985" s="95"/>
      <c r="C985" s="95"/>
    </row>
    <row r="986" spans="1:3" ht="15" x14ac:dyDescent="0.25">
      <c r="A986" s="95"/>
      <c r="B986" s="95"/>
      <c r="C986" s="95"/>
    </row>
    <row r="987" spans="1:3" ht="15" x14ac:dyDescent="0.25">
      <c r="A987" s="95"/>
      <c r="B987" s="95"/>
      <c r="C987" s="95"/>
    </row>
    <row r="988" spans="1:3" ht="15" x14ac:dyDescent="0.25">
      <c r="A988" s="95"/>
      <c r="B988" s="95"/>
      <c r="C988" s="95"/>
    </row>
    <row r="989" spans="1:3" ht="15" x14ac:dyDescent="0.25">
      <c r="A989" s="95"/>
      <c r="B989" s="95"/>
      <c r="C989" s="95"/>
    </row>
    <row r="990" spans="1:3" ht="15" x14ac:dyDescent="0.25">
      <c r="A990" s="95"/>
      <c r="B990" s="95"/>
      <c r="C990" s="95"/>
    </row>
    <row r="991" spans="1:3" ht="15" x14ac:dyDescent="0.25">
      <c r="A991" s="95"/>
      <c r="B991" s="95"/>
      <c r="C991" s="95"/>
    </row>
    <row r="992" spans="1:3" ht="15" x14ac:dyDescent="0.25">
      <c r="A992" s="95"/>
      <c r="B992" s="95"/>
      <c r="C992" s="95"/>
    </row>
    <row r="993" spans="1:3" ht="15" x14ac:dyDescent="0.25">
      <c r="A993" s="95"/>
      <c r="B993" s="95"/>
      <c r="C993" s="95"/>
    </row>
    <row r="994" spans="1:3" ht="15" x14ac:dyDescent="0.25">
      <c r="A994" s="95"/>
      <c r="B994" s="95"/>
      <c r="C994" s="95"/>
    </row>
    <row r="995" spans="1:3" ht="15" x14ac:dyDescent="0.25">
      <c r="A995" s="95"/>
      <c r="B995" s="95"/>
      <c r="C995" s="95"/>
    </row>
    <row r="996" spans="1:3" ht="15" x14ac:dyDescent="0.25">
      <c r="A996" s="95"/>
      <c r="B996" s="95"/>
      <c r="C996" s="95"/>
    </row>
    <row r="997" spans="1:3" ht="15" x14ac:dyDescent="0.25">
      <c r="A997" s="95"/>
      <c r="B997" s="95"/>
      <c r="C997" s="95"/>
    </row>
    <row r="998" spans="1:3" ht="15" x14ac:dyDescent="0.25">
      <c r="A998" s="95"/>
      <c r="B998" s="95"/>
      <c r="C998" s="95"/>
    </row>
    <row r="999" spans="1:3" ht="15" x14ac:dyDescent="0.25">
      <c r="A999" s="95"/>
      <c r="B999" s="95"/>
      <c r="C999" s="95"/>
    </row>
    <row r="1000" spans="1:3" ht="15" x14ac:dyDescent="0.25">
      <c r="A1000" s="95"/>
      <c r="B1000" s="95"/>
      <c r="C1000" s="95"/>
    </row>
    <row r="1001" spans="1:3" ht="15" x14ac:dyDescent="0.25">
      <c r="A1001" s="95"/>
      <c r="B1001" s="95"/>
      <c r="C1001" s="95"/>
    </row>
    <row r="1002" spans="1:3" ht="15" x14ac:dyDescent="0.25">
      <c r="A1002" s="95"/>
      <c r="B1002" s="95"/>
      <c r="C1002" s="95"/>
    </row>
    <row r="1003" spans="1:3" ht="15" x14ac:dyDescent="0.25">
      <c r="A1003" s="95"/>
      <c r="B1003" s="95"/>
      <c r="C1003" s="95"/>
    </row>
    <row r="1004" spans="1:3" ht="15" x14ac:dyDescent="0.25">
      <c r="A1004" s="95"/>
      <c r="B1004" s="95"/>
      <c r="C1004" s="95"/>
    </row>
    <row r="1005" spans="1:3" ht="15" x14ac:dyDescent="0.25">
      <c r="A1005" s="95"/>
      <c r="B1005" s="95"/>
      <c r="C1005" s="95"/>
    </row>
    <row r="1006" spans="1:3" ht="15" x14ac:dyDescent="0.25">
      <c r="A1006" s="95"/>
      <c r="B1006" s="95"/>
      <c r="C1006" s="95"/>
    </row>
    <row r="1007" spans="1:3" ht="15" x14ac:dyDescent="0.25">
      <c r="A1007" s="95"/>
      <c r="B1007" s="95"/>
      <c r="C1007" s="95"/>
    </row>
    <row r="1008" spans="1:3" ht="15" x14ac:dyDescent="0.25">
      <c r="A1008" s="95"/>
      <c r="B1008" s="95"/>
      <c r="C1008" s="95"/>
    </row>
    <row r="1009" spans="1:3" ht="15" x14ac:dyDescent="0.25">
      <c r="A1009" s="95"/>
      <c r="B1009" s="95"/>
      <c r="C1009" s="95"/>
    </row>
    <row r="1010" spans="1:3" ht="15" x14ac:dyDescent="0.25">
      <c r="A1010" s="95"/>
      <c r="B1010" s="95"/>
      <c r="C1010" s="95"/>
    </row>
    <row r="1011" spans="1:3" ht="15" x14ac:dyDescent="0.25">
      <c r="A1011" s="95"/>
      <c r="B1011" s="95"/>
      <c r="C1011" s="95"/>
    </row>
    <row r="1012" spans="1:3" ht="15" x14ac:dyDescent="0.25">
      <c r="A1012" s="95"/>
      <c r="B1012" s="95"/>
      <c r="C1012" s="95"/>
    </row>
    <row r="1013" spans="1:3" ht="15" x14ac:dyDescent="0.25">
      <c r="A1013" s="95"/>
      <c r="B1013" s="95"/>
      <c r="C1013" s="95"/>
    </row>
    <row r="1014" spans="1:3" ht="15" x14ac:dyDescent="0.25">
      <c r="A1014" s="95"/>
      <c r="B1014" s="95"/>
      <c r="C1014" s="95"/>
    </row>
    <row r="1015" spans="1:3" ht="15" x14ac:dyDescent="0.25">
      <c r="A1015" s="95"/>
      <c r="B1015" s="95"/>
      <c r="C1015" s="95"/>
    </row>
    <row r="1016" spans="1:3" ht="15" x14ac:dyDescent="0.25">
      <c r="A1016" s="95"/>
      <c r="B1016" s="95"/>
      <c r="C1016" s="95"/>
    </row>
    <row r="1017" spans="1:3" ht="15" x14ac:dyDescent="0.25">
      <c r="A1017" s="95"/>
      <c r="B1017" s="95"/>
      <c r="C1017" s="95"/>
    </row>
    <row r="1018" spans="1:3" ht="15" x14ac:dyDescent="0.25">
      <c r="A1018" s="95"/>
      <c r="B1018" s="95"/>
      <c r="C1018" s="95"/>
    </row>
    <row r="1019" spans="1:3" ht="15" x14ac:dyDescent="0.25">
      <c r="A1019" s="95"/>
      <c r="B1019" s="95"/>
      <c r="C1019" s="95"/>
    </row>
    <row r="1020" spans="1:3" ht="15" x14ac:dyDescent="0.25">
      <c r="A1020" s="95"/>
      <c r="B1020" s="95"/>
      <c r="C1020" s="95"/>
    </row>
    <row r="1021" spans="1:3" ht="15" x14ac:dyDescent="0.25">
      <c r="A1021" s="95"/>
      <c r="B1021" s="95"/>
      <c r="C1021" s="95"/>
    </row>
    <row r="1022" spans="1:3" ht="15" x14ac:dyDescent="0.25">
      <c r="A1022" s="95"/>
      <c r="B1022" s="95"/>
      <c r="C1022" s="95"/>
    </row>
    <row r="1023" spans="1:3" ht="15" x14ac:dyDescent="0.25">
      <c r="A1023" s="95"/>
      <c r="B1023" s="95"/>
      <c r="C1023" s="95"/>
    </row>
    <row r="1024" spans="1:3" ht="15" x14ac:dyDescent="0.25">
      <c r="A1024" s="95"/>
      <c r="B1024" s="95"/>
      <c r="C1024" s="95"/>
    </row>
    <row r="1025" spans="1:3" ht="15" x14ac:dyDescent="0.25">
      <c r="A1025" s="95"/>
      <c r="B1025" s="95"/>
      <c r="C1025" s="95"/>
    </row>
    <row r="1026" spans="1:3" ht="15" x14ac:dyDescent="0.25">
      <c r="A1026" s="95"/>
      <c r="B1026" s="95"/>
      <c r="C1026" s="95"/>
    </row>
    <row r="1027" spans="1:3" ht="15" x14ac:dyDescent="0.25">
      <c r="A1027" s="95"/>
      <c r="B1027" s="95"/>
      <c r="C1027" s="95"/>
    </row>
    <row r="1028" spans="1:3" ht="15" x14ac:dyDescent="0.25">
      <c r="A1028" s="95"/>
      <c r="B1028" s="95"/>
      <c r="C1028" s="95"/>
    </row>
    <row r="1029" spans="1:3" ht="15" x14ac:dyDescent="0.25">
      <c r="A1029" s="95"/>
      <c r="B1029" s="95"/>
      <c r="C1029" s="95"/>
    </row>
    <row r="1030" spans="1:3" ht="15" x14ac:dyDescent="0.25">
      <c r="A1030" s="95"/>
      <c r="B1030" s="95"/>
      <c r="C1030" s="95"/>
    </row>
    <row r="1031" spans="1:3" ht="15" x14ac:dyDescent="0.25">
      <c r="A1031" s="95"/>
      <c r="B1031" s="95"/>
      <c r="C1031" s="95"/>
    </row>
    <row r="1032" spans="1:3" ht="15" x14ac:dyDescent="0.25">
      <c r="A1032" s="95"/>
      <c r="B1032" s="95"/>
      <c r="C1032" s="95"/>
    </row>
    <row r="1033" spans="1:3" ht="15" x14ac:dyDescent="0.25">
      <c r="A1033" s="95"/>
      <c r="B1033" s="95"/>
      <c r="C1033" s="95"/>
    </row>
    <row r="1034" spans="1:3" ht="15" x14ac:dyDescent="0.25">
      <c r="A1034" s="95"/>
      <c r="B1034" s="95"/>
      <c r="C1034" s="95"/>
    </row>
    <row r="1035" spans="1:3" ht="15" x14ac:dyDescent="0.25">
      <c r="A1035" s="95"/>
      <c r="B1035" s="95"/>
      <c r="C1035" s="95"/>
    </row>
    <row r="1036" spans="1:3" ht="15" x14ac:dyDescent="0.25">
      <c r="A1036" s="95"/>
      <c r="B1036" s="95"/>
      <c r="C1036" s="95"/>
    </row>
    <row r="1037" spans="1:3" ht="15" x14ac:dyDescent="0.25">
      <c r="A1037" s="95"/>
      <c r="B1037" s="95"/>
      <c r="C1037" s="95"/>
    </row>
    <row r="1038" spans="1:3" ht="15" x14ac:dyDescent="0.25">
      <c r="A1038" s="95"/>
      <c r="B1038" s="95"/>
      <c r="C1038" s="95"/>
    </row>
    <row r="1039" spans="1:3" ht="15" x14ac:dyDescent="0.25">
      <c r="A1039" s="95"/>
      <c r="B1039" s="95"/>
      <c r="C1039" s="95"/>
    </row>
    <row r="1040" spans="1:3" ht="15" x14ac:dyDescent="0.25">
      <c r="A1040" s="95"/>
      <c r="B1040" s="95"/>
      <c r="C1040" s="95"/>
    </row>
    <row r="1041" spans="1:3" ht="15" x14ac:dyDescent="0.25">
      <c r="A1041" s="95"/>
      <c r="B1041" s="95"/>
      <c r="C1041" s="95"/>
    </row>
    <row r="1042" spans="1:3" ht="15" x14ac:dyDescent="0.25">
      <c r="A1042" s="95"/>
      <c r="B1042" s="95"/>
      <c r="C1042" s="95"/>
    </row>
    <row r="1043" spans="1:3" ht="15" x14ac:dyDescent="0.25">
      <c r="A1043" s="95"/>
      <c r="B1043" s="95"/>
      <c r="C1043" s="95"/>
    </row>
    <row r="1044" spans="1:3" ht="15" x14ac:dyDescent="0.25">
      <c r="A1044" s="95"/>
      <c r="B1044" s="95"/>
      <c r="C1044" s="95"/>
    </row>
    <row r="1045" spans="1:3" ht="15" x14ac:dyDescent="0.25">
      <c r="A1045" s="95"/>
      <c r="B1045" s="95"/>
      <c r="C1045" s="95"/>
    </row>
    <row r="1046" spans="1:3" ht="15" x14ac:dyDescent="0.25">
      <c r="A1046" s="95"/>
      <c r="B1046" s="95"/>
      <c r="C1046" s="95"/>
    </row>
    <row r="1047" spans="1:3" ht="15" x14ac:dyDescent="0.25">
      <c r="A1047" s="95"/>
      <c r="B1047" s="95"/>
      <c r="C1047" s="95"/>
    </row>
    <row r="1048" spans="1:3" ht="15" x14ac:dyDescent="0.25">
      <c r="A1048" s="95"/>
      <c r="B1048" s="95"/>
      <c r="C1048" s="95"/>
    </row>
    <row r="1049" spans="1:3" ht="15" x14ac:dyDescent="0.25">
      <c r="A1049" s="95"/>
      <c r="B1049" s="95"/>
      <c r="C1049" s="95"/>
    </row>
    <row r="1050" spans="1:3" ht="15" x14ac:dyDescent="0.25">
      <c r="A1050" s="95"/>
      <c r="B1050" s="95"/>
      <c r="C1050" s="95"/>
    </row>
    <row r="1051" spans="1:3" ht="15" x14ac:dyDescent="0.25">
      <c r="A1051" s="95"/>
      <c r="B1051" s="95"/>
      <c r="C1051" s="95"/>
    </row>
    <row r="1052" spans="1:3" ht="15" x14ac:dyDescent="0.25">
      <c r="A1052" s="95"/>
      <c r="B1052" s="95"/>
      <c r="C1052" s="95"/>
    </row>
    <row r="1053" spans="1:3" ht="15" x14ac:dyDescent="0.25">
      <c r="A1053" s="95"/>
      <c r="B1053" s="95"/>
      <c r="C1053" s="95"/>
    </row>
    <row r="1054" spans="1:3" ht="15" x14ac:dyDescent="0.25">
      <c r="A1054" s="95"/>
      <c r="B1054" s="95"/>
      <c r="C1054" s="95"/>
    </row>
    <row r="1055" spans="1:3" ht="15" x14ac:dyDescent="0.25">
      <c r="A1055" s="95"/>
      <c r="B1055" s="95"/>
      <c r="C1055" s="95"/>
    </row>
    <row r="1056" spans="1:3" ht="15" x14ac:dyDescent="0.25">
      <c r="A1056" s="95"/>
      <c r="B1056" s="95"/>
      <c r="C1056" s="95"/>
    </row>
    <row r="1057" spans="1:3" ht="15" x14ac:dyDescent="0.25">
      <c r="A1057" s="95"/>
      <c r="B1057" s="95"/>
      <c r="C1057" s="95"/>
    </row>
    <row r="1058" spans="1:3" ht="15" x14ac:dyDescent="0.25">
      <c r="A1058" s="95"/>
      <c r="B1058" s="95"/>
      <c r="C1058" s="95"/>
    </row>
    <row r="1059" spans="1:3" ht="15" x14ac:dyDescent="0.25">
      <c r="A1059" s="95"/>
      <c r="B1059" s="95"/>
      <c r="C1059" s="95"/>
    </row>
    <row r="1060" spans="1:3" ht="15" x14ac:dyDescent="0.25">
      <c r="A1060" s="95"/>
      <c r="B1060" s="95"/>
      <c r="C1060" s="95"/>
    </row>
    <row r="1061" spans="1:3" ht="15" x14ac:dyDescent="0.25">
      <c r="A1061" s="95"/>
      <c r="B1061" s="95"/>
      <c r="C1061" s="95"/>
    </row>
    <row r="1062" spans="1:3" ht="15" x14ac:dyDescent="0.25">
      <c r="A1062" s="95"/>
      <c r="B1062" s="95"/>
      <c r="C1062" s="95"/>
    </row>
    <row r="1063" spans="1:3" ht="15" x14ac:dyDescent="0.25">
      <c r="A1063" s="95"/>
      <c r="B1063" s="95"/>
      <c r="C1063" s="95"/>
    </row>
    <row r="1064" spans="1:3" ht="15" x14ac:dyDescent="0.25">
      <c r="A1064" s="95"/>
      <c r="B1064" s="95"/>
      <c r="C1064" s="95"/>
    </row>
    <row r="1065" spans="1:3" ht="15" x14ac:dyDescent="0.25">
      <c r="A1065" s="95"/>
      <c r="B1065" s="95"/>
      <c r="C1065" s="95"/>
    </row>
    <row r="1066" spans="1:3" ht="15" x14ac:dyDescent="0.25">
      <c r="A1066" s="95"/>
      <c r="B1066" s="95"/>
      <c r="C1066" s="95"/>
    </row>
    <row r="1067" spans="1:3" ht="15" x14ac:dyDescent="0.25">
      <c r="A1067" s="95"/>
      <c r="B1067" s="95"/>
      <c r="C1067" s="95"/>
    </row>
    <row r="1068" spans="1:3" ht="15" x14ac:dyDescent="0.25">
      <c r="A1068" s="95"/>
      <c r="B1068" s="95"/>
      <c r="C1068" s="95"/>
    </row>
    <row r="1069" spans="1:3" ht="15" x14ac:dyDescent="0.25">
      <c r="A1069" s="95"/>
      <c r="B1069" s="95"/>
      <c r="C1069" s="95"/>
    </row>
    <row r="1070" spans="1:3" ht="15" x14ac:dyDescent="0.25">
      <c r="A1070" s="95"/>
      <c r="B1070" s="95"/>
      <c r="C1070" s="95"/>
    </row>
    <row r="1071" spans="1:3" ht="15" x14ac:dyDescent="0.25">
      <c r="A1071" s="95"/>
      <c r="B1071" s="95"/>
      <c r="C1071" s="95"/>
    </row>
    <row r="1072" spans="1:3" ht="15" x14ac:dyDescent="0.25">
      <c r="A1072" s="95"/>
      <c r="B1072" s="95"/>
      <c r="C1072" s="95"/>
    </row>
    <row r="1073" spans="1:3" ht="15" x14ac:dyDescent="0.25">
      <c r="A1073" s="95"/>
      <c r="B1073" s="95"/>
      <c r="C1073" s="95"/>
    </row>
    <row r="1074" spans="1:3" ht="15" x14ac:dyDescent="0.25">
      <c r="A1074" s="95"/>
      <c r="B1074" s="95"/>
      <c r="C1074" s="95"/>
    </row>
    <row r="1075" spans="1:3" ht="15" x14ac:dyDescent="0.25">
      <c r="A1075" s="95"/>
      <c r="B1075" s="95"/>
      <c r="C1075" s="95"/>
    </row>
    <row r="1076" spans="1:3" ht="15" x14ac:dyDescent="0.25">
      <c r="A1076" s="95"/>
      <c r="B1076" s="95"/>
      <c r="C1076" s="95"/>
    </row>
    <row r="1077" spans="1:3" ht="15" x14ac:dyDescent="0.25">
      <c r="A1077" s="95"/>
      <c r="B1077" s="95"/>
      <c r="C1077" s="95"/>
    </row>
    <row r="1078" spans="1:3" ht="15" x14ac:dyDescent="0.25">
      <c r="A1078" s="95"/>
      <c r="B1078" s="95"/>
      <c r="C1078" s="95"/>
    </row>
    <row r="1079" spans="1:3" ht="15" x14ac:dyDescent="0.25">
      <c r="A1079" s="95"/>
      <c r="B1079" s="95"/>
      <c r="C1079" s="95"/>
    </row>
    <row r="1080" spans="1:3" ht="15" x14ac:dyDescent="0.25">
      <c r="A1080" s="95"/>
      <c r="B1080" s="95"/>
      <c r="C1080" s="95"/>
    </row>
    <row r="1081" spans="1:3" ht="15" x14ac:dyDescent="0.25">
      <c r="A1081" s="95"/>
      <c r="B1081" s="95"/>
      <c r="C1081" s="95"/>
    </row>
    <row r="1082" spans="1:3" ht="15" x14ac:dyDescent="0.25">
      <c r="A1082" s="95"/>
      <c r="B1082" s="95"/>
      <c r="C1082" s="95"/>
    </row>
    <row r="1083" spans="1:3" ht="15" x14ac:dyDescent="0.25">
      <c r="A1083" s="95"/>
      <c r="B1083" s="95"/>
      <c r="C1083" s="95"/>
    </row>
    <row r="1084" spans="1:3" ht="15" x14ac:dyDescent="0.25">
      <c r="A1084" s="95"/>
      <c r="B1084" s="95"/>
      <c r="C1084" s="95"/>
    </row>
    <row r="1085" spans="1:3" ht="15" x14ac:dyDescent="0.25">
      <c r="A1085" s="95"/>
      <c r="B1085" s="95"/>
      <c r="C1085" s="95"/>
    </row>
    <row r="1086" spans="1:3" ht="15" x14ac:dyDescent="0.25">
      <c r="A1086" s="95"/>
      <c r="B1086" s="95"/>
      <c r="C1086" s="95"/>
    </row>
    <row r="1087" spans="1:3" ht="15" x14ac:dyDescent="0.25">
      <c r="A1087" s="95"/>
      <c r="B1087" s="95"/>
      <c r="C1087" s="95"/>
    </row>
    <row r="1088" spans="1:3" ht="15" x14ac:dyDescent="0.25">
      <c r="A1088" s="95"/>
      <c r="B1088" s="95"/>
      <c r="C1088" s="95"/>
    </row>
    <row r="1089" spans="1:3" ht="15" x14ac:dyDescent="0.25">
      <c r="A1089" s="95"/>
      <c r="B1089" s="95"/>
      <c r="C1089" s="95"/>
    </row>
    <row r="1090" spans="1:3" ht="15" x14ac:dyDescent="0.25">
      <c r="A1090" s="95"/>
      <c r="B1090" s="95"/>
      <c r="C1090" s="95"/>
    </row>
    <row r="1091" spans="1:3" ht="15" x14ac:dyDescent="0.25">
      <c r="A1091" s="95"/>
      <c r="B1091" s="95"/>
      <c r="C1091" s="95"/>
    </row>
    <row r="1092" spans="1:3" ht="15" x14ac:dyDescent="0.25">
      <c r="A1092" s="95"/>
      <c r="B1092" s="95"/>
      <c r="C1092" s="95"/>
    </row>
    <row r="1093" spans="1:3" ht="15" x14ac:dyDescent="0.25">
      <c r="A1093" s="95"/>
      <c r="B1093" s="95"/>
      <c r="C1093" s="95"/>
    </row>
    <row r="1094" spans="1:3" ht="15" x14ac:dyDescent="0.25">
      <c r="A1094" s="95"/>
      <c r="B1094" s="95"/>
      <c r="C1094" s="95"/>
    </row>
    <row r="1095" spans="1:3" ht="15" x14ac:dyDescent="0.25">
      <c r="A1095" s="95"/>
      <c r="B1095" s="95"/>
      <c r="C1095" s="95"/>
    </row>
    <row r="1096" spans="1:3" ht="15" x14ac:dyDescent="0.25">
      <c r="A1096" s="95"/>
      <c r="B1096" s="95"/>
      <c r="C1096" s="95"/>
    </row>
    <row r="1097" spans="1:3" ht="15" x14ac:dyDescent="0.25">
      <c r="A1097" s="95"/>
      <c r="B1097" s="95"/>
      <c r="C1097" s="95"/>
    </row>
    <row r="1098" spans="1:3" ht="15" x14ac:dyDescent="0.25">
      <c r="A1098" s="95"/>
      <c r="B1098" s="95"/>
      <c r="C1098" s="95"/>
    </row>
    <row r="1099" spans="1:3" ht="15" x14ac:dyDescent="0.25">
      <c r="A1099" s="95"/>
      <c r="B1099" s="95"/>
      <c r="C1099" s="95"/>
    </row>
    <row r="1100" spans="1:3" ht="15" x14ac:dyDescent="0.25">
      <c r="A1100" s="95"/>
      <c r="B1100" s="95"/>
      <c r="C1100" s="95"/>
    </row>
    <row r="1101" spans="1:3" ht="15" x14ac:dyDescent="0.25">
      <c r="A1101" s="95"/>
      <c r="B1101" s="95"/>
      <c r="C1101" s="95"/>
    </row>
    <row r="1102" spans="1:3" ht="15" x14ac:dyDescent="0.25">
      <c r="A1102" s="95"/>
      <c r="B1102" s="95"/>
      <c r="C1102" s="95"/>
    </row>
    <row r="1103" spans="1:3" ht="15" x14ac:dyDescent="0.25">
      <c r="A1103" s="95"/>
      <c r="B1103" s="95"/>
      <c r="C1103" s="95"/>
    </row>
    <row r="1104" spans="1:3" ht="15" x14ac:dyDescent="0.25">
      <c r="A1104" s="95"/>
      <c r="B1104" s="95"/>
      <c r="C1104" s="95"/>
    </row>
    <row r="1105" spans="1:3" ht="15" x14ac:dyDescent="0.25">
      <c r="A1105" s="95"/>
      <c r="B1105" s="95"/>
      <c r="C1105" s="95"/>
    </row>
    <row r="1106" spans="1:3" ht="15" x14ac:dyDescent="0.25">
      <c r="A1106" s="95"/>
      <c r="B1106" s="95"/>
      <c r="C1106" s="95"/>
    </row>
    <row r="1107" spans="1:3" ht="15" x14ac:dyDescent="0.25">
      <c r="A1107" s="95"/>
      <c r="B1107" s="95"/>
      <c r="C1107" s="95"/>
    </row>
    <row r="1108" spans="1:3" ht="15" x14ac:dyDescent="0.25">
      <c r="A1108" s="95"/>
      <c r="B1108" s="95"/>
      <c r="C1108" s="95"/>
    </row>
    <row r="1109" spans="1:3" ht="15" x14ac:dyDescent="0.25">
      <c r="A1109" s="95"/>
      <c r="B1109" s="95"/>
      <c r="C1109" s="95"/>
    </row>
    <row r="1110" spans="1:3" ht="15" x14ac:dyDescent="0.25">
      <c r="A1110" s="95"/>
      <c r="B1110" s="95"/>
      <c r="C1110" s="95"/>
    </row>
    <row r="1111" spans="1:3" ht="15" x14ac:dyDescent="0.25">
      <c r="A1111" s="95"/>
      <c r="B1111" s="95"/>
      <c r="C1111" s="95"/>
    </row>
    <row r="1112" spans="1:3" ht="15" x14ac:dyDescent="0.25">
      <c r="A1112" s="95"/>
      <c r="B1112" s="95"/>
      <c r="C1112" s="95"/>
    </row>
    <row r="1113" spans="1:3" ht="15" x14ac:dyDescent="0.25">
      <c r="A1113" s="95"/>
      <c r="B1113" s="95"/>
      <c r="C1113" s="95"/>
    </row>
    <row r="1114" spans="1:3" ht="15" x14ac:dyDescent="0.25">
      <c r="A1114" s="95"/>
      <c r="B1114" s="95"/>
      <c r="C1114" s="95"/>
    </row>
    <row r="1115" spans="1:3" ht="15" x14ac:dyDescent="0.25">
      <c r="A1115" s="95"/>
      <c r="B1115" s="95"/>
      <c r="C1115" s="95"/>
    </row>
    <row r="1116" spans="1:3" ht="15" x14ac:dyDescent="0.25">
      <c r="A1116" s="95"/>
      <c r="B1116" s="95"/>
      <c r="C1116" s="95"/>
    </row>
    <row r="1117" spans="1:3" ht="15" x14ac:dyDescent="0.25">
      <c r="A1117" s="95"/>
      <c r="B1117" s="95"/>
      <c r="C1117" s="95"/>
    </row>
    <row r="1118" spans="1:3" ht="15" x14ac:dyDescent="0.25">
      <c r="A1118" s="95"/>
      <c r="B1118" s="95"/>
      <c r="C1118" s="95"/>
    </row>
    <row r="1119" spans="1:3" ht="15" x14ac:dyDescent="0.25">
      <c r="A1119" s="95"/>
      <c r="B1119" s="95"/>
      <c r="C1119" s="95"/>
    </row>
    <row r="1120" spans="1:3" ht="15" x14ac:dyDescent="0.25">
      <c r="A1120" s="95"/>
      <c r="B1120" s="95"/>
      <c r="C1120" s="95"/>
    </row>
    <row r="1121" spans="1:3" ht="15" x14ac:dyDescent="0.25">
      <c r="A1121" s="95"/>
      <c r="B1121" s="95"/>
      <c r="C1121" s="95"/>
    </row>
    <row r="1122" spans="1:3" ht="15" x14ac:dyDescent="0.25">
      <c r="A1122" s="95"/>
      <c r="B1122" s="95"/>
      <c r="C1122" s="95"/>
    </row>
    <row r="1123" spans="1:3" ht="15" x14ac:dyDescent="0.25">
      <c r="A1123" s="95"/>
      <c r="B1123" s="95"/>
      <c r="C1123" s="95"/>
    </row>
    <row r="1124" spans="1:3" ht="15" x14ac:dyDescent="0.25">
      <c r="A1124" s="95"/>
      <c r="B1124" s="95"/>
      <c r="C1124" s="95"/>
    </row>
    <row r="1125" spans="1:3" ht="15" x14ac:dyDescent="0.25">
      <c r="A1125" s="95"/>
      <c r="B1125" s="95"/>
      <c r="C1125" s="95"/>
    </row>
    <row r="1126" spans="1:3" ht="15" x14ac:dyDescent="0.25">
      <c r="A1126" s="95"/>
      <c r="B1126" s="95"/>
      <c r="C1126" s="95"/>
    </row>
    <row r="1127" spans="1:3" ht="15" x14ac:dyDescent="0.25">
      <c r="A1127" s="95"/>
      <c r="B1127" s="95"/>
      <c r="C1127" s="95"/>
    </row>
    <row r="1128" spans="1:3" ht="15" x14ac:dyDescent="0.25">
      <c r="A1128" s="95"/>
      <c r="B1128" s="95"/>
      <c r="C1128" s="95"/>
    </row>
    <row r="1129" spans="1:3" ht="15" x14ac:dyDescent="0.25">
      <c r="A1129" s="95"/>
      <c r="B1129" s="95"/>
      <c r="C1129" s="95"/>
    </row>
    <row r="1130" spans="1:3" ht="15" x14ac:dyDescent="0.25">
      <c r="A1130" s="95"/>
      <c r="B1130" s="95"/>
      <c r="C1130" s="95"/>
    </row>
    <row r="1131" spans="1:3" ht="15" x14ac:dyDescent="0.25">
      <c r="A1131" s="95"/>
      <c r="B1131" s="95"/>
      <c r="C1131" s="95"/>
    </row>
    <row r="1132" spans="1:3" ht="15" x14ac:dyDescent="0.25">
      <c r="A1132" s="95"/>
      <c r="B1132" s="95"/>
      <c r="C1132" s="95"/>
    </row>
    <row r="1133" spans="1:3" ht="15" x14ac:dyDescent="0.25">
      <c r="A1133" s="95"/>
      <c r="B1133" s="95"/>
      <c r="C1133" s="95"/>
    </row>
    <row r="1134" spans="1:3" ht="15" x14ac:dyDescent="0.25">
      <c r="A1134" s="95"/>
      <c r="B1134" s="95"/>
      <c r="C1134" s="95"/>
    </row>
    <row r="1135" spans="1:3" ht="15" x14ac:dyDescent="0.25">
      <c r="A1135" s="95"/>
      <c r="B1135" s="95"/>
      <c r="C1135" s="95"/>
    </row>
    <row r="1136" spans="1:3" ht="15" x14ac:dyDescent="0.25">
      <c r="A1136" s="95"/>
      <c r="B1136" s="95"/>
      <c r="C1136" s="95"/>
    </row>
    <row r="1137" spans="1:3" ht="15" x14ac:dyDescent="0.25">
      <c r="A1137" s="95"/>
      <c r="B1137" s="95"/>
      <c r="C1137" s="95"/>
    </row>
    <row r="1138" spans="1:3" ht="15" x14ac:dyDescent="0.25">
      <c r="A1138" s="95"/>
      <c r="B1138" s="95"/>
      <c r="C1138" s="95"/>
    </row>
    <row r="1139" spans="1:3" ht="15" x14ac:dyDescent="0.25">
      <c r="A1139" s="95"/>
      <c r="B1139" s="95"/>
      <c r="C1139" s="95"/>
    </row>
    <row r="1140" spans="1:3" ht="15" x14ac:dyDescent="0.25">
      <c r="A1140" s="95"/>
      <c r="B1140" s="95"/>
      <c r="C1140" s="95"/>
    </row>
    <row r="1141" spans="1:3" ht="15" x14ac:dyDescent="0.25">
      <c r="A1141" s="95"/>
      <c r="B1141" s="95"/>
      <c r="C1141" s="95"/>
    </row>
    <row r="1142" spans="1:3" ht="15" x14ac:dyDescent="0.25">
      <c r="A1142" s="95"/>
      <c r="B1142" s="95"/>
      <c r="C1142" s="95"/>
    </row>
    <row r="1143" spans="1:3" ht="15" x14ac:dyDescent="0.25">
      <c r="A1143" s="95"/>
      <c r="B1143" s="95"/>
      <c r="C1143" s="95"/>
    </row>
    <row r="1144" spans="1:3" ht="15" x14ac:dyDescent="0.25">
      <c r="A1144" s="95"/>
      <c r="B1144" s="95"/>
      <c r="C1144" s="95"/>
    </row>
    <row r="1145" spans="1:3" ht="15" x14ac:dyDescent="0.25">
      <c r="A1145" s="95"/>
      <c r="B1145" s="95"/>
      <c r="C1145" s="95"/>
    </row>
    <row r="1146" spans="1:3" ht="15" x14ac:dyDescent="0.25">
      <c r="A1146" s="95"/>
      <c r="B1146" s="95"/>
      <c r="C1146" s="95"/>
    </row>
    <row r="1147" spans="1:3" ht="15" x14ac:dyDescent="0.25">
      <c r="A1147" s="95"/>
      <c r="B1147" s="95"/>
      <c r="C1147" s="95"/>
    </row>
    <row r="1148" spans="1:3" ht="15" x14ac:dyDescent="0.25">
      <c r="A1148" s="95"/>
      <c r="B1148" s="95"/>
      <c r="C1148" s="95"/>
    </row>
    <row r="1149" spans="1:3" ht="15" x14ac:dyDescent="0.25">
      <c r="A1149" s="95"/>
      <c r="B1149" s="95"/>
      <c r="C1149" s="95"/>
    </row>
    <row r="1150" spans="1:3" ht="15" x14ac:dyDescent="0.25">
      <c r="A1150" s="95"/>
      <c r="B1150" s="95"/>
      <c r="C1150" s="95"/>
    </row>
    <row r="1151" spans="1:3" ht="15" x14ac:dyDescent="0.25">
      <c r="A1151" s="95"/>
      <c r="B1151" s="95"/>
      <c r="C1151" s="95"/>
    </row>
    <row r="1152" spans="1:3" ht="15" x14ac:dyDescent="0.25">
      <c r="A1152" s="95"/>
      <c r="B1152" s="95"/>
      <c r="C1152" s="95"/>
    </row>
    <row r="1153" spans="1:3" ht="15" x14ac:dyDescent="0.25">
      <c r="A1153" s="95"/>
      <c r="B1153" s="95"/>
      <c r="C1153" s="95"/>
    </row>
    <row r="1154" spans="1:3" ht="15" x14ac:dyDescent="0.25">
      <c r="A1154" s="95"/>
      <c r="B1154" s="95"/>
      <c r="C1154" s="95"/>
    </row>
    <row r="1155" spans="1:3" ht="15" x14ac:dyDescent="0.25">
      <c r="A1155" s="95"/>
      <c r="B1155" s="95"/>
      <c r="C1155" s="95"/>
    </row>
    <row r="1156" spans="1:3" ht="15" x14ac:dyDescent="0.25">
      <c r="A1156" s="95"/>
      <c r="B1156" s="95"/>
      <c r="C1156" s="95"/>
    </row>
    <row r="1157" spans="1:3" ht="15" x14ac:dyDescent="0.25">
      <c r="A1157" s="95"/>
      <c r="B1157" s="95"/>
      <c r="C1157" s="95"/>
    </row>
    <row r="1158" spans="1:3" ht="15" x14ac:dyDescent="0.25">
      <c r="A1158" s="95"/>
      <c r="B1158" s="95"/>
      <c r="C1158" s="95"/>
    </row>
    <row r="1159" spans="1:3" ht="15" x14ac:dyDescent="0.25">
      <c r="A1159" s="95"/>
      <c r="B1159" s="95"/>
      <c r="C1159" s="95"/>
    </row>
    <row r="1160" spans="1:3" ht="15" x14ac:dyDescent="0.25">
      <c r="A1160" s="95"/>
      <c r="B1160" s="95"/>
      <c r="C1160" s="95"/>
    </row>
    <row r="1161" spans="1:3" ht="15" x14ac:dyDescent="0.25">
      <c r="A1161" s="95"/>
      <c r="B1161" s="95"/>
      <c r="C1161" s="95"/>
    </row>
    <row r="1162" spans="1:3" ht="15" x14ac:dyDescent="0.25">
      <c r="A1162" s="95"/>
      <c r="B1162" s="95"/>
      <c r="C1162" s="95"/>
    </row>
    <row r="1163" spans="1:3" ht="15" x14ac:dyDescent="0.25">
      <c r="A1163" s="95"/>
      <c r="B1163" s="95"/>
      <c r="C1163" s="95"/>
    </row>
    <row r="1164" spans="1:3" ht="15" x14ac:dyDescent="0.25">
      <c r="A1164" s="95"/>
      <c r="B1164" s="95"/>
      <c r="C1164" s="95"/>
    </row>
    <row r="1165" spans="1:3" ht="15" x14ac:dyDescent="0.25">
      <c r="A1165" s="95"/>
      <c r="B1165" s="95"/>
      <c r="C1165" s="95"/>
    </row>
    <row r="1166" spans="1:3" ht="15" x14ac:dyDescent="0.25">
      <c r="A1166" s="95"/>
      <c r="B1166" s="95"/>
      <c r="C1166" s="95"/>
    </row>
    <row r="1167" spans="1:3" ht="15" x14ac:dyDescent="0.25">
      <c r="A1167" s="95"/>
      <c r="B1167" s="95"/>
      <c r="C1167" s="95"/>
    </row>
    <row r="1168" spans="1:3" ht="15" x14ac:dyDescent="0.25">
      <c r="A1168" s="95"/>
      <c r="B1168" s="95"/>
      <c r="C1168" s="95"/>
    </row>
    <row r="1169" spans="1:3" ht="15" x14ac:dyDescent="0.25">
      <c r="A1169" s="95"/>
      <c r="B1169" s="95"/>
      <c r="C1169" s="95"/>
    </row>
    <row r="1170" spans="1:3" ht="15" x14ac:dyDescent="0.25">
      <c r="A1170" s="95"/>
      <c r="B1170" s="95"/>
      <c r="C1170" s="95"/>
    </row>
    <row r="1171" spans="1:3" ht="15" x14ac:dyDescent="0.25">
      <c r="A1171" s="95"/>
      <c r="B1171" s="95"/>
      <c r="C1171" s="95"/>
    </row>
    <row r="1172" spans="1:3" ht="15" x14ac:dyDescent="0.25">
      <c r="A1172" s="95"/>
      <c r="B1172" s="95"/>
      <c r="C1172" s="95"/>
    </row>
    <row r="1173" spans="1:3" ht="15" x14ac:dyDescent="0.25">
      <c r="A1173" s="95"/>
      <c r="B1173" s="95"/>
      <c r="C1173" s="95"/>
    </row>
    <row r="1174" spans="1:3" ht="15" x14ac:dyDescent="0.25">
      <c r="A1174" s="95"/>
      <c r="B1174" s="95"/>
      <c r="C1174" s="95"/>
    </row>
    <row r="1175" spans="1:3" ht="15" x14ac:dyDescent="0.25">
      <c r="A1175" s="95"/>
      <c r="B1175" s="95"/>
      <c r="C1175" s="95"/>
    </row>
    <row r="1176" spans="1:3" ht="15" x14ac:dyDescent="0.25">
      <c r="A1176" s="95"/>
      <c r="B1176" s="95"/>
      <c r="C1176" s="95"/>
    </row>
    <row r="1177" spans="1:3" ht="15" x14ac:dyDescent="0.25">
      <c r="A1177" s="95"/>
      <c r="B1177" s="95"/>
      <c r="C1177" s="95"/>
    </row>
    <row r="1178" spans="1:3" ht="15" x14ac:dyDescent="0.25">
      <c r="A1178" s="95"/>
      <c r="B1178" s="95"/>
      <c r="C1178" s="95"/>
    </row>
    <row r="1179" spans="1:3" ht="15" x14ac:dyDescent="0.25">
      <c r="A1179" s="95"/>
      <c r="B1179" s="95"/>
      <c r="C1179" s="95"/>
    </row>
    <row r="1180" spans="1:3" ht="15" x14ac:dyDescent="0.25">
      <c r="A1180" s="95"/>
      <c r="B1180" s="95"/>
      <c r="C1180" s="95"/>
    </row>
    <row r="1181" spans="1:3" ht="15" x14ac:dyDescent="0.25">
      <c r="A1181" s="95"/>
      <c r="B1181" s="95"/>
      <c r="C1181" s="95"/>
    </row>
    <row r="1182" spans="1:3" ht="15" x14ac:dyDescent="0.25">
      <c r="A1182" s="95"/>
      <c r="B1182" s="95"/>
      <c r="C1182" s="95"/>
    </row>
    <row r="1183" spans="1:3" ht="15" x14ac:dyDescent="0.25">
      <c r="A1183" s="95"/>
      <c r="B1183" s="95"/>
      <c r="C1183" s="95"/>
    </row>
    <row r="1184" spans="1:3" ht="15" x14ac:dyDescent="0.25">
      <c r="A1184" s="95"/>
      <c r="B1184" s="95"/>
      <c r="C1184" s="95"/>
    </row>
    <row r="1185" spans="1:3" ht="15" x14ac:dyDescent="0.25">
      <c r="A1185" s="95"/>
      <c r="B1185" s="95"/>
      <c r="C1185" s="95"/>
    </row>
    <row r="1186" spans="1:3" ht="15" x14ac:dyDescent="0.25">
      <c r="A1186" s="95"/>
      <c r="B1186" s="95"/>
      <c r="C1186" s="95"/>
    </row>
    <row r="1187" spans="1:3" ht="15" x14ac:dyDescent="0.25">
      <c r="A1187" s="95"/>
      <c r="B1187" s="95"/>
      <c r="C1187" s="95"/>
    </row>
    <row r="1188" spans="1:3" ht="15" x14ac:dyDescent="0.25">
      <c r="A1188" s="95"/>
      <c r="B1188" s="95"/>
      <c r="C1188" s="95"/>
    </row>
    <row r="1189" spans="1:3" ht="15" x14ac:dyDescent="0.25">
      <c r="A1189" s="95"/>
      <c r="B1189" s="95"/>
      <c r="C1189" s="95"/>
    </row>
    <row r="1190" spans="1:3" ht="15" x14ac:dyDescent="0.25">
      <c r="A1190" s="95"/>
      <c r="B1190" s="95"/>
      <c r="C1190" s="95"/>
    </row>
    <row r="1191" spans="1:3" ht="15" x14ac:dyDescent="0.25">
      <c r="A1191" s="95"/>
      <c r="B1191" s="95"/>
      <c r="C1191" s="95"/>
    </row>
    <row r="1192" spans="1:3" ht="15" x14ac:dyDescent="0.25">
      <c r="A1192" s="95"/>
      <c r="B1192" s="95"/>
      <c r="C1192" s="95"/>
    </row>
    <row r="1193" spans="1:3" ht="15" x14ac:dyDescent="0.25">
      <c r="A1193" s="95"/>
      <c r="B1193" s="95"/>
      <c r="C1193" s="95"/>
    </row>
    <row r="1194" spans="1:3" ht="15" x14ac:dyDescent="0.25">
      <c r="A1194" s="95"/>
      <c r="B1194" s="95"/>
      <c r="C1194" s="95"/>
    </row>
    <row r="1195" spans="1:3" ht="15" x14ac:dyDescent="0.25">
      <c r="A1195" s="95"/>
      <c r="B1195" s="95"/>
      <c r="C1195" s="95"/>
    </row>
    <row r="1196" spans="1:3" ht="15" x14ac:dyDescent="0.25">
      <c r="A1196" s="95"/>
      <c r="B1196" s="95"/>
      <c r="C1196" s="95"/>
    </row>
    <row r="1197" spans="1:3" ht="15" x14ac:dyDescent="0.25">
      <c r="A1197" s="95"/>
      <c r="B1197" s="95"/>
      <c r="C1197" s="95"/>
    </row>
    <row r="1198" spans="1:3" ht="15" x14ac:dyDescent="0.25">
      <c r="A1198" s="95"/>
      <c r="B1198" s="95"/>
      <c r="C1198" s="95"/>
    </row>
    <row r="1199" spans="1:3" ht="15" x14ac:dyDescent="0.25">
      <c r="A1199" s="95"/>
      <c r="B1199" s="95"/>
      <c r="C1199" s="95"/>
    </row>
    <row r="1200" spans="1:3" ht="15" x14ac:dyDescent="0.25">
      <c r="A1200" s="95"/>
      <c r="B1200" s="95"/>
      <c r="C1200" s="95"/>
    </row>
    <row r="1201" spans="1:3" ht="15" x14ac:dyDescent="0.25">
      <c r="A1201" s="95"/>
      <c r="B1201" s="95"/>
      <c r="C1201" s="95"/>
    </row>
    <row r="1202" spans="1:3" ht="15" x14ac:dyDescent="0.25">
      <c r="A1202" s="95"/>
      <c r="B1202" s="95"/>
      <c r="C1202" s="95"/>
    </row>
    <row r="1203" spans="1:3" ht="15" x14ac:dyDescent="0.25">
      <c r="A1203" s="95"/>
      <c r="B1203" s="95"/>
      <c r="C1203" s="95"/>
    </row>
    <row r="1204" spans="1:3" ht="15" x14ac:dyDescent="0.25">
      <c r="A1204" s="95"/>
      <c r="B1204" s="95"/>
      <c r="C1204" s="95"/>
    </row>
    <row r="1205" spans="1:3" ht="15" x14ac:dyDescent="0.25">
      <c r="A1205" s="95"/>
      <c r="B1205" s="95"/>
      <c r="C1205" s="95"/>
    </row>
    <row r="1206" spans="1:3" ht="15" x14ac:dyDescent="0.25">
      <c r="A1206" s="95"/>
      <c r="B1206" s="95"/>
      <c r="C1206" s="95"/>
    </row>
    <row r="1207" spans="1:3" ht="15" x14ac:dyDescent="0.25">
      <c r="A1207" s="95"/>
      <c r="B1207" s="95"/>
      <c r="C1207" s="95"/>
    </row>
    <row r="1208" spans="1:3" ht="15" x14ac:dyDescent="0.25">
      <c r="A1208" s="95"/>
      <c r="B1208" s="95"/>
      <c r="C1208" s="95"/>
    </row>
    <row r="1209" spans="1:3" ht="15" x14ac:dyDescent="0.25">
      <c r="A1209" s="95"/>
      <c r="B1209" s="95"/>
      <c r="C1209" s="95"/>
    </row>
    <row r="1210" spans="1:3" ht="15" x14ac:dyDescent="0.25">
      <c r="A1210" s="95"/>
      <c r="B1210" s="95"/>
      <c r="C1210" s="95"/>
    </row>
    <row r="1211" spans="1:3" ht="15" x14ac:dyDescent="0.25">
      <c r="A1211" s="95"/>
      <c r="B1211" s="95"/>
      <c r="C1211" s="95"/>
    </row>
    <row r="1212" spans="1:3" ht="15" x14ac:dyDescent="0.25">
      <c r="A1212" s="95"/>
      <c r="B1212" s="95"/>
      <c r="C1212" s="95"/>
    </row>
    <row r="1213" spans="1:3" ht="15" x14ac:dyDescent="0.25">
      <c r="A1213" s="95"/>
      <c r="B1213" s="95"/>
      <c r="C1213" s="95"/>
    </row>
    <row r="1214" spans="1:3" ht="15" x14ac:dyDescent="0.25">
      <c r="A1214" s="95"/>
      <c r="B1214" s="95"/>
      <c r="C1214" s="95"/>
    </row>
    <row r="1215" spans="1:3" ht="15" x14ac:dyDescent="0.25">
      <c r="A1215" s="95"/>
      <c r="B1215" s="95"/>
      <c r="C1215" s="95"/>
    </row>
    <row r="1216" spans="1:3" ht="15" x14ac:dyDescent="0.25">
      <c r="A1216" s="95"/>
      <c r="B1216" s="95"/>
      <c r="C1216" s="95"/>
    </row>
    <row r="1217" spans="1:3" ht="15" x14ac:dyDescent="0.25">
      <c r="A1217" s="95"/>
      <c r="B1217" s="95"/>
      <c r="C1217" s="95"/>
    </row>
    <row r="1218" spans="1:3" ht="15" x14ac:dyDescent="0.25">
      <c r="A1218" s="95"/>
      <c r="B1218" s="95"/>
      <c r="C1218" s="95"/>
    </row>
    <row r="1219" spans="1:3" ht="15" x14ac:dyDescent="0.25">
      <c r="A1219" s="95"/>
      <c r="B1219" s="95"/>
      <c r="C1219" s="95"/>
    </row>
    <row r="1220" spans="1:3" ht="15" x14ac:dyDescent="0.25">
      <c r="A1220" s="95"/>
      <c r="B1220" s="95"/>
      <c r="C1220" s="95"/>
    </row>
    <row r="1221" spans="1:3" ht="15" x14ac:dyDescent="0.25">
      <c r="A1221" s="95"/>
      <c r="B1221" s="95"/>
      <c r="C1221" s="95"/>
    </row>
    <row r="1222" spans="1:3" ht="15" x14ac:dyDescent="0.25">
      <c r="A1222" s="95"/>
      <c r="B1222" s="95"/>
      <c r="C1222" s="95"/>
    </row>
    <row r="1223" spans="1:3" ht="15" x14ac:dyDescent="0.25">
      <c r="A1223" s="95"/>
      <c r="B1223" s="95"/>
      <c r="C1223" s="95"/>
    </row>
    <row r="1224" spans="1:3" ht="15" x14ac:dyDescent="0.25">
      <c r="A1224" s="95"/>
      <c r="B1224" s="95"/>
      <c r="C1224" s="95"/>
    </row>
    <row r="1225" spans="1:3" ht="15" x14ac:dyDescent="0.25">
      <c r="A1225" s="95"/>
      <c r="B1225" s="95"/>
      <c r="C1225" s="95"/>
    </row>
    <row r="1226" spans="1:3" ht="15" x14ac:dyDescent="0.25">
      <c r="A1226" s="95"/>
      <c r="B1226" s="95"/>
      <c r="C1226" s="95"/>
    </row>
    <row r="1227" spans="1:3" ht="15" x14ac:dyDescent="0.25">
      <c r="A1227" s="95"/>
      <c r="B1227" s="95"/>
      <c r="C1227" s="95"/>
    </row>
    <row r="1228" spans="1:3" ht="15" x14ac:dyDescent="0.25">
      <c r="A1228" s="95"/>
      <c r="B1228" s="95"/>
      <c r="C1228" s="95"/>
    </row>
    <row r="1229" spans="1:3" ht="15" x14ac:dyDescent="0.25">
      <c r="A1229" s="95"/>
      <c r="B1229" s="95"/>
      <c r="C1229" s="95"/>
    </row>
    <row r="1230" spans="1:3" ht="15" x14ac:dyDescent="0.25">
      <c r="A1230" s="95"/>
      <c r="B1230" s="95"/>
      <c r="C1230" s="95"/>
    </row>
    <row r="1231" spans="1:3" ht="15" x14ac:dyDescent="0.25">
      <c r="A1231" s="95"/>
      <c r="B1231" s="95"/>
      <c r="C1231" s="95"/>
    </row>
    <row r="1232" spans="1:3" ht="15" x14ac:dyDescent="0.25">
      <c r="A1232" s="95"/>
      <c r="B1232" s="95"/>
      <c r="C1232" s="95"/>
    </row>
    <row r="1233" spans="1:3" ht="15" x14ac:dyDescent="0.25">
      <c r="A1233" s="95"/>
      <c r="B1233" s="95"/>
      <c r="C1233" s="95"/>
    </row>
    <row r="1234" spans="1:3" ht="15" x14ac:dyDescent="0.25">
      <c r="A1234" s="95"/>
      <c r="B1234" s="95"/>
      <c r="C1234" s="95"/>
    </row>
    <row r="1235" spans="1:3" ht="15" x14ac:dyDescent="0.25">
      <c r="A1235" s="95"/>
      <c r="B1235" s="95"/>
      <c r="C1235" s="95"/>
    </row>
    <row r="1236" spans="1:3" ht="15" x14ac:dyDescent="0.25">
      <c r="A1236" s="95"/>
      <c r="B1236" s="95"/>
      <c r="C1236" s="95"/>
    </row>
    <row r="1237" spans="1:3" ht="15" x14ac:dyDescent="0.25">
      <c r="A1237" s="95"/>
      <c r="B1237" s="95"/>
      <c r="C1237" s="95"/>
    </row>
    <row r="1238" spans="1:3" ht="15" x14ac:dyDescent="0.25">
      <c r="A1238" s="95"/>
      <c r="B1238" s="95"/>
      <c r="C1238" s="95"/>
    </row>
    <row r="1239" spans="1:3" ht="15" x14ac:dyDescent="0.25">
      <c r="A1239" s="95"/>
      <c r="B1239" s="95"/>
      <c r="C1239" s="95"/>
    </row>
    <row r="1240" spans="1:3" ht="15" x14ac:dyDescent="0.25">
      <c r="A1240" s="95"/>
      <c r="B1240" s="95"/>
      <c r="C1240" s="95"/>
    </row>
    <row r="1241" spans="1:3" ht="15" x14ac:dyDescent="0.25">
      <c r="A1241" s="95"/>
      <c r="B1241" s="95"/>
      <c r="C1241" s="95"/>
    </row>
    <row r="1242" spans="1:3" ht="15" x14ac:dyDescent="0.25">
      <c r="A1242" s="95"/>
      <c r="B1242" s="95"/>
      <c r="C1242" s="95"/>
    </row>
    <row r="1243" spans="1:3" ht="15" x14ac:dyDescent="0.25">
      <c r="A1243" s="95"/>
      <c r="B1243" s="95"/>
      <c r="C1243" s="95"/>
    </row>
    <row r="1244" spans="1:3" ht="15" x14ac:dyDescent="0.25">
      <c r="A1244" s="95"/>
      <c r="B1244" s="95"/>
      <c r="C1244" s="95"/>
    </row>
    <row r="1245" spans="1:3" ht="15" x14ac:dyDescent="0.25">
      <c r="A1245" s="95"/>
      <c r="B1245" s="95"/>
      <c r="C1245" s="95"/>
    </row>
    <row r="1246" spans="1:3" ht="15" x14ac:dyDescent="0.25">
      <c r="A1246" s="95"/>
      <c r="B1246" s="95"/>
      <c r="C1246" s="95"/>
    </row>
    <row r="1247" spans="1:3" ht="15" x14ac:dyDescent="0.25">
      <c r="A1247" s="95"/>
      <c r="B1247" s="95"/>
      <c r="C1247" s="95"/>
    </row>
    <row r="1248" spans="1:3" ht="15" x14ac:dyDescent="0.25">
      <c r="A1248" s="95"/>
      <c r="B1248" s="95"/>
      <c r="C1248" s="95"/>
    </row>
    <row r="1249" spans="1:3" ht="15" x14ac:dyDescent="0.25">
      <c r="A1249" s="95"/>
      <c r="B1249" s="95"/>
      <c r="C1249" s="95"/>
    </row>
    <row r="1250" spans="1:3" ht="15" x14ac:dyDescent="0.25">
      <c r="A1250" s="95"/>
      <c r="B1250" s="95"/>
      <c r="C1250" s="95"/>
    </row>
    <row r="1251" spans="1:3" ht="15" x14ac:dyDescent="0.25">
      <c r="A1251" s="95"/>
      <c r="B1251" s="95"/>
      <c r="C1251" s="95"/>
    </row>
    <row r="1252" spans="1:3" ht="15" x14ac:dyDescent="0.25">
      <c r="A1252" s="95"/>
      <c r="B1252" s="95"/>
      <c r="C1252" s="95"/>
    </row>
    <row r="1253" spans="1:3" ht="15" x14ac:dyDescent="0.25">
      <c r="A1253" s="95"/>
      <c r="B1253" s="95"/>
      <c r="C1253" s="95"/>
    </row>
    <row r="1254" spans="1:3" ht="15" x14ac:dyDescent="0.25">
      <c r="A1254" s="95"/>
      <c r="B1254" s="95"/>
      <c r="C1254" s="95"/>
    </row>
    <row r="1255" spans="1:3" ht="15" x14ac:dyDescent="0.25">
      <c r="A1255" s="95"/>
      <c r="B1255" s="95"/>
      <c r="C1255" s="95"/>
    </row>
    <row r="1256" spans="1:3" ht="15" x14ac:dyDescent="0.25">
      <c r="A1256" s="95"/>
      <c r="B1256" s="95"/>
      <c r="C1256" s="95"/>
    </row>
    <row r="1257" spans="1:3" ht="15" x14ac:dyDescent="0.25">
      <c r="A1257" s="95"/>
      <c r="B1257" s="95"/>
      <c r="C1257" s="95"/>
    </row>
    <row r="1258" spans="1:3" ht="15" x14ac:dyDescent="0.25">
      <c r="A1258" s="95"/>
      <c r="B1258" s="95"/>
      <c r="C1258" s="95"/>
    </row>
    <row r="1259" spans="1:3" ht="15" x14ac:dyDescent="0.25">
      <c r="A1259" s="95"/>
      <c r="B1259" s="95"/>
      <c r="C1259" s="95"/>
    </row>
    <row r="1260" spans="1:3" ht="15" x14ac:dyDescent="0.25">
      <c r="A1260" s="95"/>
      <c r="B1260" s="95"/>
      <c r="C1260" s="95"/>
    </row>
    <row r="1261" spans="1:3" ht="15" x14ac:dyDescent="0.25">
      <c r="A1261" s="95"/>
      <c r="B1261" s="95"/>
      <c r="C1261" s="95"/>
    </row>
    <row r="1262" spans="1:3" ht="15" x14ac:dyDescent="0.25">
      <c r="A1262" s="95"/>
      <c r="B1262" s="95"/>
      <c r="C1262" s="95"/>
    </row>
    <row r="1263" spans="1:3" ht="15" x14ac:dyDescent="0.25">
      <c r="A1263" s="95"/>
      <c r="B1263" s="95"/>
      <c r="C1263" s="95"/>
    </row>
    <row r="1264" spans="1:3" ht="15" x14ac:dyDescent="0.25">
      <c r="A1264" s="95"/>
      <c r="B1264" s="95"/>
      <c r="C1264" s="95"/>
    </row>
    <row r="1265" spans="1:3" ht="15" x14ac:dyDescent="0.25">
      <c r="A1265" s="95"/>
      <c r="B1265" s="95"/>
      <c r="C1265" s="95"/>
    </row>
    <row r="1266" spans="1:3" ht="15" x14ac:dyDescent="0.25">
      <c r="A1266" s="95"/>
      <c r="B1266" s="95"/>
      <c r="C1266" s="95"/>
    </row>
    <row r="1267" spans="1:3" ht="15" x14ac:dyDescent="0.25">
      <c r="A1267" s="95"/>
      <c r="B1267" s="95"/>
      <c r="C1267" s="95"/>
    </row>
    <row r="1268" spans="1:3" ht="15" x14ac:dyDescent="0.25">
      <c r="A1268" s="95"/>
      <c r="B1268" s="95"/>
      <c r="C1268" s="95"/>
    </row>
    <row r="1269" spans="1:3" ht="15" x14ac:dyDescent="0.25">
      <c r="A1269" s="95"/>
      <c r="B1269" s="95"/>
      <c r="C1269" s="95"/>
    </row>
    <row r="1270" spans="1:3" ht="15" x14ac:dyDescent="0.25">
      <c r="A1270" s="95"/>
      <c r="B1270" s="95"/>
      <c r="C1270" s="95"/>
    </row>
    <row r="1271" spans="1:3" ht="15" x14ac:dyDescent="0.25">
      <c r="A1271" s="95"/>
      <c r="B1271" s="95"/>
      <c r="C1271" s="95"/>
    </row>
    <row r="1272" spans="1:3" ht="15" x14ac:dyDescent="0.25">
      <c r="A1272" s="95"/>
      <c r="B1272" s="95"/>
      <c r="C1272" s="95"/>
    </row>
    <row r="1273" spans="1:3" ht="15" x14ac:dyDescent="0.25">
      <c r="A1273" s="95"/>
      <c r="B1273" s="95"/>
      <c r="C1273" s="95"/>
    </row>
    <row r="1274" spans="1:3" ht="15" x14ac:dyDescent="0.25">
      <c r="A1274" s="95"/>
      <c r="B1274" s="95"/>
      <c r="C1274" s="95"/>
    </row>
    <row r="1275" spans="1:3" ht="15" x14ac:dyDescent="0.25">
      <c r="A1275" s="95"/>
      <c r="B1275" s="95"/>
      <c r="C1275" s="95"/>
    </row>
    <row r="1276" spans="1:3" ht="15" x14ac:dyDescent="0.25">
      <c r="A1276" s="95"/>
      <c r="B1276" s="95"/>
      <c r="C1276" s="95"/>
    </row>
    <row r="1277" spans="1:3" ht="15" x14ac:dyDescent="0.25">
      <c r="A1277" s="95"/>
      <c r="B1277" s="95"/>
      <c r="C1277" s="95"/>
    </row>
    <row r="1278" spans="1:3" ht="15" x14ac:dyDescent="0.25">
      <c r="A1278" s="95"/>
      <c r="B1278" s="95"/>
      <c r="C1278" s="95"/>
    </row>
    <row r="1279" spans="1:3" ht="15" x14ac:dyDescent="0.25">
      <c r="A1279" s="95"/>
      <c r="B1279" s="95"/>
      <c r="C1279" s="95"/>
    </row>
    <row r="1280" spans="1:3" ht="15" x14ac:dyDescent="0.25">
      <c r="A1280" s="95"/>
      <c r="B1280" s="95"/>
      <c r="C1280" s="95"/>
    </row>
    <row r="1281" spans="1:3" ht="15" x14ac:dyDescent="0.25">
      <c r="A1281" s="95"/>
      <c r="B1281" s="95"/>
      <c r="C1281" s="95"/>
    </row>
    <row r="1282" spans="1:3" ht="15" x14ac:dyDescent="0.25">
      <c r="A1282" s="95"/>
      <c r="B1282" s="95"/>
      <c r="C1282" s="95"/>
    </row>
    <row r="1283" spans="1:3" ht="15" x14ac:dyDescent="0.25">
      <c r="A1283" s="95"/>
      <c r="B1283" s="95"/>
      <c r="C1283" s="95"/>
    </row>
    <row r="1284" spans="1:3" ht="15" x14ac:dyDescent="0.25">
      <c r="A1284" s="95"/>
      <c r="B1284" s="95"/>
      <c r="C1284" s="95"/>
    </row>
    <row r="1285" spans="1:3" ht="15" x14ac:dyDescent="0.25">
      <c r="A1285" s="95"/>
      <c r="B1285" s="95"/>
      <c r="C1285" s="95"/>
    </row>
    <row r="1286" spans="1:3" ht="15" x14ac:dyDescent="0.25">
      <c r="A1286" s="95"/>
      <c r="B1286" s="95"/>
      <c r="C1286" s="95"/>
    </row>
    <row r="1287" spans="1:3" ht="15" x14ac:dyDescent="0.25">
      <c r="A1287" s="95"/>
      <c r="B1287" s="95"/>
      <c r="C1287" s="95"/>
    </row>
    <row r="1288" spans="1:3" ht="15" x14ac:dyDescent="0.25">
      <c r="A1288" s="95"/>
      <c r="B1288" s="95"/>
      <c r="C1288" s="95"/>
    </row>
    <row r="1289" spans="1:3" ht="15" x14ac:dyDescent="0.25">
      <c r="A1289" s="95"/>
      <c r="B1289" s="95"/>
      <c r="C1289" s="95"/>
    </row>
    <row r="1290" spans="1:3" ht="15" x14ac:dyDescent="0.25">
      <c r="A1290" s="95"/>
      <c r="B1290" s="95"/>
      <c r="C1290" s="95"/>
    </row>
    <row r="1291" spans="1:3" ht="15" x14ac:dyDescent="0.25">
      <c r="A1291" s="95"/>
      <c r="B1291" s="95"/>
      <c r="C1291" s="95"/>
    </row>
    <row r="1292" spans="1:3" ht="15" x14ac:dyDescent="0.25">
      <c r="A1292" s="95"/>
      <c r="B1292" s="95"/>
      <c r="C1292" s="95"/>
    </row>
    <row r="1293" spans="1:3" ht="15" x14ac:dyDescent="0.25">
      <c r="A1293" s="95"/>
      <c r="B1293" s="95"/>
      <c r="C1293" s="95"/>
    </row>
    <row r="1294" spans="1:3" ht="15" x14ac:dyDescent="0.25">
      <c r="A1294" s="95"/>
      <c r="B1294" s="95"/>
      <c r="C1294" s="95"/>
    </row>
    <row r="1295" spans="1:3" ht="15" x14ac:dyDescent="0.25">
      <c r="A1295" s="95"/>
      <c r="B1295" s="95"/>
      <c r="C1295" s="95"/>
    </row>
    <row r="1296" spans="1:3" ht="15" x14ac:dyDescent="0.25">
      <c r="A1296" s="95"/>
      <c r="B1296" s="95"/>
      <c r="C1296" s="95"/>
    </row>
    <row r="1297" spans="1:3" ht="15" x14ac:dyDescent="0.25">
      <c r="A1297" s="95"/>
      <c r="B1297" s="95"/>
      <c r="C1297" s="95"/>
    </row>
    <row r="1298" spans="1:3" ht="15" x14ac:dyDescent="0.25">
      <c r="A1298" s="95"/>
      <c r="B1298" s="95"/>
      <c r="C1298" s="95"/>
    </row>
    <row r="1299" spans="1:3" ht="15" x14ac:dyDescent="0.25">
      <c r="A1299" s="95"/>
      <c r="B1299" s="95"/>
      <c r="C1299" s="95"/>
    </row>
    <row r="1300" spans="1:3" ht="15" x14ac:dyDescent="0.25">
      <c r="A1300" s="95"/>
      <c r="B1300" s="95"/>
      <c r="C1300" s="95"/>
    </row>
    <row r="1301" spans="1:3" ht="15" x14ac:dyDescent="0.25">
      <c r="A1301" s="95"/>
      <c r="B1301" s="95"/>
      <c r="C1301" s="95"/>
    </row>
    <row r="1302" spans="1:3" ht="15" x14ac:dyDescent="0.25">
      <c r="A1302" s="95"/>
      <c r="B1302" s="95"/>
      <c r="C1302" s="95"/>
    </row>
    <row r="1303" spans="1:3" ht="15" x14ac:dyDescent="0.25">
      <c r="A1303" s="95"/>
      <c r="B1303" s="95"/>
      <c r="C1303" s="95"/>
    </row>
    <row r="1304" spans="1:3" ht="15" x14ac:dyDescent="0.25">
      <c r="A1304" s="95"/>
      <c r="B1304" s="95"/>
      <c r="C1304" s="95"/>
    </row>
    <row r="1305" spans="1:3" ht="15" x14ac:dyDescent="0.25">
      <c r="A1305" s="95"/>
      <c r="B1305" s="95"/>
      <c r="C1305" s="95"/>
    </row>
    <row r="1306" spans="1:3" ht="15" x14ac:dyDescent="0.25">
      <c r="A1306" s="95"/>
      <c r="B1306" s="95"/>
      <c r="C1306" s="95"/>
    </row>
    <row r="1307" spans="1:3" ht="15" x14ac:dyDescent="0.25">
      <c r="A1307" s="95"/>
      <c r="B1307" s="95"/>
      <c r="C1307" s="95"/>
    </row>
    <row r="1308" spans="1:3" ht="15" x14ac:dyDescent="0.25">
      <c r="A1308" s="95"/>
      <c r="B1308" s="95"/>
      <c r="C1308" s="95"/>
    </row>
    <row r="1309" spans="1:3" ht="15" x14ac:dyDescent="0.25">
      <c r="A1309" s="95"/>
      <c r="B1309" s="95"/>
      <c r="C1309" s="95"/>
    </row>
    <row r="1310" spans="1:3" ht="15" x14ac:dyDescent="0.25">
      <c r="A1310" s="95"/>
      <c r="B1310" s="95"/>
      <c r="C1310" s="95"/>
    </row>
    <row r="1311" spans="1:3" ht="15" x14ac:dyDescent="0.25">
      <c r="A1311" s="95"/>
      <c r="B1311" s="95"/>
      <c r="C1311" s="95"/>
    </row>
    <row r="1312" spans="1:3" ht="15" x14ac:dyDescent="0.25">
      <c r="A1312" s="95"/>
      <c r="B1312" s="95"/>
      <c r="C1312" s="95"/>
    </row>
    <row r="1313" spans="1:3" ht="15" x14ac:dyDescent="0.25">
      <c r="A1313" s="95"/>
      <c r="B1313" s="95"/>
      <c r="C1313" s="95"/>
    </row>
    <row r="1314" spans="1:3" ht="15" x14ac:dyDescent="0.25">
      <c r="A1314" s="95"/>
      <c r="B1314" s="95"/>
      <c r="C1314" s="95"/>
    </row>
    <row r="1315" spans="1:3" ht="15" x14ac:dyDescent="0.25">
      <c r="A1315" s="95"/>
      <c r="B1315" s="95"/>
      <c r="C1315" s="95"/>
    </row>
    <row r="1316" spans="1:3" ht="15" x14ac:dyDescent="0.25">
      <c r="A1316" s="95"/>
      <c r="B1316" s="95"/>
      <c r="C1316" s="95"/>
    </row>
    <row r="1317" spans="1:3" ht="15" x14ac:dyDescent="0.25">
      <c r="A1317" s="95"/>
      <c r="B1317" s="95"/>
      <c r="C1317" s="95"/>
    </row>
    <row r="1318" spans="1:3" ht="15" x14ac:dyDescent="0.25">
      <c r="A1318" s="95"/>
      <c r="B1318" s="95"/>
      <c r="C1318" s="95"/>
    </row>
    <row r="1319" spans="1:3" ht="15" x14ac:dyDescent="0.25">
      <c r="A1319" s="95"/>
      <c r="B1319" s="95"/>
      <c r="C1319" s="95"/>
    </row>
    <row r="1320" spans="1:3" ht="15" x14ac:dyDescent="0.25">
      <c r="A1320" s="95"/>
      <c r="B1320" s="95"/>
      <c r="C1320" s="95"/>
    </row>
    <row r="1321" spans="1:3" ht="15" x14ac:dyDescent="0.25">
      <c r="A1321" s="95"/>
      <c r="B1321" s="95"/>
      <c r="C1321" s="95"/>
    </row>
    <row r="1322" spans="1:3" ht="15" x14ac:dyDescent="0.25">
      <c r="A1322" s="95"/>
      <c r="B1322" s="95"/>
      <c r="C1322" s="95"/>
    </row>
    <row r="1323" spans="1:3" ht="15" x14ac:dyDescent="0.25">
      <c r="A1323" s="95"/>
      <c r="B1323" s="95"/>
      <c r="C1323" s="95"/>
    </row>
    <row r="1324" spans="1:3" ht="15" x14ac:dyDescent="0.25">
      <c r="A1324" s="95"/>
      <c r="B1324" s="95"/>
      <c r="C1324" s="95"/>
    </row>
    <row r="1325" spans="1:3" ht="15" x14ac:dyDescent="0.25">
      <c r="A1325" s="95"/>
      <c r="B1325" s="95"/>
      <c r="C1325" s="95"/>
    </row>
    <row r="1326" spans="1:3" ht="15" x14ac:dyDescent="0.25">
      <c r="A1326" s="95"/>
      <c r="B1326" s="95"/>
      <c r="C1326" s="95"/>
    </row>
    <row r="1327" spans="1:3" ht="15" x14ac:dyDescent="0.25">
      <c r="A1327" s="95"/>
      <c r="B1327" s="95"/>
      <c r="C1327" s="95"/>
    </row>
    <row r="1328" spans="1:3" ht="15" x14ac:dyDescent="0.25">
      <c r="A1328" s="95"/>
      <c r="B1328" s="95"/>
      <c r="C1328" s="95"/>
    </row>
    <row r="1329" spans="1:3" ht="15" x14ac:dyDescent="0.25">
      <c r="A1329" s="95"/>
      <c r="B1329" s="95"/>
      <c r="C1329" s="95"/>
    </row>
    <row r="1330" spans="1:3" ht="15" x14ac:dyDescent="0.25">
      <c r="A1330" s="95"/>
      <c r="B1330" s="95"/>
      <c r="C1330" s="95"/>
    </row>
    <row r="1331" spans="1:3" ht="15" x14ac:dyDescent="0.25">
      <c r="A1331" s="95"/>
      <c r="B1331" s="95"/>
      <c r="C1331" s="95"/>
    </row>
    <row r="1332" spans="1:3" ht="15" x14ac:dyDescent="0.25">
      <c r="A1332" s="95"/>
      <c r="B1332" s="95"/>
      <c r="C1332" s="95"/>
    </row>
    <row r="1333" spans="1:3" ht="15" x14ac:dyDescent="0.25">
      <c r="A1333" s="95"/>
      <c r="B1333" s="95"/>
      <c r="C1333" s="95"/>
    </row>
    <row r="1334" spans="1:3" ht="15" x14ac:dyDescent="0.25">
      <c r="A1334" s="95"/>
      <c r="B1334" s="95"/>
      <c r="C1334" s="95"/>
    </row>
    <row r="1335" spans="1:3" ht="15" x14ac:dyDescent="0.25">
      <c r="A1335" s="95"/>
      <c r="B1335" s="95"/>
      <c r="C1335" s="95"/>
    </row>
    <row r="1336" spans="1:3" ht="15" x14ac:dyDescent="0.25">
      <c r="A1336" s="95"/>
      <c r="B1336" s="95"/>
      <c r="C1336" s="95"/>
    </row>
    <row r="1337" spans="1:3" ht="15" x14ac:dyDescent="0.25">
      <c r="A1337" s="95"/>
      <c r="B1337" s="95"/>
      <c r="C1337" s="95"/>
    </row>
    <row r="1338" spans="1:3" ht="15" x14ac:dyDescent="0.25">
      <c r="A1338" s="95"/>
      <c r="B1338" s="95"/>
      <c r="C1338" s="95"/>
    </row>
    <row r="1339" spans="1:3" ht="15" x14ac:dyDescent="0.25">
      <c r="A1339" s="95"/>
      <c r="B1339" s="95"/>
      <c r="C1339" s="95"/>
    </row>
    <row r="1340" spans="1:3" ht="15" x14ac:dyDescent="0.25">
      <c r="A1340" s="95"/>
      <c r="B1340" s="95"/>
      <c r="C1340" s="95"/>
    </row>
    <row r="1341" spans="1:3" ht="15" x14ac:dyDescent="0.25">
      <c r="A1341" s="95"/>
      <c r="B1341" s="95"/>
      <c r="C1341" s="95"/>
    </row>
    <row r="1342" spans="1:3" ht="15" x14ac:dyDescent="0.25">
      <c r="A1342" s="95"/>
      <c r="B1342" s="95"/>
      <c r="C1342" s="95"/>
    </row>
    <row r="1343" spans="1:3" ht="15" x14ac:dyDescent="0.25">
      <c r="A1343" s="95"/>
      <c r="B1343" s="95"/>
      <c r="C1343" s="95"/>
    </row>
    <row r="1344" spans="1:3" ht="15" x14ac:dyDescent="0.25">
      <c r="A1344" s="95"/>
      <c r="B1344" s="95"/>
      <c r="C1344" s="95"/>
    </row>
    <row r="1345" spans="1:3" ht="15" x14ac:dyDescent="0.25">
      <c r="A1345" s="95"/>
      <c r="B1345" s="95"/>
      <c r="C1345" s="95"/>
    </row>
    <row r="1346" spans="1:3" ht="15" x14ac:dyDescent="0.25">
      <c r="A1346" s="95"/>
      <c r="B1346" s="95"/>
      <c r="C1346" s="95"/>
    </row>
    <row r="1347" spans="1:3" ht="15" x14ac:dyDescent="0.25">
      <c r="A1347" s="95"/>
      <c r="B1347" s="95"/>
      <c r="C1347" s="95"/>
    </row>
    <row r="1348" spans="1:3" ht="15" x14ac:dyDescent="0.25">
      <c r="A1348" s="95"/>
      <c r="B1348" s="95"/>
      <c r="C1348" s="95"/>
    </row>
    <row r="1349" spans="1:3" ht="15" x14ac:dyDescent="0.25">
      <c r="A1349" s="95"/>
      <c r="B1349" s="95"/>
      <c r="C1349" s="95"/>
    </row>
    <row r="1350" spans="1:3" ht="15" x14ac:dyDescent="0.25">
      <c r="A1350" s="95"/>
      <c r="B1350" s="95"/>
      <c r="C1350" s="95"/>
    </row>
    <row r="1351" spans="1:3" ht="15" x14ac:dyDescent="0.25">
      <c r="A1351" s="95"/>
      <c r="B1351" s="95"/>
      <c r="C1351" s="95"/>
    </row>
    <row r="1352" spans="1:3" ht="15" x14ac:dyDescent="0.25">
      <c r="A1352" s="95"/>
      <c r="B1352" s="95"/>
      <c r="C1352" s="95"/>
    </row>
    <row r="1353" spans="1:3" ht="15" x14ac:dyDescent="0.25">
      <c r="A1353" s="95"/>
      <c r="B1353" s="95"/>
      <c r="C1353" s="95"/>
    </row>
    <row r="1354" spans="1:3" ht="15" x14ac:dyDescent="0.25">
      <c r="A1354" s="95"/>
      <c r="B1354" s="95"/>
      <c r="C1354" s="95"/>
    </row>
    <row r="1355" spans="1:3" ht="15" x14ac:dyDescent="0.25">
      <c r="A1355" s="95"/>
      <c r="B1355" s="95"/>
      <c r="C1355" s="95"/>
    </row>
    <row r="1356" spans="1:3" ht="15" x14ac:dyDescent="0.25">
      <c r="A1356" s="95"/>
      <c r="B1356" s="95"/>
      <c r="C1356" s="95"/>
    </row>
    <row r="1357" spans="1:3" ht="15" x14ac:dyDescent="0.25">
      <c r="A1357" s="95"/>
      <c r="B1357" s="95"/>
      <c r="C1357" s="95"/>
    </row>
    <row r="1358" spans="1:3" ht="15" x14ac:dyDescent="0.25">
      <c r="A1358" s="95"/>
      <c r="B1358" s="95"/>
      <c r="C1358" s="95"/>
    </row>
    <row r="1359" spans="1:3" ht="15" x14ac:dyDescent="0.25">
      <c r="A1359" s="95"/>
      <c r="B1359" s="95"/>
      <c r="C1359" s="95"/>
    </row>
    <row r="1360" spans="1:3" ht="15" x14ac:dyDescent="0.25">
      <c r="A1360" s="95"/>
      <c r="B1360" s="95"/>
      <c r="C1360" s="95"/>
    </row>
    <row r="1361" spans="1:3" ht="15" x14ac:dyDescent="0.25">
      <c r="A1361" s="95"/>
      <c r="B1361" s="95"/>
      <c r="C1361" s="95"/>
    </row>
    <row r="1362" spans="1:3" ht="15" x14ac:dyDescent="0.25">
      <c r="A1362" s="95"/>
      <c r="B1362" s="95"/>
      <c r="C1362" s="95"/>
    </row>
    <row r="1363" spans="1:3" ht="15" x14ac:dyDescent="0.25">
      <c r="A1363" s="95"/>
      <c r="B1363" s="95"/>
      <c r="C1363" s="95"/>
    </row>
    <row r="1364" spans="1:3" ht="15" x14ac:dyDescent="0.25">
      <c r="A1364" s="95"/>
      <c r="B1364" s="95"/>
      <c r="C1364" s="95"/>
    </row>
    <row r="1365" spans="1:3" ht="15" x14ac:dyDescent="0.25">
      <c r="A1365" s="95"/>
      <c r="B1365" s="95"/>
      <c r="C1365" s="95"/>
    </row>
    <row r="1366" spans="1:3" ht="15" x14ac:dyDescent="0.25">
      <c r="A1366" s="95"/>
      <c r="B1366" s="95"/>
      <c r="C1366" s="95"/>
    </row>
    <row r="1367" spans="1:3" ht="15" x14ac:dyDescent="0.25">
      <c r="A1367" s="95"/>
      <c r="B1367" s="95"/>
      <c r="C1367" s="95"/>
    </row>
    <row r="1368" spans="1:3" ht="15" x14ac:dyDescent="0.25">
      <c r="A1368" s="95"/>
      <c r="B1368" s="95"/>
      <c r="C1368" s="95"/>
    </row>
    <row r="1369" spans="1:3" ht="15" x14ac:dyDescent="0.25">
      <c r="A1369" s="95"/>
      <c r="B1369" s="95"/>
      <c r="C1369" s="95"/>
    </row>
    <row r="1370" spans="1:3" ht="15" x14ac:dyDescent="0.25">
      <c r="A1370" s="95"/>
      <c r="B1370" s="95"/>
      <c r="C1370" s="95"/>
    </row>
    <row r="1371" spans="1:3" ht="15" x14ac:dyDescent="0.25">
      <c r="A1371" s="95"/>
      <c r="B1371" s="95"/>
      <c r="C1371" s="95"/>
    </row>
    <row r="1372" spans="1:3" ht="15" x14ac:dyDescent="0.25">
      <c r="A1372" s="95"/>
      <c r="B1372" s="95"/>
      <c r="C1372" s="95"/>
    </row>
    <row r="1373" spans="1:3" ht="15" x14ac:dyDescent="0.25">
      <c r="A1373" s="95"/>
      <c r="B1373" s="95"/>
      <c r="C1373" s="95"/>
    </row>
    <row r="1374" spans="1:3" ht="15" x14ac:dyDescent="0.25">
      <c r="A1374" s="95"/>
      <c r="B1374" s="95"/>
      <c r="C1374" s="95"/>
    </row>
    <row r="1375" spans="1:3" ht="15" x14ac:dyDescent="0.25">
      <c r="A1375" s="95"/>
      <c r="B1375" s="95"/>
      <c r="C1375" s="95"/>
    </row>
    <row r="1376" spans="1:3" ht="15" x14ac:dyDescent="0.25">
      <c r="A1376" s="95"/>
      <c r="B1376" s="95"/>
      <c r="C1376" s="95"/>
    </row>
    <row r="1377" spans="1:3" ht="15" x14ac:dyDescent="0.25">
      <c r="A1377" s="95"/>
      <c r="B1377" s="95"/>
      <c r="C1377" s="95"/>
    </row>
    <row r="1378" spans="1:3" ht="15" x14ac:dyDescent="0.25">
      <c r="A1378" s="95"/>
      <c r="B1378" s="95"/>
      <c r="C1378" s="95"/>
    </row>
    <row r="1379" spans="1:3" ht="15" x14ac:dyDescent="0.25">
      <c r="A1379" s="95"/>
      <c r="B1379" s="95"/>
      <c r="C1379" s="95"/>
    </row>
    <row r="1380" spans="1:3" ht="15" x14ac:dyDescent="0.25">
      <c r="A1380" s="95"/>
      <c r="B1380" s="95"/>
      <c r="C1380" s="95"/>
    </row>
    <row r="1381" spans="1:3" ht="15" x14ac:dyDescent="0.25">
      <c r="A1381" s="95"/>
      <c r="B1381" s="95"/>
      <c r="C1381" s="95"/>
    </row>
    <row r="1382" spans="1:3" ht="15" x14ac:dyDescent="0.25">
      <c r="A1382" s="95"/>
      <c r="B1382" s="95"/>
      <c r="C1382" s="95"/>
    </row>
    <row r="1383" spans="1:3" ht="15" x14ac:dyDescent="0.25">
      <c r="A1383" s="95"/>
      <c r="B1383" s="95"/>
      <c r="C1383" s="95"/>
    </row>
    <row r="1384" spans="1:3" ht="15" x14ac:dyDescent="0.25">
      <c r="A1384" s="95"/>
      <c r="B1384" s="95"/>
      <c r="C1384" s="95"/>
    </row>
    <row r="1385" spans="1:3" ht="15" x14ac:dyDescent="0.25">
      <c r="A1385" s="95"/>
      <c r="B1385" s="95"/>
      <c r="C1385" s="95"/>
    </row>
    <row r="1386" spans="1:3" ht="15" x14ac:dyDescent="0.25">
      <c r="A1386" s="95"/>
      <c r="B1386" s="95"/>
      <c r="C1386" s="95"/>
    </row>
    <row r="1387" spans="1:3" ht="15" x14ac:dyDescent="0.25">
      <c r="A1387" s="95"/>
      <c r="B1387" s="95"/>
      <c r="C1387" s="95"/>
    </row>
    <row r="1388" spans="1:3" ht="15" x14ac:dyDescent="0.25">
      <c r="A1388" s="95"/>
      <c r="B1388" s="95"/>
      <c r="C1388" s="95"/>
    </row>
    <row r="1389" spans="1:3" ht="15" x14ac:dyDescent="0.25">
      <c r="A1389" s="95"/>
      <c r="B1389" s="95"/>
      <c r="C1389" s="95"/>
    </row>
    <row r="1390" spans="1:3" ht="15" x14ac:dyDescent="0.25">
      <c r="A1390" s="95"/>
      <c r="B1390" s="95"/>
      <c r="C1390" s="95"/>
    </row>
    <row r="1391" spans="1:3" ht="15" x14ac:dyDescent="0.25">
      <c r="A1391" s="95"/>
      <c r="B1391" s="95"/>
      <c r="C1391" s="95"/>
    </row>
    <row r="1392" spans="1:3" ht="15" x14ac:dyDescent="0.25">
      <c r="A1392" s="95"/>
      <c r="B1392" s="95"/>
      <c r="C1392" s="95"/>
    </row>
    <row r="1393" spans="1:3" ht="15" x14ac:dyDescent="0.25">
      <c r="A1393" s="95"/>
      <c r="B1393" s="95"/>
      <c r="C1393" s="95"/>
    </row>
    <row r="1394" spans="1:3" ht="15" x14ac:dyDescent="0.25">
      <c r="A1394" s="95"/>
      <c r="B1394" s="95"/>
      <c r="C1394" s="95"/>
    </row>
    <row r="1395" spans="1:3" ht="15" x14ac:dyDescent="0.25">
      <c r="A1395" s="95"/>
      <c r="B1395" s="95"/>
      <c r="C1395" s="95"/>
    </row>
    <row r="1396" spans="1:3" ht="15" x14ac:dyDescent="0.25">
      <c r="A1396" s="95"/>
      <c r="B1396" s="95"/>
      <c r="C1396" s="95"/>
    </row>
    <row r="1397" spans="1:3" ht="15" x14ac:dyDescent="0.25">
      <c r="A1397" s="95"/>
      <c r="B1397" s="95"/>
      <c r="C1397" s="95"/>
    </row>
    <row r="1398" spans="1:3" ht="15" x14ac:dyDescent="0.25">
      <c r="A1398" s="95"/>
      <c r="B1398" s="95"/>
      <c r="C1398" s="95"/>
    </row>
    <row r="1399" spans="1:3" ht="15" x14ac:dyDescent="0.25">
      <c r="A1399" s="95"/>
      <c r="B1399" s="95"/>
      <c r="C1399" s="95"/>
    </row>
    <row r="1400" spans="1:3" ht="15" x14ac:dyDescent="0.25">
      <c r="A1400" s="95"/>
      <c r="B1400" s="95"/>
      <c r="C1400" s="95"/>
    </row>
    <row r="1401" spans="1:3" ht="15" x14ac:dyDescent="0.25">
      <c r="A1401" s="95"/>
      <c r="B1401" s="95"/>
      <c r="C1401" s="95"/>
    </row>
    <row r="1402" spans="1:3" ht="15" x14ac:dyDescent="0.25">
      <c r="A1402" s="95"/>
      <c r="B1402" s="95"/>
      <c r="C1402" s="95"/>
    </row>
    <row r="1403" spans="1:3" ht="15" x14ac:dyDescent="0.25">
      <c r="A1403" s="95"/>
      <c r="B1403" s="95"/>
      <c r="C1403" s="95"/>
    </row>
    <row r="1404" spans="1:3" ht="15" x14ac:dyDescent="0.25">
      <c r="A1404" s="95"/>
      <c r="B1404" s="95"/>
      <c r="C1404" s="95"/>
    </row>
    <row r="1405" spans="1:3" ht="15" x14ac:dyDescent="0.25">
      <c r="A1405" s="95"/>
      <c r="B1405" s="95"/>
      <c r="C1405" s="95"/>
    </row>
    <row r="1406" spans="1:3" ht="15" x14ac:dyDescent="0.25">
      <c r="A1406" s="95"/>
      <c r="B1406" s="95"/>
      <c r="C1406" s="95"/>
    </row>
    <row r="1407" spans="1:3" ht="15" x14ac:dyDescent="0.25">
      <c r="A1407" s="95"/>
      <c r="B1407" s="95"/>
      <c r="C1407" s="95"/>
    </row>
    <row r="1408" spans="1:3" ht="15" x14ac:dyDescent="0.25">
      <c r="A1408" s="95"/>
      <c r="B1408" s="95"/>
      <c r="C1408" s="95"/>
    </row>
    <row r="1409" spans="1:3" ht="15" x14ac:dyDescent="0.25">
      <c r="A1409" s="95"/>
      <c r="B1409" s="95"/>
      <c r="C1409" s="95"/>
    </row>
    <row r="1410" spans="1:3" ht="15" x14ac:dyDescent="0.25">
      <c r="A1410" s="95"/>
      <c r="B1410" s="95"/>
      <c r="C1410" s="95"/>
    </row>
    <row r="1411" spans="1:3" ht="15" x14ac:dyDescent="0.25">
      <c r="A1411" s="95"/>
      <c r="B1411" s="95"/>
      <c r="C1411" s="95"/>
    </row>
    <row r="1412" spans="1:3" ht="15" x14ac:dyDescent="0.25">
      <c r="A1412" s="95"/>
      <c r="B1412" s="95"/>
      <c r="C1412" s="95"/>
    </row>
    <row r="1413" spans="1:3" ht="15" x14ac:dyDescent="0.25">
      <c r="A1413" s="95"/>
      <c r="B1413" s="95"/>
      <c r="C1413" s="95"/>
    </row>
    <row r="1414" spans="1:3" ht="15" x14ac:dyDescent="0.25">
      <c r="A1414" s="95"/>
      <c r="B1414" s="95"/>
      <c r="C1414" s="95"/>
    </row>
    <row r="1415" spans="1:3" ht="15" x14ac:dyDescent="0.25">
      <c r="A1415" s="95"/>
      <c r="B1415" s="95"/>
      <c r="C1415" s="95"/>
    </row>
    <row r="1416" spans="1:3" ht="15" x14ac:dyDescent="0.25">
      <c r="A1416" s="95"/>
      <c r="B1416" s="95"/>
      <c r="C1416" s="95"/>
    </row>
    <row r="1417" spans="1:3" ht="15" x14ac:dyDescent="0.25">
      <c r="A1417" s="95"/>
      <c r="B1417" s="95"/>
      <c r="C1417" s="95"/>
    </row>
    <row r="1418" spans="1:3" ht="15" x14ac:dyDescent="0.25">
      <c r="A1418" s="95"/>
      <c r="B1418" s="95"/>
      <c r="C1418" s="95"/>
    </row>
    <row r="1419" spans="1:3" ht="15" x14ac:dyDescent="0.25">
      <c r="A1419" s="95"/>
      <c r="B1419" s="95"/>
      <c r="C1419" s="95"/>
    </row>
    <row r="1420" spans="1:3" ht="15" x14ac:dyDescent="0.25">
      <c r="A1420" s="95"/>
      <c r="B1420" s="95"/>
      <c r="C1420" s="95"/>
    </row>
    <row r="1421" spans="1:3" ht="15" x14ac:dyDescent="0.25">
      <c r="A1421" s="95"/>
      <c r="B1421" s="95"/>
      <c r="C1421" s="95"/>
    </row>
    <row r="1422" spans="1:3" ht="15" x14ac:dyDescent="0.25">
      <c r="A1422" s="95"/>
      <c r="B1422" s="95"/>
      <c r="C1422" s="95"/>
    </row>
    <row r="1423" spans="1:3" ht="15" x14ac:dyDescent="0.25">
      <c r="A1423" s="95"/>
      <c r="B1423" s="95"/>
      <c r="C1423" s="95"/>
    </row>
    <row r="1424" spans="1:3" ht="15" x14ac:dyDescent="0.25">
      <c r="A1424" s="95"/>
      <c r="B1424" s="95"/>
      <c r="C1424" s="95"/>
    </row>
    <row r="1425" spans="1:3" ht="15" x14ac:dyDescent="0.25">
      <c r="A1425" s="95"/>
      <c r="B1425" s="95"/>
      <c r="C1425" s="95"/>
    </row>
    <row r="1426" spans="1:3" ht="15" x14ac:dyDescent="0.25">
      <c r="A1426" s="95"/>
      <c r="B1426" s="95"/>
      <c r="C1426" s="95"/>
    </row>
    <row r="1427" spans="1:3" ht="15" x14ac:dyDescent="0.25">
      <c r="A1427" s="95"/>
      <c r="B1427" s="95"/>
      <c r="C1427" s="95"/>
    </row>
    <row r="1428" spans="1:3" ht="15" x14ac:dyDescent="0.25">
      <c r="A1428" s="95"/>
      <c r="B1428" s="95"/>
      <c r="C1428" s="95"/>
    </row>
    <row r="1429" spans="1:3" ht="15" x14ac:dyDescent="0.25">
      <c r="A1429" s="95"/>
      <c r="B1429" s="95"/>
      <c r="C1429" s="95"/>
    </row>
    <row r="1430" spans="1:3" ht="15" x14ac:dyDescent="0.25">
      <c r="A1430" s="95"/>
      <c r="B1430" s="95"/>
      <c r="C1430" s="95"/>
    </row>
    <row r="1431" spans="1:3" ht="15" x14ac:dyDescent="0.25">
      <c r="A1431" s="95"/>
      <c r="B1431" s="95"/>
      <c r="C1431" s="95"/>
    </row>
    <row r="1432" spans="1:3" ht="15" x14ac:dyDescent="0.25">
      <c r="A1432" s="95"/>
      <c r="B1432" s="95"/>
      <c r="C1432" s="95"/>
    </row>
    <row r="1433" spans="1:3" ht="15" x14ac:dyDescent="0.25">
      <c r="A1433" s="95"/>
      <c r="B1433" s="95"/>
      <c r="C1433" s="95"/>
    </row>
    <row r="1434" spans="1:3" ht="15" x14ac:dyDescent="0.25">
      <c r="A1434" s="95"/>
      <c r="B1434" s="95"/>
      <c r="C1434" s="95"/>
    </row>
    <row r="1435" spans="1:3" ht="15" x14ac:dyDescent="0.25">
      <c r="A1435" s="95"/>
      <c r="B1435" s="95"/>
      <c r="C1435" s="95"/>
    </row>
    <row r="1436" spans="1:3" ht="15" x14ac:dyDescent="0.25">
      <c r="A1436" s="95"/>
      <c r="B1436" s="95"/>
      <c r="C1436" s="95"/>
    </row>
    <row r="1437" spans="1:3" ht="15" x14ac:dyDescent="0.25">
      <c r="A1437" s="95"/>
      <c r="B1437" s="95"/>
      <c r="C1437" s="95"/>
    </row>
    <row r="1438" spans="1:3" ht="15" x14ac:dyDescent="0.25">
      <c r="A1438" s="95"/>
      <c r="B1438" s="95"/>
      <c r="C1438" s="95"/>
    </row>
    <row r="1439" spans="1:3" ht="15" x14ac:dyDescent="0.25">
      <c r="A1439" s="95"/>
      <c r="B1439" s="95"/>
      <c r="C1439" s="95"/>
    </row>
    <row r="1440" spans="1:3" ht="15" x14ac:dyDescent="0.25">
      <c r="A1440" s="95"/>
      <c r="B1440" s="95"/>
      <c r="C1440" s="95"/>
    </row>
    <row r="1441" spans="1:3" ht="15" x14ac:dyDescent="0.25">
      <c r="A1441" s="95"/>
      <c r="B1441" s="95"/>
      <c r="C1441" s="95"/>
    </row>
    <row r="1442" spans="1:3" ht="15" x14ac:dyDescent="0.25">
      <c r="A1442" s="95"/>
      <c r="B1442" s="95"/>
      <c r="C1442" s="95"/>
    </row>
    <row r="1443" spans="1:3" ht="15" x14ac:dyDescent="0.25">
      <c r="A1443" s="95"/>
      <c r="B1443" s="95"/>
      <c r="C1443" s="95"/>
    </row>
    <row r="1444" spans="1:3" ht="15" x14ac:dyDescent="0.25">
      <c r="A1444" s="95"/>
      <c r="B1444" s="95"/>
      <c r="C1444" s="95"/>
    </row>
    <row r="1445" spans="1:3" ht="15" x14ac:dyDescent="0.25">
      <c r="A1445" s="95"/>
      <c r="B1445" s="95"/>
      <c r="C1445" s="95"/>
    </row>
    <row r="1446" spans="1:3" ht="15" x14ac:dyDescent="0.25">
      <c r="A1446" s="95"/>
      <c r="B1446" s="95"/>
      <c r="C1446" s="95"/>
    </row>
    <row r="1447" spans="1:3" ht="15" x14ac:dyDescent="0.25">
      <c r="A1447" s="95"/>
      <c r="B1447" s="95"/>
      <c r="C1447" s="95"/>
    </row>
    <row r="1448" spans="1:3" ht="15" x14ac:dyDescent="0.25">
      <c r="A1448" s="95"/>
      <c r="B1448" s="95"/>
      <c r="C1448" s="95"/>
    </row>
    <row r="1449" spans="1:3" ht="15" x14ac:dyDescent="0.25">
      <c r="A1449" s="95"/>
      <c r="B1449" s="95"/>
      <c r="C1449" s="95"/>
    </row>
    <row r="1450" spans="1:3" ht="15" x14ac:dyDescent="0.25">
      <c r="A1450" s="95"/>
      <c r="B1450" s="95"/>
      <c r="C1450" s="95"/>
    </row>
    <row r="1451" spans="1:3" ht="15" x14ac:dyDescent="0.25">
      <c r="A1451" s="95"/>
      <c r="B1451" s="95"/>
      <c r="C1451" s="95"/>
    </row>
    <row r="1452" spans="1:3" ht="15" x14ac:dyDescent="0.25">
      <c r="A1452" s="95"/>
      <c r="B1452" s="95"/>
      <c r="C1452" s="95"/>
    </row>
    <row r="1453" spans="1:3" ht="15" x14ac:dyDescent="0.25">
      <c r="A1453" s="95"/>
      <c r="B1453" s="95"/>
      <c r="C1453" s="95"/>
    </row>
    <row r="1454" spans="1:3" ht="15" x14ac:dyDescent="0.25">
      <c r="A1454" s="95"/>
      <c r="B1454" s="95"/>
      <c r="C1454" s="95"/>
    </row>
    <row r="1455" spans="1:3" ht="15" x14ac:dyDescent="0.25">
      <c r="A1455" s="95"/>
      <c r="B1455" s="95"/>
      <c r="C1455" s="95"/>
    </row>
    <row r="1456" spans="1:3" ht="15" x14ac:dyDescent="0.25">
      <c r="A1456" s="95"/>
      <c r="B1456" s="95"/>
      <c r="C1456" s="95"/>
    </row>
    <row r="1457" spans="1:3" ht="15" x14ac:dyDescent="0.25">
      <c r="A1457" s="95"/>
      <c r="B1457" s="95"/>
      <c r="C1457" s="95"/>
    </row>
    <row r="1458" spans="1:3" ht="15" x14ac:dyDescent="0.25">
      <c r="A1458" s="95"/>
      <c r="B1458" s="95"/>
      <c r="C1458" s="95"/>
    </row>
    <row r="1459" spans="1:3" ht="15" x14ac:dyDescent="0.25">
      <c r="A1459" s="95"/>
      <c r="B1459" s="95"/>
      <c r="C1459" s="95"/>
    </row>
    <row r="1460" spans="1:3" ht="15" x14ac:dyDescent="0.25">
      <c r="A1460" s="95"/>
      <c r="B1460" s="95"/>
      <c r="C1460" s="95"/>
    </row>
    <row r="1461" spans="1:3" ht="15" x14ac:dyDescent="0.25">
      <c r="A1461" s="95"/>
      <c r="B1461" s="95"/>
      <c r="C1461" s="95"/>
    </row>
    <row r="1462" spans="1:3" ht="15" x14ac:dyDescent="0.25">
      <c r="A1462" s="95"/>
      <c r="B1462" s="95"/>
      <c r="C1462" s="95"/>
    </row>
    <row r="1463" spans="1:3" ht="15" x14ac:dyDescent="0.25">
      <c r="A1463" s="95"/>
      <c r="B1463" s="95"/>
      <c r="C1463" s="95"/>
    </row>
    <row r="1464" spans="1:3" ht="15" x14ac:dyDescent="0.25">
      <c r="A1464" s="95"/>
      <c r="B1464" s="95"/>
      <c r="C1464" s="95"/>
    </row>
    <row r="1465" spans="1:3" ht="15" x14ac:dyDescent="0.25">
      <c r="A1465" s="95"/>
      <c r="B1465" s="95"/>
      <c r="C1465" s="95"/>
    </row>
    <row r="1466" spans="1:3" ht="15" x14ac:dyDescent="0.25">
      <c r="A1466" s="95"/>
      <c r="B1466" s="95"/>
      <c r="C1466" s="95"/>
    </row>
    <row r="1467" spans="1:3" ht="15" x14ac:dyDescent="0.25">
      <c r="A1467" s="95"/>
      <c r="B1467" s="95"/>
      <c r="C1467" s="95"/>
    </row>
    <row r="1468" spans="1:3" ht="15" x14ac:dyDescent="0.25">
      <c r="A1468" s="95"/>
      <c r="B1468" s="95"/>
      <c r="C1468" s="95"/>
    </row>
    <row r="1469" spans="1:3" ht="15" x14ac:dyDescent="0.25">
      <c r="A1469" s="95"/>
      <c r="B1469" s="95"/>
      <c r="C1469" s="95"/>
    </row>
    <row r="1470" spans="1:3" ht="15" x14ac:dyDescent="0.25">
      <c r="A1470" s="95"/>
      <c r="B1470" s="95"/>
      <c r="C1470" s="95"/>
    </row>
    <row r="1471" spans="1:3" ht="15" x14ac:dyDescent="0.25">
      <c r="A1471" s="95"/>
      <c r="B1471" s="95"/>
      <c r="C1471" s="95"/>
    </row>
    <row r="1472" spans="1:3" ht="15" x14ac:dyDescent="0.25">
      <c r="A1472" s="95"/>
      <c r="B1472" s="95"/>
      <c r="C1472" s="95"/>
    </row>
    <row r="1473" spans="1:3" ht="15" x14ac:dyDescent="0.25">
      <c r="A1473" s="95"/>
      <c r="B1473" s="95"/>
      <c r="C1473" s="95"/>
    </row>
    <row r="1474" spans="1:3" ht="15" x14ac:dyDescent="0.25">
      <c r="A1474" s="95"/>
      <c r="B1474" s="95"/>
      <c r="C1474" s="95"/>
    </row>
    <row r="1475" spans="1:3" ht="15" x14ac:dyDescent="0.25">
      <c r="A1475" s="95"/>
      <c r="B1475" s="95"/>
      <c r="C1475" s="95"/>
    </row>
    <row r="1476" spans="1:3" ht="15" x14ac:dyDescent="0.25">
      <c r="A1476" s="95"/>
      <c r="B1476" s="95"/>
      <c r="C1476" s="95"/>
    </row>
    <row r="1477" spans="1:3" ht="15" x14ac:dyDescent="0.25">
      <c r="A1477" s="95"/>
      <c r="B1477" s="95"/>
      <c r="C1477" s="95"/>
    </row>
    <row r="1478" spans="1:3" ht="15" x14ac:dyDescent="0.25">
      <c r="A1478" s="95"/>
      <c r="B1478" s="95"/>
      <c r="C1478" s="95"/>
    </row>
    <row r="1479" spans="1:3" ht="15" x14ac:dyDescent="0.25">
      <c r="A1479" s="95"/>
      <c r="B1479" s="95"/>
      <c r="C1479" s="95"/>
    </row>
    <row r="1480" spans="1:3" ht="15" x14ac:dyDescent="0.25">
      <c r="A1480" s="95"/>
      <c r="B1480" s="95"/>
      <c r="C1480" s="95"/>
    </row>
    <row r="1481" spans="1:3" ht="15" x14ac:dyDescent="0.25">
      <c r="A1481" s="95"/>
      <c r="B1481" s="95"/>
      <c r="C1481" s="95"/>
    </row>
    <row r="1482" spans="1:3" ht="15" x14ac:dyDescent="0.25">
      <c r="A1482" s="95"/>
      <c r="B1482" s="95"/>
      <c r="C1482" s="95"/>
    </row>
    <row r="1483" spans="1:3" ht="15" x14ac:dyDescent="0.25">
      <c r="A1483" s="95"/>
      <c r="B1483" s="95"/>
      <c r="C1483" s="95"/>
    </row>
    <row r="1484" spans="1:3" ht="15" x14ac:dyDescent="0.25">
      <c r="A1484" s="95"/>
      <c r="B1484" s="95"/>
      <c r="C1484" s="95"/>
    </row>
    <row r="1485" spans="1:3" ht="15" x14ac:dyDescent="0.25">
      <c r="A1485" s="95"/>
      <c r="B1485" s="95"/>
      <c r="C1485" s="95"/>
    </row>
    <row r="1486" spans="1:3" ht="15" x14ac:dyDescent="0.25">
      <c r="A1486" s="95"/>
      <c r="B1486" s="95"/>
      <c r="C1486" s="95"/>
    </row>
    <row r="1487" spans="1:3" ht="15" x14ac:dyDescent="0.25">
      <c r="A1487" s="95"/>
      <c r="B1487" s="95"/>
      <c r="C1487" s="95"/>
    </row>
    <row r="1488" spans="1:3" ht="15" x14ac:dyDescent="0.25">
      <c r="A1488" s="95"/>
      <c r="B1488" s="95"/>
      <c r="C1488" s="95"/>
    </row>
    <row r="1489" spans="1:3" ht="15" x14ac:dyDescent="0.25">
      <c r="A1489" s="95"/>
      <c r="B1489" s="95"/>
      <c r="C1489" s="95"/>
    </row>
    <row r="1490" spans="1:3" ht="15" x14ac:dyDescent="0.25">
      <c r="A1490" s="95"/>
      <c r="B1490" s="95"/>
      <c r="C1490" s="95"/>
    </row>
    <row r="1491" spans="1:3" ht="15" x14ac:dyDescent="0.25">
      <c r="A1491" s="95"/>
      <c r="B1491" s="95"/>
      <c r="C1491" s="95"/>
    </row>
    <row r="1492" spans="1:3" ht="15" x14ac:dyDescent="0.25">
      <c r="A1492" s="95"/>
      <c r="B1492" s="95"/>
      <c r="C1492" s="95"/>
    </row>
    <row r="1493" spans="1:3" ht="15" x14ac:dyDescent="0.25">
      <c r="A1493" s="95"/>
      <c r="B1493" s="95"/>
      <c r="C1493" s="95"/>
    </row>
    <row r="1494" spans="1:3" ht="15" x14ac:dyDescent="0.25">
      <c r="A1494" s="95"/>
      <c r="B1494" s="95"/>
      <c r="C1494" s="95"/>
    </row>
    <row r="1495" spans="1:3" ht="15" x14ac:dyDescent="0.25">
      <c r="A1495" s="95"/>
      <c r="B1495" s="95"/>
      <c r="C1495" s="95"/>
    </row>
    <row r="1496" spans="1:3" ht="15" x14ac:dyDescent="0.25">
      <c r="A1496" s="95"/>
      <c r="B1496" s="95"/>
      <c r="C1496" s="95"/>
    </row>
    <row r="1497" spans="1:3" ht="15" x14ac:dyDescent="0.25">
      <c r="A1497" s="95"/>
      <c r="B1497" s="95"/>
      <c r="C1497" s="95"/>
    </row>
    <row r="1498" spans="1:3" ht="15" x14ac:dyDescent="0.25">
      <c r="A1498" s="95"/>
      <c r="B1498" s="95"/>
      <c r="C1498" s="95"/>
    </row>
    <row r="1499" spans="1:3" ht="15" x14ac:dyDescent="0.25">
      <c r="A1499" s="95"/>
      <c r="B1499" s="95"/>
      <c r="C1499" s="95"/>
    </row>
    <row r="1500" spans="1:3" ht="15" x14ac:dyDescent="0.25">
      <c r="A1500" s="95"/>
      <c r="B1500" s="95"/>
      <c r="C1500" s="95"/>
    </row>
    <row r="1501" spans="1:3" ht="15" x14ac:dyDescent="0.25">
      <c r="A1501" s="95"/>
      <c r="B1501" s="95"/>
      <c r="C1501" s="95"/>
    </row>
    <row r="1502" spans="1:3" ht="15" x14ac:dyDescent="0.25">
      <c r="A1502" s="95"/>
      <c r="B1502" s="95"/>
      <c r="C1502" s="95"/>
    </row>
    <row r="1503" spans="1:3" ht="15" x14ac:dyDescent="0.25">
      <c r="A1503" s="95"/>
      <c r="B1503" s="95"/>
      <c r="C1503" s="95"/>
    </row>
    <row r="1504" spans="1:3" ht="15" x14ac:dyDescent="0.25">
      <c r="A1504" s="95"/>
      <c r="B1504" s="95"/>
      <c r="C1504" s="95"/>
    </row>
    <row r="1505" spans="1:3" ht="15" x14ac:dyDescent="0.25">
      <c r="A1505" s="95"/>
      <c r="B1505" s="95"/>
      <c r="C1505" s="95"/>
    </row>
    <row r="1506" spans="1:3" ht="15" x14ac:dyDescent="0.25">
      <c r="A1506" s="95"/>
      <c r="B1506" s="95"/>
      <c r="C1506" s="95"/>
    </row>
    <row r="1507" spans="1:3" ht="15" x14ac:dyDescent="0.25">
      <c r="A1507" s="95"/>
      <c r="B1507" s="95"/>
      <c r="C1507" s="95"/>
    </row>
    <row r="1508" spans="1:3" ht="15" x14ac:dyDescent="0.25">
      <c r="A1508" s="95"/>
      <c r="B1508" s="95"/>
      <c r="C1508" s="95"/>
    </row>
    <row r="1509" spans="1:3" ht="15" x14ac:dyDescent="0.25">
      <c r="A1509" s="95"/>
      <c r="B1509" s="95"/>
      <c r="C1509" s="95"/>
    </row>
    <row r="1510" spans="1:3" ht="15" x14ac:dyDescent="0.25">
      <c r="A1510" s="95"/>
      <c r="B1510" s="95"/>
      <c r="C1510" s="95"/>
    </row>
    <row r="1511" spans="1:3" ht="15" x14ac:dyDescent="0.25">
      <c r="A1511" s="95"/>
      <c r="B1511" s="95"/>
      <c r="C1511" s="95"/>
    </row>
    <row r="1512" spans="1:3" ht="15" x14ac:dyDescent="0.25">
      <c r="A1512" s="95"/>
      <c r="B1512" s="95"/>
      <c r="C1512" s="95"/>
    </row>
    <row r="1513" spans="1:3" ht="15" x14ac:dyDescent="0.25">
      <c r="A1513" s="95"/>
      <c r="B1513" s="95"/>
      <c r="C1513" s="95"/>
    </row>
    <row r="1514" spans="1:3" ht="15" x14ac:dyDescent="0.25">
      <c r="A1514" s="95"/>
      <c r="B1514" s="95"/>
      <c r="C1514" s="95"/>
    </row>
    <row r="1515" spans="1:3" ht="15" x14ac:dyDescent="0.25">
      <c r="A1515" s="95"/>
      <c r="B1515" s="95"/>
      <c r="C1515" s="95"/>
    </row>
    <row r="1516" spans="1:3" ht="15" x14ac:dyDescent="0.25">
      <c r="A1516" s="95"/>
      <c r="B1516" s="95"/>
      <c r="C1516" s="95"/>
    </row>
    <row r="1517" spans="1:3" ht="15" x14ac:dyDescent="0.25">
      <c r="A1517" s="95"/>
      <c r="B1517" s="95"/>
      <c r="C1517" s="95"/>
    </row>
    <row r="1518" spans="1:3" ht="15" x14ac:dyDescent="0.25">
      <c r="A1518" s="95"/>
      <c r="B1518" s="95"/>
      <c r="C1518" s="95"/>
    </row>
    <row r="1519" spans="1:3" ht="15" x14ac:dyDescent="0.25">
      <c r="A1519" s="95"/>
      <c r="B1519" s="95"/>
      <c r="C1519" s="95"/>
    </row>
    <row r="1520" spans="1:3" ht="15" x14ac:dyDescent="0.25">
      <c r="A1520" s="95"/>
      <c r="B1520" s="95"/>
      <c r="C1520" s="95"/>
    </row>
    <row r="1521" spans="1:3" ht="15" x14ac:dyDescent="0.25">
      <c r="A1521" s="95"/>
      <c r="B1521" s="95"/>
      <c r="C1521" s="95"/>
    </row>
    <row r="1522" spans="1:3" ht="15" x14ac:dyDescent="0.25">
      <c r="A1522" s="95"/>
      <c r="B1522" s="95"/>
      <c r="C1522" s="95"/>
    </row>
    <row r="1523" spans="1:3" ht="15" x14ac:dyDescent="0.25">
      <c r="A1523" s="95"/>
      <c r="B1523" s="95"/>
      <c r="C1523" s="95"/>
    </row>
    <row r="1524" spans="1:3" ht="15" x14ac:dyDescent="0.25">
      <c r="A1524" s="95"/>
      <c r="B1524" s="95"/>
      <c r="C1524" s="95"/>
    </row>
    <row r="1525" spans="1:3" ht="15" x14ac:dyDescent="0.25">
      <c r="A1525" s="95"/>
      <c r="B1525" s="95"/>
      <c r="C1525" s="95"/>
    </row>
    <row r="1526" spans="1:3" ht="15" x14ac:dyDescent="0.25">
      <c r="A1526" s="95"/>
      <c r="B1526" s="95"/>
      <c r="C1526" s="95"/>
    </row>
    <row r="1527" spans="1:3" ht="15" x14ac:dyDescent="0.25">
      <c r="A1527" s="95"/>
      <c r="B1527" s="95"/>
      <c r="C1527" s="95"/>
    </row>
    <row r="1528" spans="1:3" ht="15" x14ac:dyDescent="0.25">
      <c r="A1528" s="95"/>
      <c r="B1528" s="95"/>
      <c r="C1528" s="95"/>
    </row>
    <row r="1529" spans="1:3" ht="15" x14ac:dyDescent="0.25">
      <c r="A1529" s="95"/>
      <c r="B1529" s="95"/>
      <c r="C1529" s="95"/>
    </row>
    <row r="1530" spans="1:3" ht="15" x14ac:dyDescent="0.25">
      <c r="A1530" s="95"/>
      <c r="B1530" s="95"/>
      <c r="C1530" s="95"/>
    </row>
    <row r="1531" spans="1:3" ht="15" x14ac:dyDescent="0.25">
      <c r="A1531" s="95"/>
      <c r="B1531" s="95"/>
      <c r="C1531" s="95"/>
    </row>
    <row r="1532" spans="1:3" ht="15" x14ac:dyDescent="0.25">
      <c r="A1532" s="95"/>
      <c r="B1532" s="95"/>
      <c r="C1532" s="95"/>
    </row>
    <row r="1533" spans="1:3" ht="15" x14ac:dyDescent="0.25">
      <c r="A1533" s="95"/>
      <c r="B1533" s="95"/>
      <c r="C1533" s="95"/>
    </row>
    <row r="1534" spans="1:3" ht="15" x14ac:dyDescent="0.25">
      <c r="A1534" s="95"/>
      <c r="B1534" s="95"/>
      <c r="C1534" s="95"/>
    </row>
    <row r="1535" spans="1:3" ht="15" x14ac:dyDescent="0.25">
      <c r="A1535" s="95"/>
      <c r="B1535" s="95"/>
      <c r="C1535" s="95"/>
    </row>
    <row r="1536" spans="1:3" ht="15" x14ac:dyDescent="0.25">
      <c r="A1536" s="95"/>
      <c r="B1536" s="95"/>
      <c r="C1536" s="95"/>
    </row>
    <row r="1537" spans="1:3" ht="15" x14ac:dyDescent="0.25">
      <c r="A1537" s="95"/>
      <c r="B1537" s="95"/>
      <c r="C1537" s="95"/>
    </row>
    <row r="1538" spans="1:3" ht="15" x14ac:dyDescent="0.25">
      <c r="A1538" s="95"/>
      <c r="B1538" s="95"/>
      <c r="C1538" s="95"/>
    </row>
    <row r="1539" spans="1:3" ht="15" x14ac:dyDescent="0.25">
      <c r="A1539" s="95"/>
      <c r="B1539" s="95"/>
      <c r="C1539" s="95"/>
    </row>
    <row r="1540" spans="1:3" ht="15" x14ac:dyDescent="0.25">
      <c r="A1540" s="95"/>
      <c r="B1540" s="95"/>
      <c r="C1540" s="95"/>
    </row>
    <row r="1541" spans="1:3" ht="15" x14ac:dyDescent="0.25">
      <c r="A1541" s="95"/>
      <c r="B1541" s="95"/>
      <c r="C1541" s="95"/>
    </row>
    <row r="1542" spans="1:3" ht="15" x14ac:dyDescent="0.25">
      <c r="A1542" s="95"/>
      <c r="B1542" s="95"/>
      <c r="C1542" s="95"/>
    </row>
    <row r="1543" spans="1:3" ht="15" x14ac:dyDescent="0.25">
      <c r="A1543" s="95"/>
      <c r="B1543" s="95"/>
      <c r="C1543" s="95"/>
    </row>
    <row r="1544" spans="1:3" ht="15" x14ac:dyDescent="0.25">
      <c r="A1544" s="95"/>
      <c r="B1544" s="95"/>
      <c r="C1544" s="95"/>
    </row>
    <row r="1545" spans="1:3" ht="15" x14ac:dyDescent="0.25">
      <c r="A1545" s="95"/>
      <c r="B1545" s="95"/>
      <c r="C1545" s="95"/>
    </row>
    <row r="1546" spans="1:3" ht="15" x14ac:dyDescent="0.25">
      <c r="A1546" s="95"/>
      <c r="B1546" s="95"/>
      <c r="C1546" s="95"/>
    </row>
    <row r="1547" spans="1:3" ht="15" x14ac:dyDescent="0.25">
      <c r="A1547" s="95"/>
      <c r="B1547" s="95"/>
      <c r="C1547" s="95"/>
    </row>
    <row r="1548" spans="1:3" ht="15" x14ac:dyDescent="0.25">
      <c r="A1548" s="95"/>
      <c r="B1548" s="95"/>
      <c r="C1548" s="95"/>
    </row>
    <row r="1549" spans="1:3" ht="15" x14ac:dyDescent="0.25">
      <c r="A1549" s="95"/>
      <c r="B1549" s="95"/>
      <c r="C1549" s="95"/>
    </row>
    <row r="1550" spans="1:3" ht="15" x14ac:dyDescent="0.25">
      <c r="A1550" s="95"/>
      <c r="B1550" s="95"/>
      <c r="C1550" s="95"/>
    </row>
    <row r="1551" spans="1:3" ht="15" x14ac:dyDescent="0.25">
      <c r="A1551" s="95"/>
      <c r="B1551" s="95"/>
      <c r="C1551" s="95"/>
    </row>
    <row r="1552" spans="1:3" ht="15" x14ac:dyDescent="0.25">
      <c r="A1552" s="95"/>
      <c r="B1552" s="95"/>
      <c r="C1552" s="95"/>
    </row>
    <row r="1553" spans="1:3" ht="15" x14ac:dyDescent="0.25">
      <c r="A1553" s="95"/>
      <c r="B1553" s="95"/>
      <c r="C1553" s="95"/>
    </row>
    <row r="1554" spans="1:3" ht="15" x14ac:dyDescent="0.25">
      <c r="A1554" s="95"/>
      <c r="B1554" s="95"/>
      <c r="C1554" s="95"/>
    </row>
    <row r="1555" spans="1:3" ht="15" x14ac:dyDescent="0.25">
      <c r="A1555" s="95"/>
      <c r="B1555" s="95"/>
      <c r="C1555" s="95"/>
    </row>
    <row r="1556" spans="1:3" ht="15" x14ac:dyDescent="0.25">
      <c r="A1556" s="95"/>
      <c r="B1556" s="95"/>
      <c r="C1556" s="95"/>
    </row>
    <row r="1557" spans="1:3" ht="15" x14ac:dyDescent="0.25">
      <c r="A1557" s="95"/>
      <c r="B1557" s="95"/>
      <c r="C1557" s="95"/>
    </row>
    <row r="1558" spans="1:3" ht="15" x14ac:dyDescent="0.25">
      <c r="A1558" s="95"/>
      <c r="B1558" s="95"/>
      <c r="C1558" s="95"/>
    </row>
    <row r="1559" spans="1:3" ht="15" x14ac:dyDescent="0.25">
      <c r="A1559" s="95"/>
      <c r="B1559" s="95"/>
      <c r="C1559" s="95"/>
    </row>
    <row r="1560" spans="1:3" ht="15" x14ac:dyDescent="0.25">
      <c r="A1560" s="95"/>
      <c r="B1560" s="95"/>
      <c r="C1560" s="95"/>
    </row>
    <row r="1561" spans="1:3" ht="15" x14ac:dyDescent="0.25">
      <c r="A1561" s="95"/>
      <c r="B1561" s="95"/>
      <c r="C1561" s="95"/>
    </row>
    <row r="1562" spans="1:3" ht="15" x14ac:dyDescent="0.25">
      <c r="A1562" s="95"/>
      <c r="B1562" s="95"/>
      <c r="C1562" s="95"/>
    </row>
    <row r="1563" spans="1:3" ht="15" x14ac:dyDescent="0.25">
      <c r="A1563" s="95"/>
      <c r="B1563" s="95"/>
      <c r="C1563" s="95"/>
    </row>
    <row r="1564" spans="1:3" ht="15" x14ac:dyDescent="0.25">
      <c r="A1564" s="95"/>
      <c r="B1564" s="95"/>
      <c r="C1564" s="95"/>
    </row>
    <row r="1565" spans="1:3" ht="15" x14ac:dyDescent="0.25">
      <c r="A1565" s="95"/>
      <c r="B1565" s="95"/>
      <c r="C1565" s="95"/>
    </row>
    <row r="1566" spans="1:3" ht="15" x14ac:dyDescent="0.25">
      <c r="A1566" s="95"/>
      <c r="B1566" s="95"/>
      <c r="C1566" s="95"/>
    </row>
    <row r="1567" spans="1:3" ht="15" x14ac:dyDescent="0.25">
      <c r="A1567" s="95"/>
      <c r="B1567" s="95"/>
      <c r="C1567" s="95"/>
    </row>
    <row r="1568" spans="1:3" ht="15" x14ac:dyDescent="0.25">
      <c r="A1568" s="95"/>
      <c r="B1568" s="95"/>
      <c r="C1568" s="95"/>
    </row>
    <row r="1569" spans="1:3" ht="15" x14ac:dyDescent="0.25">
      <c r="A1569" s="95"/>
      <c r="B1569" s="95"/>
      <c r="C1569" s="95"/>
    </row>
    <row r="1570" spans="1:3" ht="15" x14ac:dyDescent="0.25">
      <c r="A1570" s="95"/>
      <c r="B1570" s="95"/>
      <c r="C1570" s="95"/>
    </row>
    <row r="1571" spans="1:3" ht="15" x14ac:dyDescent="0.25">
      <c r="A1571" s="95"/>
      <c r="B1571" s="95"/>
      <c r="C1571" s="95"/>
    </row>
    <row r="1572" spans="1:3" ht="15" x14ac:dyDescent="0.25">
      <c r="A1572" s="95"/>
      <c r="B1572" s="95"/>
      <c r="C1572" s="95"/>
    </row>
    <row r="1573" spans="1:3" ht="15" x14ac:dyDescent="0.25">
      <c r="A1573" s="95"/>
      <c r="B1573" s="95"/>
      <c r="C1573" s="95"/>
    </row>
    <row r="1574" spans="1:3" ht="15" x14ac:dyDescent="0.25">
      <c r="A1574" s="95"/>
      <c r="B1574" s="95"/>
      <c r="C1574" s="95"/>
    </row>
    <row r="1575" spans="1:3" ht="15" x14ac:dyDescent="0.25">
      <c r="A1575" s="95"/>
      <c r="B1575" s="95"/>
      <c r="C1575" s="95"/>
    </row>
    <row r="1576" spans="1:3" ht="15" x14ac:dyDescent="0.25">
      <c r="A1576" s="95"/>
      <c r="B1576" s="95"/>
      <c r="C1576" s="95"/>
    </row>
    <row r="1577" spans="1:3" ht="15" x14ac:dyDescent="0.25">
      <c r="A1577" s="95"/>
      <c r="B1577" s="95"/>
      <c r="C1577" s="95"/>
    </row>
    <row r="1578" spans="1:3" ht="15" x14ac:dyDescent="0.25">
      <c r="A1578" s="95"/>
      <c r="B1578" s="95"/>
      <c r="C1578" s="95"/>
    </row>
    <row r="1579" spans="1:3" ht="15" x14ac:dyDescent="0.25">
      <c r="A1579" s="95"/>
      <c r="B1579" s="95"/>
      <c r="C1579" s="95"/>
    </row>
    <row r="1580" spans="1:3" ht="15" x14ac:dyDescent="0.25">
      <c r="A1580" s="95"/>
      <c r="B1580" s="95"/>
      <c r="C1580" s="95"/>
    </row>
    <row r="1581" spans="1:3" ht="15" x14ac:dyDescent="0.25">
      <c r="A1581" s="95"/>
      <c r="B1581" s="95"/>
      <c r="C1581" s="95"/>
    </row>
    <row r="1582" spans="1:3" ht="15" x14ac:dyDescent="0.25">
      <c r="A1582" s="95"/>
      <c r="B1582" s="95"/>
      <c r="C1582" s="95"/>
    </row>
    <row r="1583" spans="1:3" ht="15" x14ac:dyDescent="0.25">
      <c r="A1583" s="95"/>
      <c r="B1583" s="95"/>
      <c r="C1583" s="95"/>
    </row>
    <row r="1584" spans="1:3" ht="15" x14ac:dyDescent="0.25">
      <c r="A1584" s="95"/>
      <c r="B1584" s="95"/>
      <c r="C1584" s="95"/>
    </row>
    <row r="1585" spans="1:3" ht="15" x14ac:dyDescent="0.25">
      <c r="A1585" s="95"/>
      <c r="B1585" s="95"/>
      <c r="C1585" s="95"/>
    </row>
    <row r="1586" spans="1:3" ht="15" x14ac:dyDescent="0.25">
      <c r="A1586" s="95"/>
      <c r="B1586" s="95"/>
      <c r="C1586" s="95"/>
    </row>
    <row r="1587" spans="1:3" ht="15" x14ac:dyDescent="0.25">
      <c r="A1587" s="95"/>
      <c r="B1587" s="95"/>
      <c r="C1587" s="95"/>
    </row>
    <row r="1588" spans="1:3" ht="15" x14ac:dyDescent="0.25">
      <c r="A1588" s="95"/>
      <c r="B1588" s="95"/>
      <c r="C1588" s="95"/>
    </row>
    <row r="1589" spans="1:3" ht="15" x14ac:dyDescent="0.25">
      <c r="A1589" s="95"/>
      <c r="B1589" s="95"/>
      <c r="C1589" s="95"/>
    </row>
    <row r="1590" spans="1:3" ht="15" x14ac:dyDescent="0.25">
      <c r="A1590" s="95"/>
      <c r="B1590" s="95"/>
      <c r="C1590" s="95"/>
    </row>
    <row r="1591" spans="1:3" ht="15" x14ac:dyDescent="0.25">
      <c r="A1591" s="95"/>
      <c r="B1591" s="95"/>
      <c r="C1591" s="95"/>
    </row>
    <row r="1592" spans="1:3" ht="15" x14ac:dyDescent="0.25">
      <c r="A1592" s="95"/>
      <c r="B1592" s="95"/>
      <c r="C1592" s="95"/>
    </row>
    <row r="1593" spans="1:3" ht="15" x14ac:dyDescent="0.25">
      <c r="A1593" s="95"/>
      <c r="B1593" s="95"/>
      <c r="C1593" s="95"/>
    </row>
    <row r="1594" spans="1:3" ht="15" x14ac:dyDescent="0.25">
      <c r="A1594" s="95"/>
      <c r="B1594" s="95"/>
      <c r="C1594" s="95"/>
    </row>
    <row r="1595" spans="1:3" ht="15" x14ac:dyDescent="0.25">
      <c r="A1595" s="95"/>
      <c r="B1595" s="95"/>
      <c r="C1595" s="95"/>
    </row>
    <row r="1596" spans="1:3" ht="15" x14ac:dyDescent="0.25">
      <c r="A1596" s="95"/>
      <c r="B1596" s="95"/>
      <c r="C1596" s="95"/>
    </row>
    <row r="1597" spans="1:3" ht="15" x14ac:dyDescent="0.25">
      <c r="A1597" s="95"/>
      <c r="B1597" s="95"/>
      <c r="C1597" s="95"/>
    </row>
    <row r="1598" spans="1:3" ht="15" x14ac:dyDescent="0.25">
      <c r="A1598" s="95"/>
      <c r="B1598" s="95"/>
      <c r="C1598" s="95"/>
    </row>
    <row r="1599" spans="1:3" ht="15" x14ac:dyDescent="0.25">
      <c r="A1599" s="95"/>
      <c r="B1599" s="95"/>
      <c r="C1599" s="95"/>
    </row>
    <row r="1600" spans="1:3" ht="15" x14ac:dyDescent="0.25">
      <c r="A1600" s="95"/>
      <c r="B1600" s="95"/>
      <c r="C1600" s="95"/>
    </row>
    <row r="1601" spans="1:3" ht="15" x14ac:dyDescent="0.25">
      <c r="A1601" s="95"/>
      <c r="B1601" s="95"/>
      <c r="C1601" s="95"/>
    </row>
    <row r="1602" spans="1:3" ht="15" x14ac:dyDescent="0.25">
      <c r="A1602" s="95"/>
      <c r="B1602" s="95"/>
      <c r="C1602" s="95"/>
    </row>
    <row r="1603" spans="1:3" ht="15" x14ac:dyDescent="0.25">
      <c r="A1603" s="95"/>
      <c r="B1603" s="95"/>
      <c r="C1603" s="95"/>
    </row>
    <row r="1604" spans="1:3" ht="15" x14ac:dyDescent="0.25">
      <c r="A1604" s="95"/>
      <c r="B1604" s="95"/>
      <c r="C1604" s="95"/>
    </row>
    <row r="1605" spans="1:3" ht="15" x14ac:dyDescent="0.25">
      <c r="A1605" s="95"/>
      <c r="B1605" s="95"/>
      <c r="C1605" s="95"/>
    </row>
    <row r="1606" spans="1:3" ht="15" x14ac:dyDescent="0.25">
      <c r="A1606" s="95"/>
      <c r="B1606" s="95"/>
      <c r="C1606" s="95"/>
    </row>
    <row r="1607" spans="1:3" ht="15" x14ac:dyDescent="0.25">
      <c r="A1607" s="95"/>
      <c r="B1607" s="95"/>
      <c r="C1607" s="95"/>
    </row>
    <row r="1608" spans="1:3" ht="15" x14ac:dyDescent="0.25">
      <c r="A1608" s="95"/>
      <c r="B1608" s="95"/>
      <c r="C1608" s="95"/>
    </row>
    <row r="1609" spans="1:3" ht="15" x14ac:dyDescent="0.25">
      <c r="A1609" s="95"/>
      <c r="B1609" s="95"/>
      <c r="C1609" s="95"/>
    </row>
    <row r="1610" spans="1:3" ht="15" x14ac:dyDescent="0.25">
      <c r="A1610" s="95"/>
      <c r="B1610" s="95"/>
      <c r="C1610" s="95"/>
    </row>
    <row r="1611" spans="1:3" ht="15" x14ac:dyDescent="0.25">
      <c r="A1611" s="95"/>
      <c r="B1611" s="95"/>
      <c r="C1611" s="95"/>
    </row>
    <row r="1612" spans="1:3" ht="15" x14ac:dyDescent="0.25">
      <c r="A1612" s="95"/>
      <c r="B1612" s="95"/>
      <c r="C1612" s="95"/>
    </row>
    <row r="1613" spans="1:3" ht="15" x14ac:dyDescent="0.25">
      <c r="A1613" s="95"/>
      <c r="B1613" s="95"/>
      <c r="C1613" s="95"/>
    </row>
    <row r="1614" spans="1:3" ht="15" x14ac:dyDescent="0.25">
      <c r="A1614" s="95"/>
      <c r="B1614" s="95"/>
      <c r="C1614" s="95"/>
    </row>
    <row r="1615" spans="1:3" ht="15" x14ac:dyDescent="0.25">
      <c r="A1615" s="95"/>
      <c r="B1615" s="95"/>
      <c r="C1615" s="95"/>
    </row>
    <row r="1616" spans="1:3" ht="15" x14ac:dyDescent="0.25">
      <c r="A1616" s="95"/>
      <c r="B1616" s="95"/>
      <c r="C1616" s="95"/>
    </row>
    <row r="1617" spans="1:3" ht="15" x14ac:dyDescent="0.25">
      <c r="A1617" s="95"/>
      <c r="B1617" s="95"/>
      <c r="C1617" s="95"/>
    </row>
    <row r="1618" spans="1:3" ht="15" x14ac:dyDescent="0.25">
      <c r="A1618" s="95"/>
      <c r="B1618" s="95"/>
      <c r="C1618" s="95"/>
    </row>
    <row r="1619" spans="1:3" ht="15" x14ac:dyDescent="0.25">
      <c r="A1619" s="95"/>
      <c r="B1619" s="95"/>
      <c r="C1619" s="95"/>
    </row>
    <row r="1620" spans="1:3" ht="15" x14ac:dyDescent="0.25">
      <c r="A1620" s="95"/>
      <c r="B1620" s="95"/>
      <c r="C1620" s="95"/>
    </row>
    <row r="1621" spans="1:3" ht="15" x14ac:dyDescent="0.25">
      <c r="A1621" s="95"/>
      <c r="B1621" s="95"/>
      <c r="C1621" s="95"/>
    </row>
    <row r="1622" spans="1:3" ht="15" x14ac:dyDescent="0.25">
      <c r="A1622" s="95"/>
      <c r="B1622" s="95"/>
      <c r="C1622" s="95"/>
    </row>
    <row r="1623" spans="1:3" ht="15" x14ac:dyDescent="0.25">
      <c r="A1623" s="95"/>
      <c r="B1623" s="95"/>
      <c r="C1623" s="95"/>
    </row>
    <row r="1624" spans="1:3" ht="15" x14ac:dyDescent="0.25">
      <c r="A1624" s="95"/>
      <c r="B1624" s="95"/>
      <c r="C1624" s="95"/>
    </row>
    <row r="1625" spans="1:3" ht="15" x14ac:dyDescent="0.25">
      <c r="A1625" s="95"/>
      <c r="B1625" s="95"/>
      <c r="C1625" s="95"/>
    </row>
    <row r="1626" spans="1:3" ht="15" x14ac:dyDescent="0.25">
      <c r="A1626" s="95"/>
      <c r="B1626" s="95"/>
      <c r="C1626" s="95"/>
    </row>
    <row r="1627" spans="1:3" ht="15" x14ac:dyDescent="0.25">
      <c r="A1627" s="95"/>
      <c r="B1627" s="95"/>
      <c r="C1627" s="95"/>
    </row>
    <row r="1628" spans="1:3" ht="15" x14ac:dyDescent="0.25">
      <c r="A1628" s="95"/>
      <c r="B1628" s="95"/>
      <c r="C1628" s="95"/>
    </row>
    <row r="1629" spans="1:3" ht="15" x14ac:dyDescent="0.25">
      <c r="A1629" s="95"/>
      <c r="B1629" s="95"/>
      <c r="C1629" s="95"/>
    </row>
    <row r="1630" spans="1:3" ht="15" x14ac:dyDescent="0.25">
      <c r="A1630" s="95"/>
      <c r="B1630" s="95"/>
      <c r="C1630" s="95"/>
    </row>
    <row r="1631" spans="1:3" ht="15" x14ac:dyDescent="0.25">
      <c r="A1631" s="95"/>
      <c r="B1631" s="95"/>
      <c r="C1631" s="95"/>
    </row>
    <row r="1632" spans="1:3" ht="15" x14ac:dyDescent="0.25">
      <c r="A1632" s="95"/>
      <c r="B1632" s="95"/>
      <c r="C1632" s="95"/>
    </row>
    <row r="1633" spans="1:3" ht="15" x14ac:dyDescent="0.25">
      <c r="A1633" s="95"/>
      <c r="B1633" s="95"/>
      <c r="C1633" s="95"/>
    </row>
    <row r="1634" spans="1:3" ht="15" x14ac:dyDescent="0.25">
      <c r="A1634" s="95"/>
      <c r="B1634" s="95"/>
      <c r="C1634" s="95"/>
    </row>
    <row r="1635" spans="1:3" ht="15" x14ac:dyDescent="0.25">
      <c r="A1635" s="95"/>
      <c r="B1635" s="95"/>
      <c r="C1635" s="95"/>
    </row>
    <row r="1636" spans="1:3" ht="15" x14ac:dyDescent="0.25">
      <c r="A1636" s="95"/>
      <c r="B1636" s="95"/>
      <c r="C1636" s="95"/>
    </row>
    <row r="1637" spans="1:3" ht="15" x14ac:dyDescent="0.25">
      <c r="A1637" s="95"/>
      <c r="B1637" s="95"/>
      <c r="C1637" s="95"/>
    </row>
    <row r="1638" spans="1:3" ht="15" x14ac:dyDescent="0.25">
      <c r="A1638" s="95"/>
      <c r="B1638" s="95"/>
      <c r="C1638" s="95"/>
    </row>
    <row r="1639" spans="1:3" ht="15" x14ac:dyDescent="0.25">
      <c r="A1639" s="95"/>
      <c r="B1639" s="95"/>
      <c r="C1639" s="95"/>
    </row>
    <row r="1640" spans="1:3" ht="15" x14ac:dyDescent="0.25">
      <c r="A1640" s="95"/>
      <c r="B1640" s="95"/>
      <c r="C1640" s="95"/>
    </row>
    <row r="1641" spans="1:3" ht="15" x14ac:dyDescent="0.25">
      <c r="A1641" s="95"/>
      <c r="B1641" s="95"/>
      <c r="C1641" s="95"/>
    </row>
    <row r="1642" spans="1:3" ht="15" x14ac:dyDescent="0.25">
      <c r="A1642" s="95"/>
      <c r="B1642" s="95"/>
      <c r="C1642" s="95"/>
    </row>
    <row r="1643" spans="1:3" ht="15" x14ac:dyDescent="0.25">
      <c r="A1643" s="95"/>
      <c r="B1643" s="95"/>
      <c r="C1643" s="95"/>
    </row>
    <row r="1644" spans="1:3" ht="15" x14ac:dyDescent="0.25">
      <c r="A1644" s="95"/>
      <c r="B1644" s="95"/>
      <c r="C1644" s="95"/>
    </row>
    <row r="1645" spans="1:3" ht="15" x14ac:dyDescent="0.25">
      <c r="A1645" s="95"/>
      <c r="B1645" s="95"/>
      <c r="C1645" s="95"/>
    </row>
    <row r="1646" spans="1:3" ht="15" x14ac:dyDescent="0.25">
      <c r="A1646" s="95"/>
      <c r="B1646" s="95"/>
      <c r="C1646" s="95"/>
    </row>
    <row r="1647" spans="1:3" ht="15" x14ac:dyDescent="0.25">
      <c r="A1647" s="95"/>
      <c r="B1647" s="95"/>
      <c r="C1647" s="95"/>
    </row>
    <row r="1648" spans="1:3" ht="15" x14ac:dyDescent="0.25">
      <c r="A1648" s="95"/>
      <c r="B1648" s="95"/>
      <c r="C1648" s="95"/>
    </row>
    <row r="1649" spans="1:3" ht="15" x14ac:dyDescent="0.25">
      <c r="A1649" s="95"/>
      <c r="B1649" s="95"/>
      <c r="C1649" s="95"/>
    </row>
    <row r="1650" spans="1:3" ht="15" x14ac:dyDescent="0.25">
      <c r="A1650" s="95"/>
      <c r="B1650" s="95"/>
      <c r="C1650" s="95"/>
    </row>
    <row r="1651" spans="1:3" ht="15" x14ac:dyDescent="0.25">
      <c r="A1651" s="95"/>
      <c r="B1651" s="95"/>
      <c r="C1651" s="95"/>
    </row>
    <row r="1652" spans="1:3" ht="15" x14ac:dyDescent="0.25">
      <c r="A1652" s="95"/>
      <c r="B1652" s="95"/>
      <c r="C1652" s="95"/>
    </row>
    <row r="1653" spans="1:3" ht="15" x14ac:dyDescent="0.25">
      <c r="A1653" s="95"/>
      <c r="B1653" s="95"/>
      <c r="C1653" s="95"/>
    </row>
    <row r="1654" spans="1:3" ht="15" x14ac:dyDescent="0.25">
      <c r="A1654" s="95"/>
      <c r="B1654" s="95"/>
      <c r="C1654" s="95"/>
    </row>
    <row r="1655" spans="1:3" ht="15" x14ac:dyDescent="0.25">
      <c r="A1655" s="95"/>
      <c r="B1655" s="95"/>
      <c r="C1655" s="95"/>
    </row>
    <row r="1656" spans="1:3" ht="15" x14ac:dyDescent="0.25">
      <c r="A1656" s="95"/>
      <c r="B1656" s="95"/>
      <c r="C1656" s="95"/>
    </row>
    <row r="1657" spans="1:3" ht="15" x14ac:dyDescent="0.25">
      <c r="A1657" s="95"/>
      <c r="B1657" s="95"/>
      <c r="C1657" s="95"/>
    </row>
    <row r="1658" spans="1:3" ht="15" x14ac:dyDescent="0.25">
      <c r="A1658" s="95"/>
      <c r="B1658" s="95"/>
      <c r="C1658" s="95"/>
    </row>
    <row r="1659" spans="1:3" ht="15" x14ac:dyDescent="0.25">
      <c r="A1659" s="95"/>
      <c r="B1659" s="95"/>
      <c r="C1659" s="95"/>
    </row>
    <row r="1660" spans="1:3" ht="15" x14ac:dyDescent="0.25">
      <c r="A1660" s="95"/>
      <c r="B1660" s="95"/>
      <c r="C1660" s="95"/>
    </row>
    <row r="1661" spans="1:3" ht="15" x14ac:dyDescent="0.25">
      <c r="A1661" s="95"/>
      <c r="B1661" s="95"/>
      <c r="C1661" s="95"/>
    </row>
    <row r="1662" spans="1:3" ht="15" x14ac:dyDescent="0.25">
      <c r="A1662" s="95"/>
      <c r="B1662" s="95"/>
      <c r="C1662" s="95"/>
    </row>
    <row r="1663" spans="1:3" ht="15" x14ac:dyDescent="0.25">
      <c r="A1663" s="95"/>
      <c r="B1663" s="95"/>
      <c r="C1663" s="95"/>
    </row>
    <row r="1664" spans="1:3" ht="15" x14ac:dyDescent="0.25">
      <c r="A1664" s="95"/>
      <c r="B1664" s="95"/>
      <c r="C1664" s="95"/>
    </row>
    <row r="1665" spans="1:3" ht="15" x14ac:dyDescent="0.25">
      <c r="A1665" s="95"/>
      <c r="B1665" s="95"/>
      <c r="C1665" s="95"/>
    </row>
    <row r="1666" spans="1:3" ht="15" x14ac:dyDescent="0.25">
      <c r="A1666" s="95"/>
      <c r="B1666" s="95"/>
      <c r="C1666" s="95"/>
    </row>
    <row r="1667" spans="1:3" ht="15" x14ac:dyDescent="0.25">
      <c r="A1667" s="95"/>
      <c r="B1667" s="95"/>
      <c r="C1667" s="95"/>
    </row>
    <row r="1668" spans="1:3" ht="15" x14ac:dyDescent="0.25">
      <c r="A1668" s="95"/>
      <c r="B1668" s="95"/>
      <c r="C1668" s="95"/>
    </row>
    <row r="1669" spans="1:3" ht="15" x14ac:dyDescent="0.25">
      <c r="A1669" s="95"/>
      <c r="B1669" s="95"/>
      <c r="C1669" s="95"/>
    </row>
    <row r="1670" spans="1:3" ht="15" x14ac:dyDescent="0.25">
      <c r="A1670" s="95"/>
      <c r="B1670" s="95"/>
      <c r="C1670" s="95"/>
    </row>
    <row r="1671" spans="1:3" ht="15" x14ac:dyDescent="0.25">
      <c r="A1671" s="95"/>
      <c r="B1671" s="95"/>
      <c r="C1671" s="95"/>
    </row>
    <row r="1672" spans="1:3" ht="15" x14ac:dyDescent="0.25">
      <c r="A1672" s="95"/>
      <c r="B1672" s="95"/>
      <c r="C1672" s="95"/>
    </row>
    <row r="1673" spans="1:3" ht="15" x14ac:dyDescent="0.25">
      <c r="A1673" s="95"/>
      <c r="B1673" s="95"/>
      <c r="C1673" s="95"/>
    </row>
    <row r="1674" spans="1:3" ht="15" x14ac:dyDescent="0.25">
      <c r="A1674" s="95"/>
      <c r="B1674" s="95"/>
      <c r="C1674" s="95"/>
    </row>
    <row r="1675" spans="1:3" ht="15" x14ac:dyDescent="0.25">
      <c r="A1675" s="95"/>
      <c r="B1675" s="95"/>
      <c r="C1675" s="95"/>
    </row>
    <row r="1676" spans="1:3" ht="15" x14ac:dyDescent="0.25">
      <c r="A1676" s="95"/>
      <c r="B1676" s="95"/>
      <c r="C1676" s="95"/>
    </row>
    <row r="1677" spans="1:3" ht="15" x14ac:dyDescent="0.25">
      <c r="A1677" s="95"/>
      <c r="B1677" s="95"/>
      <c r="C1677" s="95"/>
    </row>
    <row r="1678" spans="1:3" ht="15" x14ac:dyDescent="0.25">
      <c r="A1678" s="95"/>
      <c r="B1678" s="95"/>
      <c r="C1678" s="95"/>
    </row>
    <row r="1679" spans="1:3" ht="15" x14ac:dyDescent="0.25">
      <c r="A1679" s="95"/>
      <c r="B1679" s="95"/>
      <c r="C1679" s="95"/>
    </row>
    <row r="1680" spans="1:3" ht="15" x14ac:dyDescent="0.25">
      <c r="A1680" s="95"/>
      <c r="B1680" s="95"/>
      <c r="C1680" s="95"/>
    </row>
    <row r="1681" spans="1:3" ht="15" x14ac:dyDescent="0.25">
      <c r="A1681" s="95"/>
      <c r="B1681" s="95"/>
      <c r="C1681" s="95"/>
    </row>
    <row r="1682" spans="1:3" ht="15" x14ac:dyDescent="0.25">
      <c r="A1682" s="95"/>
      <c r="B1682" s="95"/>
      <c r="C1682" s="95"/>
    </row>
    <row r="1683" spans="1:3" ht="15" x14ac:dyDescent="0.25">
      <c r="A1683" s="95"/>
      <c r="B1683" s="95"/>
      <c r="C1683" s="95"/>
    </row>
    <row r="1684" spans="1:3" ht="15" x14ac:dyDescent="0.25">
      <c r="A1684" s="95"/>
      <c r="B1684" s="95"/>
      <c r="C1684" s="95"/>
    </row>
    <row r="1685" spans="1:3" ht="15" x14ac:dyDescent="0.25">
      <c r="A1685" s="95"/>
      <c r="B1685" s="95"/>
      <c r="C1685" s="95"/>
    </row>
    <row r="1686" spans="1:3" ht="15" x14ac:dyDescent="0.25">
      <c r="A1686" s="95"/>
      <c r="B1686" s="95"/>
      <c r="C1686" s="95"/>
    </row>
    <row r="1687" spans="1:3" ht="15" x14ac:dyDescent="0.25">
      <c r="A1687" s="95"/>
      <c r="B1687" s="95"/>
      <c r="C1687" s="95"/>
    </row>
    <row r="1688" spans="1:3" ht="15" x14ac:dyDescent="0.25">
      <c r="A1688" s="95"/>
      <c r="B1688" s="95"/>
      <c r="C1688" s="95"/>
    </row>
    <row r="1689" spans="1:3" ht="15" x14ac:dyDescent="0.25">
      <c r="A1689" s="95"/>
      <c r="B1689" s="95"/>
      <c r="C1689" s="95"/>
    </row>
    <row r="1690" spans="1:3" ht="15" x14ac:dyDescent="0.25">
      <c r="A1690" s="95"/>
      <c r="B1690" s="95"/>
      <c r="C1690" s="95"/>
    </row>
    <row r="1691" spans="1:3" ht="15" x14ac:dyDescent="0.25">
      <c r="A1691" s="95"/>
      <c r="B1691" s="95"/>
      <c r="C1691" s="95"/>
    </row>
    <row r="1692" spans="1:3" ht="15" x14ac:dyDescent="0.25">
      <c r="A1692" s="95"/>
      <c r="B1692" s="95"/>
      <c r="C1692" s="95"/>
    </row>
    <row r="1693" spans="1:3" ht="15" x14ac:dyDescent="0.25">
      <c r="A1693" s="95"/>
      <c r="B1693" s="95"/>
      <c r="C1693" s="95"/>
    </row>
    <row r="1694" spans="1:3" ht="15" x14ac:dyDescent="0.25">
      <c r="A1694" s="95"/>
      <c r="B1694" s="95"/>
      <c r="C1694" s="95"/>
    </row>
    <row r="1695" spans="1:3" ht="15" x14ac:dyDescent="0.25">
      <c r="A1695" s="95"/>
      <c r="B1695" s="95"/>
      <c r="C1695" s="95"/>
    </row>
    <row r="1696" spans="1:3" ht="15" x14ac:dyDescent="0.25">
      <c r="A1696" s="95"/>
      <c r="B1696" s="95"/>
      <c r="C1696" s="95"/>
    </row>
    <row r="1697" spans="1:3" ht="15" x14ac:dyDescent="0.25">
      <c r="A1697" s="95"/>
      <c r="B1697" s="95"/>
      <c r="C1697" s="95"/>
    </row>
    <row r="1698" spans="1:3" ht="15" x14ac:dyDescent="0.25">
      <c r="A1698" s="95"/>
      <c r="B1698" s="95"/>
      <c r="C1698" s="95"/>
    </row>
    <row r="1699" spans="1:3" ht="15" x14ac:dyDescent="0.25">
      <c r="A1699" s="95"/>
      <c r="B1699" s="95"/>
      <c r="C1699" s="95"/>
    </row>
    <row r="1700" spans="1:3" ht="15" x14ac:dyDescent="0.25">
      <c r="A1700" s="95"/>
      <c r="B1700" s="95"/>
      <c r="C1700" s="95"/>
    </row>
    <row r="1701" spans="1:3" ht="15" x14ac:dyDescent="0.25">
      <c r="A1701" s="95"/>
      <c r="B1701" s="95"/>
      <c r="C1701" s="95"/>
    </row>
    <row r="1702" spans="1:3" ht="15" x14ac:dyDescent="0.25">
      <c r="A1702" s="95"/>
      <c r="B1702" s="95"/>
      <c r="C1702" s="95"/>
    </row>
    <row r="1703" spans="1:3" ht="15" x14ac:dyDescent="0.25">
      <c r="A1703" s="95"/>
      <c r="B1703" s="95"/>
      <c r="C1703" s="95"/>
    </row>
    <row r="1704" spans="1:3" ht="15" x14ac:dyDescent="0.25">
      <c r="A1704" s="95"/>
      <c r="B1704" s="95"/>
      <c r="C1704" s="95"/>
    </row>
    <row r="1705" spans="1:3" ht="15" x14ac:dyDescent="0.25">
      <c r="A1705" s="95"/>
      <c r="B1705" s="95"/>
      <c r="C1705" s="95"/>
    </row>
    <row r="1706" spans="1:3" ht="15" x14ac:dyDescent="0.25">
      <c r="A1706" s="95"/>
      <c r="B1706" s="95"/>
      <c r="C1706" s="95"/>
    </row>
    <row r="1707" spans="1:3" ht="15" x14ac:dyDescent="0.25">
      <c r="A1707" s="95"/>
      <c r="B1707" s="95"/>
      <c r="C1707" s="95"/>
    </row>
    <row r="1708" spans="1:3" ht="15" x14ac:dyDescent="0.25">
      <c r="A1708" s="95"/>
      <c r="B1708" s="95"/>
      <c r="C1708" s="95"/>
    </row>
    <row r="1709" spans="1:3" ht="15" x14ac:dyDescent="0.25">
      <c r="A1709" s="95"/>
      <c r="B1709" s="95"/>
      <c r="C1709" s="95"/>
    </row>
    <row r="1710" spans="1:3" ht="15" x14ac:dyDescent="0.25">
      <c r="A1710" s="95"/>
      <c r="B1710" s="95"/>
      <c r="C1710" s="95"/>
    </row>
    <row r="1711" spans="1:3" ht="15" x14ac:dyDescent="0.25">
      <c r="A1711" s="95"/>
      <c r="B1711" s="95"/>
      <c r="C1711" s="95"/>
    </row>
    <row r="1712" spans="1:3" ht="15" x14ac:dyDescent="0.25">
      <c r="A1712" s="95"/>
      <c r="B1712" s="95"/>
      <c r="C1712" s="95"/>
    </row>
    <row r="1713" spans="1:3" ht="15" x14ac:dyDescent="0.25">
      <c r="A1713" s="95"/>
      <c r="B1713" s="95"/>
      <c r="C1713" s="95"/>
    </row>
    <row r="1714" spans="1:3" ht="15" x14ac:dyDescent="0.25">
      <c r="A1714" s="95"/>
      <c r="B1714" s="95"/>
      <c r="C1714" s="95"/>
    </row>
    <row r="1715" spans="1:3" ht="15" x14ac:dyDescent="0.25">
      <c r="A1715" s="95"/>
      <c r="B1715" s="95"/>
      <c r="C1715" s="95"/>
    </row>
    <row r="1716" spans="1:3" ht="15" x14ac:dyDescent="0.25">
      <c r="A1716" s="95"/>
      <c r="B1716" s="95"/>
      <c r="C1716" s="95"/>
    </row>
    <row r="1717" spans="1:3" ht="15" x14ac:dyDescent="0.25">
      <c r="A1717" s="95"/>
      <c r="B1717" s="95"/>
      <c r="C1717" s="95"/>
    </row>
    <row r="1718" spans="1:3" ht="15" x14ac:dyDescent="0.25">
      <c r="A1718" s="95"/>
      <c r="B1718" s="95"/>
      <c r="C1718" s="95"/>
    </row>
    <row r="1719" spans="1:3" ht="15" x14ac:dyDescent="0.25">
      <c r="A1719" s="95"/>
      <c r="B1719" s="95"/>
      <c r="C1719" s="95"/>
    </row>
    <row r="1720" spans="1:3" ht="15" x14ac:dyDescent="0.25">
      <c r="A1720" s="95"/>
      <c r="B1720" s="95"/>
      <c r="C1720" s="95"/>
    </row>
    <row r="1721" spans="1:3" ht="15" x14ac:dyDescent="0.25">
      <c r="A1721" s="95"/>
      <c r="B1721" s="95"/>
      <c r="C1721" s="95"/>
    </row>
    <row r="1722" spans="1:3" ht="15" x14ac:dyDescent="0.25">
      <c r="A1722" s="95"/>
      <c r="B1722" s="95"/>
      <c r="C1722" s="95"/>
    </row>
    <row r="1723" spans="1:3" ht="15" x14ac:dyDescent="0.25">
      <c r="A1723" s="95"/>
      <c r="B1723" s="95"/>
      <c r="C1723" s="95"/>
    </row>
    <row r="1724" spans="1:3" ht="15" x14ac:dyDescent="0.25">
      <c r="A1724" s="95"/>
      <c r="B1724" s="95"/>
      <c r="C1724" s="95"/>
    </row>
    <row r="1725" spans="1:3" ht="15" x14ac:dyDescent="0.25">
      <c r="A1725" s="95"/>
      <c r="B1725" s="95"/>
      <c r="C1725" s="95"/>
    </row>
    <row r="1726" spans="1:3" ht="15" x14ac:dyDescent="0.25">
      <c r="A1726" s="95"/>
      <c r="B1726" s="95"/>
      <c r="C1726" s="95"/>
    </row>
    <row r="1727" spans="1:3" ht="15" x14ac:dyDescent="0.25">
      <c r="A1727" s="95"/>
      <c r="B1727" s="95"/>
      <c r="C1727" s="95"/>
    </row>
    <row r="1728" spans="1:3" ht="15" x14ac:dyDescent="0.25">
      <c r="A1728" s="95"/>
      <c r="B1728" s="95"/>
      <c r="C1728" s="95"/>
    </row>
    <row r="1729" spans="1:3" ht="15" x14ac:dyDescent="0.25">
      <c r="A1729" s="95"/>
      <c r="B1729" s="95"/>
      <c r="C1729" s="95"/>
    </row>
    <row r="1730" spans="1:3" ht="15" x14ac:dyDescent="0.25">
      <c r="A1730" s="95"/>
      <c r="B1730" s="95"/>
      <c r="C1730" s="95"/>
    </row>
    <row r="1731" spans="1:3" ht="15" x14ac:dyDescent="0.25">
      <c r="A1731" s="95"/>
      <c r="B1731" s="95"/>
      <c r="C1731" s="95"/>
    </row>
    <row r="1732" spans="1:3" ht="15" x14ac:dyDescent="0.25">
      <c r="A1732" s="95"/>
      <c r="B1732" s="95"/>
      <c r="C1732" s="95"/>
    </row>
    <row r="1733" spans="1:3" ht="15" x14ac:dyDescent="0.25">
      <c r="A1733" s="95"/>
      <c r="B1733" s="95"/>
      <c r="C1733" s="95"/>
    </row>
    <row r="1734" spans="1:3" ht="15" x14ac:dyDescent="0.25">
      <c r="A1734" s="95"/>
      <c r="B1734" s="95"/>
      <c r="C1734" s="95"/>
    </row>
    <row r="1735" spans="1:3" ht="15" x14ac:dyDescent="0.25">
      <c r="A1735" s="95"/>
      <c r="B1735" s="95"/>
      <c r="C1735" s="95"/>
    </row>
    <row r="1736" spans="1:3" ht="15" x14ac:dyDescent="0.25">
      <c r="A1736" s="95"/>
      <c r="B1736" s="95"/>
      <c r="C1736" s="95"/>
    </row>
    <row r="1737" spans="1:3" ht="15" x14ac:dyDescent="0.25">
      <c r="A1737" s="95"/>
      <c r="B1737" s="95"/>
      <c r="C1737" s="95"/>
    </row>
    <row r="1738" spans="1:3" ht="15" x14ac:dyDescent="0.25">
      <c r="A1738" s="95"/>
      <c r="B1738" s="95"/>
      <c r="C1738" s="95"/>
    </row>
    <row r="1739" spans="1:3" ht="15" x14ac:dyDescent="0.25">
      <c r="A1739" s="95"/>
      <c r="B1739" s="95"/>
      <c r="C1739" s="95"/>
    </row>
    <row r="1740" spans="1:3" ht="15" x14ac:dyDescent="0.25">
      <c r="A1740" s="95"/>
      <c r="B1740" s="95"/>
      <c r="C1740" s="95"/>
    </row>
    <row r="1741" spans="1:3" ht="15" x14ac:dyDescent="0.25">
      <c r="A1741" s="95"/>
      <c r="B1741" s="95"/>
      <c r="C1741" s="95"/>
    </row>
    <row r="1742" spans="1:3" ht="15" x14ac:dyDescent="0.25">
      <c r="A1742" s="95"/>
      <c r="B1742" s="95"/>
      <c r="C1742" s="95"/>
    </row>
    <row r="1743" spans="1:3" ht="15" x14ac:dyDescent="0.25">
      <c r="A1743" s="95"/>
      <c r="B1743" s="95"/>
      <c r="C1743" s="95"/>
    </row>
    <row r="1744" spans="1:3" ht="15" x14ac:dyDescent="0.25">
      <c r="A1744" s="95"/>
      <c r="B1744" s="95"/>
      <c r="C1744" s="95"/>
    </row>
    <row r="1745" spans="1:3" ht="15" x14ac:dyDescent="0.25">
      <c r="A1745" s="95"/>
      <c r="B1745" s="95"/>
      <c r="C1745" s="95"/>
    </row>
    <row r="1746" spans="1:3" ht="15" x14ac:dyDescent="0.25">
      <c r="A1746" s="95"/>
      <c r="B1746" s="95"/>
      <c r="C1746" s="95"/>
    </row>
    <row r="1747" spans="1:3" ht="15" x14ac:dyDescent="0.25">
      <c r="A1747" s="95"/>
      <c r="B1747" s="95"/>
      <c r="C1747" s="95"/>
    </row>
    <row r="1748" spans="1:3" ht="15" x14ac:dyDescent="0.25">
      <c r="A1748" s="95"/>
      <c r="B1748" s="95"/>
      <c r="C1748" s="95"/>
    </row>
    <row r="1749" spans="1:3" ht="15" x14ac:dyDescent="0.25">
      <c r="A1749" s="95"/>
      <c r="B1749" s="95"/>
      <c r="C1749" s="95"/>
    </row>
    <row r="1750" spans="1:3" ht="15" x14ac:dyDescent="0.25">
      <c r="A1750" s="95"/>
      <c r="B1750" s="95"/>
      <c r="C1750" s="95"/>
    </row>
    <row r="1751" spans="1:3" ht="15" x14ac:dyDescent="0.25">
      <c r="A1751" s="95"/>
      <c r="B1751" s="95"/>
      <c r="C1751" s="95"/>
    </row>
    <row r="1752" spans="1:3" ht="15" x14ac:dyDescent="0.25">
      <c r="A1752" s="95"/>
      <c r="B1752" s="95"/>
      <c r="C1752" s="95"/>
    </row>
    <row r="1753" spans="1:3" ht="15" x14ac:dyDescent="0.25">
      <c r="A1753" s="95"/>
      <c r="B1753" s="95"/>
      <c r="C1753" s="95"/>
    </row>
    <row r="1754" spans="1:3" ht="15" x14ac:dyDescent="0.25">
      <c r="A1754" s="95"/>
      <c r="B1754" s="95"/>
      <c r="C1754" s="95"/>
    </row>
    <row r="1755" spans="1:3" ht="15" x14ac:dyDescent="0.25">
      <c r="A1755" s="95"/>
      <c r="B1755" s="95"/>
      <c r="C1755" s="95"/>
    </row>
    <row r="1756" spans="1:3" ht="15" x14ac:dyDescent="0.25">
      <c r="A1756" s="95"/>
      <c r="B1756" s="95"/>
      <c r="C1756" s="95"/>
    </row>
    <row r="1757" spans="1:3" ht="15" x14ac:dyDescent="0.25">
      <c r="A1757" s="95"/>
      <c r="B1757" s="95"/>
      <c r="C1757" s="95"/>
    </row>
    <row r="1758" spans="1:3" ht="15" x14ac:dyDescent="0.25">
      <c r="A1758" s="95"/>
      <c r="B1758" s="95"/>
      <c r="C1758" s="95"/>
    </row>
    <row r="1759" spans="1:3" ht="15" x14ac:dyDescent="0.25">
      <c r="A1759" s="95"/>
      <c r="B1759" s="95"/>
      <c r="C1759" s="95"/>
    </row>
    <row r="1760" spans="1:3" ht="15" x14ac:dyDescent="0.25">
      <c r="A1760" s="95"/>
      <c r="B1760" s="95"/>
      <c r="C1760" s="95"/>
    </row>
    <row r="1761" spans="1:3" ht="15" x14ac:dyDescent="0.25">
      <c r="A1761" s="95"/>
      <c r="B1761" s="95"/>
      <c r="C1761" s="95"/>
    </row>
    <row r="1762" spans="1:3" ht="15" x14ac:dyDescent="0.25">
      <c r="A1762" s="95"/>
      <c r="B1762" s="95"/>
      <c r="C1762" s="95"/>
    </row>
    <row r="1763" spans="1:3" ht="15" x14ac:dyDescent="0.25">
      <c r="A1763" s="95"/>
      <c r="B1763" s="95"/>
      <c r="C1763" s="95"/>
    </row>
    <row r="1764" spans="1:3" ht="15" x14ac:dyDescent="0.25">
      <c r="A1764" s="95"/>
      <c r="B1764" s="95"/>
      <c r="C1764" s="95"/>
    </row>
    <row r="1765" spans="1:3" ht="15" x14ac:dyDescent="0.25">
      <c r="A1765" s="95"/>
      <c r="B1765" s="95"/>
      <c r="C1765" s="95"/>
    </row>
    <row r="1766" spans="1:3" ht="15" x14ac:dyDescent="0.25">
      <c r="A1766" s="95"/>
      <c r="B1766" s="95"/>
      <c r="C1766" s="95"/>
    </row>
    <row r="1767" spans="1:3" ht="15" x14ac:dyDescent="0.25">
      <c r="A1767" s="95"/>
      <c r="B1767" s="95"/>
      <c r="C1767" s="95"/>
    </row>
    <row r="1768" spans="1:3" ht="15" x14ac:dyDescent="0.25">
      <c r="A1768" s="95"/>
      <c r="B1768" s="95"/>
      <c r="C1768" s="95"/>
    </row>
    <row r="1769" spans="1:3" ht="15" x14ac:dyDescent="0.25">
      <c r="A1769" s="95"/>
      <c r="B1769" s="95"/>
      <c r="C1769" s="95"/>
    </row>
    <row r="1770" spans="1:3" ht="15" x14ac:dyDescent="0.25">
      <c r="A1770" s="95"/>
      <c r="B1770" s="95"/>
      <c r="C1770" s="95"/>
    </row>
    <row r="1771" spans="1:3" ht="15" x14ac:dyDescent="0.25">
      <c r="A1771" s="95"/>
      <c r="B1771" s="95"/>
      <c r="C1771" s="95"/>
    </row>
    <row r="1772" spans="1:3" ht="15" x14ac:dyDescent="0.25">
      <c r="A1772" s="95"/>
      <c r="B1772" s="95"/>
      <c r="C1772" s="95"/>
    </row>
    <row r="1773" spans="1:3" ht="15" x14ac:dyDescent="0.25">
      <c r="A1773" s="95"/>
      <c r="B1773" s="95"/>
      <c r="C1773" s="95"/>
    </row>
    <row r="1774" spans="1:3" ht="15" x14ac:dyDescent="0.25">
      <c r="A1774" s="95"/>
      <c r="B1774" s="95"/>
      <c r="C1774" s="95"/>
    </row>
    <row r="1775" spans="1:3" ht="15" x14ac:dyDescent="0.25">
      <c r="A1775" s="95"/>
      <c r="B1775" s="95"/>
      <c r="C1775" s="95"/>
    </row>
    <row r="1776" spans="1:3" ht="15" x14ac:dyDescent="0.25">
      <c r="A1776" s="95"/>
      <c r="B1776" s="95"/>
      <c r="C1776" s="95"/>
    </row>
    <row r="1777" spans="1:3" ht="15" x14ac:dyDescent="0.25">
      <c r="A1777" s="95"/>
      <c r="B1777" s="95"/>
      <c r="C1777" s="95"/>
    </row>
    <row r="1778" spans="1:3" ht="15" x14ac:dyDescent="0.25">
      <c r="A1778" s="95"/>
      <c r="B1778" s="95"/>
      <c r="C1778" s="95"/>
    </row>
    <row r="1779" spans="1:3" ht="15" x14ac:dyDescent="0.25">
      <c r="A1779" s="95"/>
      <c r="B1779" s="95"/>
      <c r="C1779" s="95"/>
    </row>
    <row r="1780" spans="1:3" ht="15" x14ac:dyDescent="0.25">
      <c r="A1780" s="95"/>
      <c r="B1780" s="95"/>
      <c r="C1780" s="95"/>
    </row>
    <row r="1781" spans="1:3" ht="15" x14ac:dyDescent="0.25">
      <c r="A1781" s="95"/>
      <c r="B1781" s="95"/>
      <c r="C1781" s="95"/>
    </row>
    <row r="1782" spans="1:3" ht="15" x14ac:dyDescent="0.25">
      <c r="A1782" s="95"/>
      <c r="B1782" s="95"/>
      <c r="C1782" s="95"/>
    </row>
    <row r="1783" spans="1:3" ht="15" x14ac:dyDescent="0.25">
      <c r="A1783" s="95"/>
      <c r="B1783" s="95"/>
      <c r="C1783" s="95"/>
    </row>
    <row r="1784" spans="1:3" ht="15" x14ac:dyDescent="0.25">
      <c r="A1784" s="95"/>
      <c r="B1784" s="95"/>
      <c r="C1784" s="95"/>
    </row>
    <row r="1785" spans="1:3" ht="15" x14ac:dyDescent="0.25">
      <c r="A1785" s="95"/>
      <c r="B1785" s="95"/>
      <c r="C1785" s="95"/>
    </row>
    <row r="1786" spans="1:3" ht="15" x14ac:dyDescent="0.25">
      <c r="A1786" s="95"/>
      <c r="B1786" s="95"/>
      <c r="C1786" s="95"/>
    </row>
    <row r="1787" spans="1:3" ht="15" x14ac:dyDescent="0.25">
      <c r="A1787" s="95"/>
      <c r="B1787" s="95"/>
      <c r="C1787" s="95"/>
    </row>
    <row r="1788" spans="1:3" ht="15" x14ac:dyDescent="0.25">
      <c r="A1788" s="95"/>
      <c r="B1788" s="95"/>
      <c r="C1788" s="95"/>
    </row>
    <row r="1789" spans="1:3" ht="15" x14ac:dyDescent="0.25">
      <c r="A1789" s="95"/>
      <c r="B1789" s="95"/>
      <c r="C1789" s="95"/>
    </row>
    <row r="1790" spans="1:3" ht="15" x14ac:dyDescent="0.25">
      <c r="A1790" s="95"/>
      <c r="B1790" s="95"/>
      <c r="C1790" s="95"/>
    </row>
    <row r="1791" spans="1:3" ht="15" x14ac:dyDescent="0.25">
      <c r="A1791" s="95"/>
      <c r="B1791" s="95"/>
      <c r="C1791" s="95"/>
    </row>
    <row r="1792" spans="1:3" ht="15" x14ac:dyDescent="0.25">
      <c r="A1792" s="95"/>
      <c r="B1792" s="95"/>
      <c r="C1792" s="95"/>
    </row>
    <row r="1793" spans="1:3" ht="15" x14ac:dyDescent="0.25">
      <c r="A1793" s="95"/>
      <c r="B1793" s="95"/>
      <c r="C1793" s="95"/>
    </row>
    <row r="1794" spans="1:3" ht="15" x14ac:dyDescent="0.25">
      <c r="A1794" s="95"/>
      <c r="B1794" s="95"/>
      <c r="C1794" s="95"/>
    </row>
    <row r="1795" spans="1:3" ht="15" x14ac:dyDescent="0.25">
      <c r="A1795" s="95"/>
      <c r="B1795" s="95"/>
      <c r="C1795" s="95"/>
    </row>
    <row r="1796" spans="1:3" ht="15" x14ac:dyDescent="0.25">
      <c r="A1796" s="95"/>
      <c r="B1796" s="95"/>
      <c r="C1796" s="95"/>
    </row>
    <row r="1797" spans="1:3" ht="15" x14ac:dyDescent="0.25">
      <c r="A1797" s="95"/>
      <c r="B1797" s="95"/>
      <c r="C1797" s="95"/>
    </row>
    <row r="1798" spans="1:3" ht="15" x14ac:dyDescent="0.25">
      <c r="A1798" s="95"/>
      <c r="B1798" s="95"/>
      <c r="C1798" s="95"/>
    </row>
    <row r="1799" spans="1:3" ht="15" x14ac:dyDescent="0.25">
      <c r="A1799" s="95"/>
      <c r="B1799" s="95"/>
      <c r="C1799" s="95"/>
    </row>
    <row r="1800" spans="1:3" ht="15" x14ac:dyDescent="0.25">
      <c r="A1800" s="95"/>
      <c r="B1800" s="95"/>
      <c r="C1800" s="95"/>
    </row>
    <row r="1801" spans="1:3" ht="15" x14ac:dyDescent="0.25">
      <c r="A1801" s="95"/>
      <c r="B1801" s="95"/>
      <c r="C1801" s="95"/>
    </row>
    <row r="1802" spans="1:3" ht="15" x14ac:dyDescent="0.25">
      <c r="A1802" s="95"/>
      <c r="B1802" s="95"/>
      <c r="C1802" s="95"/>
    </row>
    <row r="1803" spans="1:3" ht="15" x14ac:dyDescent="0.25">
      <c r="A1803" s="95"/>
      <c r="B1803" s="95"/>
      <c r="C1803" s="95"/>
    </row>
    <row r="1804" spans="1:3" ht="15" x14ac:dyDescent="0.25">
      <c r="A1804" s="95"/>
      <c r="B1804" s="95"/>
      <c r="C1804" s="95"/>
    </row>
    <row r="1805" spans="1:3" ht="15" x14ac:dyDescent="0.25">
      <c r="A1805" s="95"/>
      <c r="B1805" s="95"/>
      <c r="C1805" s="95"/>
    </row>
    <row r="1806" spans="1:3" ht="15" x14ac:dyDescent="0.25">
      <c r="A1806" s="95"/>
      <c r="B1806" s="95"/>
      <c r="C1806" s="95"/>
    </row>
    <row r="1807" spans="1:3" ht="15" x14ac:dyDescent="0.25">
      <c r="A1807" s="95"/>
      <c r="B1807" s="95"/>
      <c r="C1807" s="95"/>
    </row>
    <row r="1808" spans="1:3" ht="15" x14ac:dyDescent="0.25">
      <c r="A1808" s="95"/>
      <c r="B1808" s="95"/>
      <c r="C1808" s="95"/>
    </row>
    <row r="1809" spans="1:3" ht="15" x14ac:dyDescent="0.25">
      <c r="A1809" s="95"/>
      <c r="B1809" s="95"/>
      <c r="C1809" s="95"/>
    </row>
    <row r="1810" spans="1:3" ht="15" x14ac:dyDescent="0.25">
      <c r="A1810" s="95"/>
      <c r="B1810" s="95"/>
      <c r="C1810" s="95"/>
    </row>
    <row r="1811" spans="1:3" ht="15" x14ac:dyDescent="0.25">
      <c r="A1811" s="95"/>
      <c r="B1811" s="95"/>
      <c r="C1811" s="95"/>
    </row>
    <row r="1812" spans="1:3" ht="15" x14ac:dyDescent="0.25">
      <c r="A1812" s="95"/>
      <c r="B1812" s="95"/>
      <c r="C1812" s="95"/>
    </row>
    <row r="1813" spans="1:3" ht="15" x14ac:dyDescent="0.25">
      <c r="A1813" s="95"/>
      <c r="B1813" s="95"/>
      <c r="C1813" s="95"/>
    </row>
    <row r="1814" spans="1:3" ht="15" x14ac:dyDescent="0.25">
      <c r="A1814" s="95"/>
      <c r="B1814" s="95"/>
      <c r="C1814" s="95"/>
    </row>
    <row r="1815" spans="1:3" ht="15" x14ac:dyDescent="0.25">
      <c r="A1815" s="95"/>
      <c r="B1815" s="95"/>
      <c r="C1815" s="95"/>
    </row>
    <row r="1816" spans="1:3" ht="15" x14ac:dyDescent="0.25">
      <c r="A1816" s="95"/>
      <c r="B1816" s="95"/>
      <c r="C1816" s="95"/>
    </row>
    <row r="1817" spans="1:3" ht="15" x14ac:dyDescent="0.25">
      <c r="A1817" s="95"/>
      <c r="B1817" s="95"/>
      <c r="C1817" s="95"/>
    </row>
    <row r="1818" spans="1:3" ht="15" x14ac:dyDescent="0.25">
      <c r="A1818" s="95"/>
      <c r="B1818" s="95"/>
      <c r="C1818" s="95"/>
    </row>
    <row r="1819" spans="1:3" ht="15" x14ac:dyDescent="0.25">
      <c r="A1819" s="95"/>
      <c r="B1819" s="95"/>
      <c r="C1819" s="95"/>
    </row>
    <row r="1820" spans="1:3" ht="15" x14ac:dyDescent="0.25">
      <c r="A1820" s="95"/>
      <c r="B1820" s="95"/>
      <c r="C1820" s="95"/>
    </row>
    <row r="1821" spans="1:3" ht="15" x14ac:dyDescent="0.25">
      <c r="A1821" s="95"/>
      <c r="B1821" s="95"/>
      <c r="C1821" s="95"/>
    </row>
    <row r="1822" spans="1:3" ht="15" x14ac:dyDescent="0.25">
      <c r="A1822" s="95"/>
      <c r="B1822" s="95"/>
      <c r="C1822" s="95"/>
    </row>
    <row r="1823" spans="1:3" ht="15" x14ac:dyDescent="0.25">
      <c r="A1823" s="95"/>
      <c r="B1823" s="95"/>
      <c r="C1823" s="95"/>
    </row>
    <row r="1824" spans="1:3" ht="15" x14ac:dyDescent="0.25">
      <c r="A1824" s="95"/>
      <c r="B1824" s="95"/>
      <c r="C1824" s="95"/>
    </row>
    <row r="1825" spans="1:3" ht="15" x14ac:dyDescent="0.25">
      <c r="A1825" s="95"/>
      <c r="B1825" s="95"/>
      <c r="C1825" s="95"/>
    </row>
    <row r="1826" spans="1:3" ht="15" x14ac:dyDescent="0.25">
      <c r="A1826" s="95"/>
      <c r="B1826" s="95"/>
      <c r="C1826" s="95"/>
    </row>
    <row r="1827" spans="1:3" ht="15" x14ac:dyDescent="0.25">
      <c r="A1827" s="95"/>
      <c r="B1827" s="95"/>
      <c r="C1827" s="95"/>
    </row>
    <row r="1828" spans="1:3" ht="15" x14ac:dyDescent="0.25">
      <c r="A1828" s="95"/>
      <c r="B1828" s="95"/>
      <c r="C1828" s="95"/>
    </row>
    <row r="1829" spans="1:3" ht="15" x14ac:dyDescent="0.25">
      <c r="A1829" s="95"/>
      <c r="B1829" s="95"/>
      <c r="C1829" s="95"/>
    </row>
    <row r="1830" spans="1:3" ht="15" x14ac:dyDescent="0.25">
      <c r="A1830" s="95"/>
      <c r="B1830" s="95"/>
      <c r="C1830" s="95"/>
    </row>
    <row r="1831" spans="1:3" ht="15" x14ac:dyDescent="0.25">
      <c r="A1831" s="95"/>
      <c r="B1831" s="95"/>
      <c r="C1831" s="95"/>
    </row>
    <row r="1832" spans="1:3" ht="15" x14ac:dyDescent="0.25">
      <c r="A1832" s="95"/>
      <c r="B1832" s="95"/>
      <c r="C1832" s="95"/>
    </row>
    <row r="1833" spans="1:3" ht="15" x14ac:dyDescent="0.25">
      <c r="A1833" s="95"/>
      <c r="B1833" s="95"/>
      <c r="C1833" s="95"/>
    </row>
    <row r="1834" spans="1:3" ht="15" x14ac:dyDescent="0.25">
      <c r="A1834" s="95"/>
      <c r="B1834" s="95"/>
      <c r="C1834" s="95"/>
    </row>
    <row r="1835" spans="1:3" ht="15" x14ac:dyDescent="0.25">
      <c r="A1835" s="95"/>
      <c r="B1835" s="95"/>
      <c r="C1835" s="95"/>
    </row>
    <row r="1836" spans="1:3" ht="15" x14ac:dyDescent="0.25">
      <c r="A1836" s="95"/>
      <c r="B1836" s="95"/>
      <c r="C1836" s="95"/>
    </row>
    <row r="1837" spans="1:3" ht="15" x14ac:dyDescent="0.25">
      <c r="A1837" s="95"/>
      <c r="B1837" s="95"/>
      <c r="C1837" s="95"/>
    </row>
    <row r="1838" spans="1:3" ht="15" x14ac:dyDescent="0.25">
      <c r="A1838" s="95"/>
      <c r="B1838" s="95"/>
      <c r="C1838" s="95"/>
    </row>
    <row r="1839" spans="1:3" ht="15" x14ac:dyDescent="0.25">
      <c r="A1839" s="95"/>
      <c r="B1839" s="95"/>
      <c r="C1839" s="95"/>
    </row>
    <row r="1840" spans="1:3" ht="15" x14ac:dyDescent="0.25">
      <c r="A1840" s="95"/>
      <c r="B1840" s="95"/>
      <c r="C1840" s="95"/>
    </row>
    <row r="1841" spans="1:3" ht="15" x14ac:dyDescent="0.25">
      <c r="A1841" s="95"/>
      <c r="B1841" s="95"/>
      <c r="C1841" s="95"/>
    </row>
    <row r="1842" spans="1:3" ht="15" x14ac:dyDescent="0.25">
      <c r="A1842" s="95"/>
      <c r="B1842" s="95"/>
      <c r="C1842" s="95"/>
    </row>
    <row r="1843" spans="1:3" ht="15" x14ac:dyDescent="0.25">
      <c r="A1843" s="95"/>
      <c r="B1843" s="95"/>
      <c r="C1843" s="95"/>
    </row>
    <row r="1844" spans="1:3" ht="15" x14ac:dyDescent="0.25">
      <c r="A1844" s="95"/>
      <c r="B1844" s="95"/>
      <c r="C1844" s="95"/>
    </row>
    <row r="1845" spans="1:3" ht="15" x14ac:dyDescent="0.25">
      <c r="A1845" s="95"/>
      <c r="B1845" s="95"/>
      <c r="C1845" s="95"/>
    </row>
    <row r="1846" spans="1:3" ht="15" x14ac:dyDescent="0.25">
      <c r="A1846" s="95"/>
      <c r="B1846" s="95"/>
      <c r="C1846" s="95"/>
    </row>
    <row r="1847" spans="1:3" ht="15" x14ac:dyDescent="0.25">
      <c r="A1847" s="95"/>
      <c r="B1847" s="95"/>
      <c r="C1847" s="95"/>
    </row>
    <row r="1848" spans="1:3" ht="15" x14ac:dyDescent="0.25">
      <c r="A1848" s="95"/>
      <c r="B1848" s="95"/>
      <c r="C1848" s="95"/>
    </row>
    <row r="1849" spans="1:3" ht="15" x14ac:dyDescent="0.25">
      <c r="A1849" s="95"/>
      <c r="B1849" s="95"/>
      <c r="C1849" s="95"/>
    </row>
    <row r="1850" spans="1:3" ht="15" x14ac:dyDescent="0.25">
      <c r="A1850" s="95"/>
      <c r="B1850" s="95"/>
      <c r="C1850" s="95"/>
    </row>
    <row r="1851" spans="1:3" ht="15" x14ac:dyDescent="0.25">
      <c r="A1851" s="95"/>
      <c r="B1851" s="95"/>
      <c r="C1851" s="95"/>
    </row>
    <row r="1852" spans="1:3" ht="15" x14ac:dyDescent="0.25">
      <c r="A1852" s="95"/>
      <c r="B1852" s="95"/>
      <c r="C1852" s="95"/>
    </row>
    <row r="1853" spans="1:3" ht="15" x14ac:dyDescent="0.25">
      <c r="A1853" s="95"/>
      <c r="B1853" s="95"/>
      <c r="C1853" s="95"/>
    </row>
    <row r="1854" spans="1:3" ht="15" x14ac:dyDescent="0.25">
      <c r="A1854" s="95"/>
      <c r="B1854" s="95"/>
      <c r="C1854" s="95"/>
    </row>
    <row r="1855" spans="1:3" ht="15" x14ac:dyDescent="0.25">
      <c r="A1855" s="95"/>
      <c r="B1855" s="95"/>
      <c r="C1855" s="95"/>
    </row>
    <row r="1856" spans="1:3" ht="15" x14ac:dyDescent="0.25">
      <c r="A1856" s="95"/>
      <c r="B1856" s="95"/>
      <c r="C1856" s="95"/>
    </row>
    <row r="1857" spans="1:3" ht="15" x14ac:dyDescent="0.25">
      <c r="A1857" s="95"/>
      <c r="B1857" s="95"/>
      <c r="C1857" s="95"/>
    </row>
    <row r="1858" spans="1:3" ht="15" x14ac:dyDescent="0.25">
      <c r="A1858" s="95"/>
      <c r="B1858" s="95"/>
      <c r="C1858" s="95"/>
    </row>
    <row r="1859" spans="1:3" ht="15" x14ac:dyDescent="0.25">
      <c r="A1859" s="95"/>
      <c r="B1859" s="95"/>
      <c r="C1859" s="95"/>
    </row>
    <row r="1860" spans="1:3" ht="15" x14ac:dyDescent="0.25">
      <c r="A1860" s="95"/>
      <c r="B1860" s="95"/>
      <c r="C1860" s="95"/>
    </row>
    <row r="1861" spans="1:3" ht="15" x14ac:dyDescent="0.25">
      <c r="A1861" s="95"/>
      <c r="B1861" s="95"/>
      <c r="C1861" s="95"/>
    </row>
    <row r="1862" spans="1:3" ht="15" x14ac:dyDescent="0.25">
      <c r="A1862" s="95"/>
      <c r="B1862" s="95"/>
      <c r="C1862" s="95"/>
    </row>
    <row r="1863" spans="1:3" ht="15" x14ac:dyDescent="0.25">
      <c r="A1863" s="95"/>
      <c r="B1863" s="95"/>
      <c r="C1863" s="95"/>
    </row>
    <row r="1864" spans="1:3" ht="15" x14ac:dyDescent="0.25">
      <c r="A1864" s="95"/>
      <c r="B1864" s="95"/>
      <c r="C1864" s="95"/>
    </row>
    <row r="1865" spans="1:3" ht="15" x14ac:dyDescent="0.25">
      <c r="A1865" s="95"/>
      <c r="B1865" s="95"/>
      <c r="C1865" s="95"/>
    </row>
    <row r="1866" spans="1:3" ht="15" x14ac:dyDescent="0.25">
      <c r="A1866" s="95"/>
      <c r="B1866" s="95"/>
      <c r="C1866" s="95"/>
    </row>
    <row r="1867" spans="1:3" ht="15" x14ac:dyDescent="0.25">
      <c r="A1867" s="95"/>
      <c r="B1867" s="95"/>
      <c r="C1867" s="95"/>
    </row>
    <row r="1868" spans="1:3" ht="15" x14ac:dyDescent="0.25">
      <c r="A1868" s="95"/>
      <c r="B1868" s="95"/>
      <c r="C1868" s="95"/>
    </row>
    <row r="1869" spans="1:3" ht="15" x14ac:dyDescent="0.25">
      <c r="A1869" s="95"/>
      <c r="B1869" s="95"/>
      <c r="C1869" s="95"/>
    </row>
    <row r="1870" spans="1:3" ht="15" x14ac:dyDescent="0.25">
      <c r="A1870" s="95"/>
      <c r="B1870" s="95"/>
      <c r="C1870" s="95"/>
    </row>
    <row r="1871" spans="1:3" ht="15" x14ac:dyDescent="0.25">
      <c r="A1871" s="95"/>
      <c r="B1871" s="95"/>
      <c r="C1871" s="95"/>
    </row>
    <row r="1872" spans="1:3" ht="15" x14ac:dyDescent="0.25">
      <c r="A1872" s="95"/>
      <c r="B1872" s="95"/>
      <c r="C1872" s="95"/>
    </row>
    <row r="1873" spans="1:3" ht="15" x14ac:dyDescent="0.25">
      <c r="A1873" s="95"/>
      <c r="B1873" s="95"/>
      <c r="C1873" s="95"/>
    </row>
    <row r="1874" spans="1:3" ht="15" x14ac:dyDescent="0.25">
      <c r="A1874" s="95"/>
      <c r="B1874" s="95"/>
      <c r="C1874" s="95"/>
    </row>
    <row r="1875" spans="1:3" ht="15" x14ac:dyDescent="0.25">
      <c r="A1875" s="95"/>
      <c r="B1875" s="95"/>
      <c r="C1875" s="95"/>
    </row>
    <row r="1876" spans="1:3" ht="15" x14ac:dyDescent="0.25">
      <c r="A1876" s="95"/>
      <c r="B1876" s="95"/>
      <c r="C1876" s="95"/>
    </row>
    <row r="1877" spans="1:3" ht="15" x14ac:dyDescent="0.25">
      <c r="A1877" s="95"/>
      <c r="B1877" s="95"/>
      <c r="C1877" s="95"/>
    </row>
    <row r="1878" spans="1:3" ht="15" x14ac:dyDescent="0.25">
      <c r="A1878" s="95"/>
      <c r="B1878" s="95"/>
      <c r="C1878" s="95"/>
    </row>
    <row r="1879" spans="1:3" ht="15" x14ac:dyDescent="0.25">
      <c r="A1879" s="95"/>
      <c r="B1879" s="95"/>
      <c r="C1879" s="95"/>
    </row>
    <row r="1880" spans="1:3" ht="15" x14ac:dyDescent="0.25">
      <c r="A1880" s="95"/>
      <c r="B1880" s="95"/>
      <c r="C1880" s="95"/>
    </row>
    <row r="1881" spans="1:3" ht="15" x14ac:dyDescent="0.25">
      <c r="A1881" s="95"/>
      <c r="B1881" s="95"/>
      <c r="C1881" s="95"/>
    </row>
    <row r="1882" spans="1:3" ht="15" x14ac:dyDescent="0.25">
      <c r="A1882" s="95"/>
      <c r="B1882" s="95"/>
      <c r="C1882" s="95"/>
    </row>
    <row r="1883" spans="1:3" ht="15" x14ac:dyDescent="0.25">
      <c r="A1883" s="95"/>
      <c r="B1883" s="95"/>
      <c r="C1883" s="95"/>
    </row>
    <row r="1884" spans="1:3" ht="15" x14ac:dyDescent="0.25">
      <c r="A1884" s="95"/>
      <c r="B1884" s="95"/>
      <c r="C1884" s="95"/>
    </row>
    <row r="1885" spans="1:3" ht="15" x14ac:dyDescent="0.25">
      <c r="A1885" s="95"/>
      <c r="B1885" s="95"/>
      <c r="C1885" s="95"/>
    </row>
    <row r="1886" spans="1:3" ht="15" x14ac:dyDescent="0.25">
      <c r="A1886" s="95"/>
      <c r="B1886" s="95"/>
      <c r="C1886" s="95"/>
    </row>
    <row r="1887" spans="1:3" ht="15" x14ac:dyDescent="0.25">
      <c r="A1887" s="95"/>
      <c r="B1887" s="95"/>
      <c r="C1887" s="95"/>
    </row>
    <row r="1888" spans="1:3" ht="15" x14ac:dyDescent="0.25">
      <c r="A1888" s="95"/>
      <c r="B1888" s="95"/>
      <c r="C1888" s="95"/>
    </row>
    <row r="1889" spans="1:3" ht="15" x14ac:dyDescent="0.25">
      <c r="A1889" s="95"/>
      <c r="B1889" s="95"/>
      <c r="C1889" s="95"/>
    </row>
    <row r="1890" spans="1:3" ht="15" x14ac:dyDescent="0.25">
      <c r="A1890" s="95"/>
      <c r="B1890" s="95"/>
      <c r="C1890" s="95"/>
    </row>
    <row r="1891" spans="1:3" ht="15" x14ac:dyDescent="0.25">
      <c r="A1891" s="95"/>
      <c r="B1891" s="95"/>
      <c r="C1891" s="95"/>
    </row>
    <row r="1892" spans="1:3" ht="15" x14ac:dyDescent="0.25">
      <c r="A1892" s="95"/>
      <c r="B1892" s="95"/>
      <c r="C1892" s="95"/>
    </row>
    <row r="1893" spans="1:3" ht="15" x14ac:dyDescent="0.25">
      <c r="A1893" s="95"/>
      <c r="B1893" s="95"/>
      <c r="C1893" s="95"/>
    </row>
    <row r="1894" spans="1:3" ht="15" x14ac:dyDescent="0.25">
      <c r="A1894" s="95"/>
      <c r="B1894" s="95"/>
      <c r="C1894" s="95"/>
    </row>
    <row r="1895" spans="1:3" ht="15" x14ac:dyDescent="0.25">
      <c r="A1895" s="95"/>
      <c r="B1895" s="95"/>
      <c r="C1895" s="95"/>
    </row>
    <row r="1896" spans="1:3" ht="15" x14ac:dyDescent="0.25">
      <c r="A1896" s="95"/>
      <c r="B1896" s="95"/>
      <c r="C1896" s="95"/>
    </row>
    <row r="1897" spans="1:3" ht="15" x14ac:dyDescent="0.25">
      <c r="A1897" s="95"/>
      <c r="B1897" s="95"/>
      <c r="C1897" s="95"/>
    </row>
    <row r="1898" spans="1:3" ht="15" x14ac:dyDescent="0.25">
      <c r="A1898" s="95"/>
      <c r="B1898" s="95"/>
      <c r="C1898" s="95"/>
    </row>
    <row r="1899" spans="1:3" ht="15" x14ac:dyDescent="0.25">
      <c r="A1899" s="95"/>
      <c r="B1899" s="95"/>
      <c r="C1899" s="95"/>
    </row>
    <row r="1900" spans="1:3" ht="15" x14ac:dyDescent="0.25">
      <c r="A1900" s="95"/>
      <c r="B1900" s="95"/>
      <c r="C1900" s="95"/>
    </row>
    <row r="1901" spans="1:3" ht="15" x14ac:dyDescent="0.25">
      <c r="A1901" s="95"/>
      <c r="B1901" s="95"/>
      <c r="C1901" s="95"/>
    </row>
    <row r="1902" spans="1:3" ht="15" x14ac:dyDescent="0.25">
      <c r="A1902" s="95"/>
      <c r="B1902" s="95"/>
      <c r="C1902" s="95"/>
    </row>
    <row r="1903" spans="1:3" ht="15" x14ac:dyDescent="0.25">
      <c r="A1903" s="95"/>
      <c r="B1903" s="95"/>
      <c r="C1903" s="95"/>
    </row>
    <row r="1904" spans="1:3" ht="15" x14ac:dyDescent="0.25">
      <c r="A1904" s="95"/>
      <c r="B1904" s="95"/>
      <c r="C1904" s="95"/>
    </row>
    <row r="1905" spans="1:3" ht="15" x14ac:dyDescent="0.25">
      <c r="A1905" s="95"/>
      <c r="B1905" s="95"/>
      <c r="C1905" s="95"/>
    </row>
    <row r="1906" spans="1:3" ht="15" x14ac:dyDescent="0.25">
      <c r="A1906" s="95"/>
      <c r="B1906" s="95"/>
      <c r="C1906" s="95"/>
    </row>
    <row r="1907" spans="1:3" ht="15" x14ac:dyDescent="0.25">
      <c r="A1907" s="95"/>
      <c r="B1907" s="95"/>
      <c r="C1907" s="95"/>
    </row>
    <row r="1908" spans="1:3" ht="15" x14ac:dyDescent="0.25">
      <c r="A1908" s="95"/>
      <c r="B1908" s="95"/>
      <c r="C1908" s="95"/>
    </row>
    <row r="1909" spans="1:3" ht="15" x14ac:dyDescent="0.25">
      <c r="A1909" s="95"/>
      <c r="B1909" s="95"/>
      <c r="C1909" s="95"/>
    </row>
    <row r="1910" spans="1:3" ht="15" x14ac:dyDescent="0.25">
      <c r="A1910" s="95"/>
      <c r="B1910" s="95"/>
      <c r="C1910" s="95"/>
    </row>
    <row r="1911" spans="1:3" ht="15" x14ac:dyDescent="0.25">
      <c r="A1911" s="95"/>
      <c r="B1911" s="95"/>
      <c r="C1911" s="95"/>
    </row>
    <row r="1912" spans="1:3" ht="15" x14ac:dyDescent="0.25">
      <c r="A1912" s="95"/>
      <c r="B1912" s="95"/>
      <c r="C1912" s="95"/>
    </row>
    <row r="1913" spans="1:3" ht="15" x14ac:dyDescent="0.25">
      <c r="A1913" s="95"/>
      <c r="B1913" s="95"/>
      <c r="C1913" s="95"/>
    </row>
    <row r="1914" spans="1:3" ht="15" x14ac:dyDescent="0.25">
      <c r="A1914" s="95"/>
      <c r="B1914" s="95"/>
      <c r="C1914" s="95"/>
    </row>
    <row r="1915" spans="1:3" ht="15" x14ac:dyDescent="0.25">
      <c r="A1915" s="95"/>
      <c r="B1915" s="95"/>
      <c r="C1915" s="95"/>
    </row>
    <row r="1916" spans="1:3" ht="15" x14ac:dyDescent="0.25">
      <c r="A1916" s="95"/>
      <c r="B1916" s="95"/>
      <c r="C1916" s="95"/>
    </row>
    <row r="1917" spans="1:3" ht="15" x14ac:dyDescent="0.25">
      <c r="A1917" s="95"/>
      <c r="B1917" s="95"/>
      <c r="C1917" s="95"/>
    </row>
    <row r="1918" spans="1:3" ht="15" x14ac:dyDescent="0.25">
      <c r="A1918" s="95"/>
      <c r="B1918" s="95"/>
      <c r="C1918" s="95"/>
    </row>
    <row r="1919" spans="1:3" ht="15" x14ac:dyDescent="0.25">
      <c r="A1919" s="95"/>
      <c r="B1919" s="95"/>
      <c r="C1919" s="95"/>
    </row>
    <row r="1920" spans="1:3" ht="15" x14ac:dyDescent="0.25">
      <c r="A1920" s="95"/>
      <c r="B1920" s="95"/>
      <c r="C1920" s="95"/>
    </row>
    <row r="1921" spans="1:3" ht="15" x14ac:dyDescent="0.25">
      <c r="A1921" s="95"/>
      <c r="B1921" s="95"/>
      <c r="C1921" s="95"/>
    </row>
    <row r="1922" spans="1:3" ht="15" x14ac:dyDescent="0.25">
      <c r="A1922" s="95"/>
      <c r="B1922" s="95"/>
      <c r="C1922" s="95"/>
    </row>
    <row r="1923" spans="1:3" ht="15" x14ac:dyDescent="0.25">
      <c r="A1923" s="95"/>
      <c r="B1923" s="95"/>
      <c r="C1923" s="95"/>
    </row>
    <row r="1924" spans="1:3" ht="15" x14ac:dyDescent="0.25">
      <c r="A1924" s="95"/>
      <c r="B1924" s="95"/>
      <c r="C1924" s="95"/>
    </row>
    <row r="1925" spans="1:3" ht="15" x14ac:dyDescent="0.25">
      <c r="A1925" s="95"/>
      <c r="B1925" s="95"/>
      <c r="C1925" s="95"/>
    </row>
    <row r="1926" spans="1:3" ht="15" x14ac:dyDescent="0.25">
      <c r="A1926" s="95"/>
      <c r="B1926" s="95"/>
      <c r="C1926" s="95"/>
    </row>
    <row r="1927" spans="1:3" ht="15" x14ac:dyDescent="0.25">
      <c r="A1927" s="95"/>
      <c r="B1927" s="95"/>
      <c r="C1927" s="95"/>
    </row>
    <row r="1928" spans="1:3" ht="15" x14ac:dyDescent="0.25">
      <c r="A1928" s="95"/>
      <c r="B1928" s="95"/>
      <c r="C1928" s="95"/>
    </row>
    <row r="1929" spans="1:3" ht="15" x14ac:dyDescent="0.25">
      <c r="A1929" s="95"/>
      <c r="B1929" s="95"/>
      <c r="C1929" s="95"/>
    </row>
    <row r="1930" spans="1:3" ht="15" x14ac:dyDescent="0.25">
      <c r="A1930" s="95"/>
      <c r="B1930" s="95"/>
      <c r="C1930" s="95"/>
    </row>
    <row r="1931" spans="1:3" ht="15" x14ac:dyDescent="0.25">
      <c r="A1931" s="95"/>
      <c r="B1931" s="95"/>
      <c r="C1931" s="95"/>
    </row>
    <row r="1932" spans="1:3" ht="15" x14ac:dyDescent="0.25">
      <c r="A1932" s="95"/>
      <c r="B1932" s="95"/>
      <c r="C1932" s="95"/>
    </row>
    <row r="1933" spans="1:3" ht="15" x14ac:dyDescent="0.25">
      <c r="A1933" s="95"/>
      <c r="B1933" s="95"/>
      <c r="C1933" s="95"/>
    </row>
    <row r="1934" spans="1:3" ht="15" x14ac:dyDescent="0.25">
      <c r="A1934" s="95"/>
      <c r="B1934" s="95"/>
      <c r="C1934" s="95"/>
    </row>
    <row r="1935" spans="1:3" ht="15" x14ac:dyDescent="0.25">
      <c r="A1935" s="95"/>
      <c r="B1935" s="95"/>
      <c r="C1935" s="95"/>
    </row>
    <row r="1936" spans="1:3" ht="15" x14ac:dyDescent="0.25">
      <c r="A1936" s="95"/>
      <c r="B1936" s="95"/>
      <c r="C1936" s="95"/>
    </row>
    <row r="1937" spans="1:3" ht="15" x14ac:dyDescent="0.25">
      <c r="A1937" s="95"/>
      <c r="B1937" s="95"/>
      <c r="C1937" s="95"/>
    </row>
    <row r="1938" spans="1:3" ht="15" x14ac:dyDescent="0.25">
      <c r="A1938" s="95"/>
      <c r="B1938" s="95"/>
      <c r="C1938" s="95"/>
    </row>
    <row r="1939" spans="1:3" ht="15" x14ac:dyDescent="0.25">
      <c r="A1939" s="95"/>
      <c r="B1939" s="95"/>
      <c r="C1939" s="95"/>
    </row>
    <row r="1940" spans="1:3" ht="15" x14ac:dyDescent="0.25">
      <c r="A1940" s="95"/>
      <c r="B1940" s="95"/>
      <c r="C1940" s="95"/>
    </row>
    <row r="1941" spans="1:3" ht="15" x14ac:dyDescent="0.25">
      <c r="A1941" s="95"/>
      <c r="B1941" s="95"/>
      <c r="C1941" s="95"/>
    </row>
    <row r="1942" spans="1:3" ht="15" x14ac:dyDescent="0.25">
      <c r="A1942" s="95"/>
      <c r="B1942" s="95"/>
      <c r="C1942" s="95"/>
    </row>
    <row r="1943" spans="1:3" ht="15" x14ac:dyDescent="0.25">
      <c r="A1943" s="95"/>
      <c r="B1943" s="95"/>
      <c r="C1943" s="95"/>
    </row>
    <row r="1944" spans="1:3" ht="15" x14ac:dyDescent="0.25">
      <c r="A1944" s="95"/>
      <c r="B1944" s="95"/>
      <c r="C1944" s="95"/>
    </row>
    <row r="1945" spans="1:3" ht="15" x14ac:dyDescent="0.25">
      <c r="A1945" s="95"/>
      <c r="B1945" s="95"/>
      <c r="C1945" s="95"/>
    </row>
    <row r="1946" spans="1:3" ht="15" x14ac:dyDescent="0.25">
      <c r="A1946" s="95"/>
      <c r="B1946" s="95"/>
      <c r="C1946" s="95"/>
    </row>
    <row r="1947" spans="1:3" ht="15" x14ac:dyDescent="0.25">
      <c r="A1947" s="95"/>
      <c r="B1947" s="95"/>
      <c r="C1947" s="95"/>
    </row>
    <row r="1948" spans="1:3" ht="15" x14ac:dyDescent="0.25">
      <c r="A1948" s="95"/>
      <c r="B1948" s="95"/>
      <c r="C1948" s="95"/>
    </row>
    <row r="1949" spans="1:3" ht="15" x14ac:dyDescent="0.25">
      <c r="A1949" s="95"/>
      <c r="B1949" s="95"/>
      <c r="C1949" s="95"/>
    </row>
    <row r="1950" spans="1:3" ht="15" x14ac:dyDescent="0.25">
      <c r="A1950" s="95"/>
      <c r="B1950" s="95"/>
      <c r="C1950" s="95"/>
    </row>
    <row r="1951" spans="1:3" ht="15" x14ac:dyDescent="0.25">
      <c r="A1951" s="95"/>
      <c r="B1951" s="95"/>
      <c r="C1951" s="95"/>
    </row>
    <row r="1952" spans="1:3" ht="15" x14ac:dyDescent="0.25">
      <c r="A1952" s="95"/>
      <c r="B1952" s="95"/>
      <c r="C1952" s="95"/>
    </row>
    <row r="1953" spans="1:3" ht="15" x14ac:dyDescent="0.25">
      <c r="A1953" s="95"/>
      <c r="B1953" s="95"/>
      <c r="C1953" s="95"/>
    </row>
    <row r="1954" spans="1:3" ht="15" x14ac:dyDescent="0.25">
      <c r="A1954" s="95"/>
      <c r="B1954" s="95"/>
      <c r="C1954" s="95"/>
    </row>
    <row r="1955" spans="1:3" ht="15" x14ac:dyDescent="0.25">
      <c r="A1955" s="95"/>
      <c r="B1955" s="95"/>
      <c r="C1955" s="95"/>
    </row>
    <row r="1956" spans="1:3" ht="15" x14ac:dyDescent="0.25">
      <c r="A1956" s="95"/>
      <c r="B1956" s="95"/>
      <c r="C1956" s="95"/>
    </row>
    <row r="1957" spans="1:3" ht="15" x14ac:dyDescent="0.25">
      <c r="A1957" s="95"/>
      <c r="B1957" s="95"/>
      <c r="C1957" s="95"/>
    </row>
    <row r="1958" spans="1:3" ht="15" x14ac:dyDescent="0.25">
      <c r="A1958" s="95"/>
      <c r="B1958" s="95"/>
      <c r="C1958" s="95"/>
    </row>
    <row r="1959" spans="1:3" ht="15" x14ac:dyDescent="0.25">
      <c r="A1959" s="95"/>
      <c r="B1959" s="95"/>
      <c r="C1959" s="95"/>
    </row>
    <row r="1960" spans="1:3" ht="15" x14ac:dyDescent="0.25">
      <c r="A1960" s="95"/>
      <c r="B1960" s="95"/>
      <c r="C1960" s="95"/>
    </row>
    <row r="1961" spans="1:3" ht="15" x14ac:dyDescent="0.25">
      <c r="A1961" s="95"/>
      <c r="B1961" s="95"/>
      <c r="C1961" s="95"/>
    </row>
    <row r="1962" spans="1:3" ht="15" x14ac:dyDescent="0.25">
      <c r="A1962" s="95"/>
      <c r="B1962" s="95"/>
      <c r="C1962" s="95"/>
    </row>
    <row r="1963" spans="1:3" ht="15" x14ac:dyDescent="0.25">
      <c r="A1963" s="95"/>
      <c r="B1963" s="95"/>
      <c r="C1963" s="95"/>
    </row>
    <row r="1964" spans="1:3" ht="15" x14ac:dyDescent="0.25">
      <c r="A1964" s="95"/>
      <c r="B1964" s="95"/>
      <c r="C1964" s="95"/>
    </row>
    <row r="1965" spans="1:3" ht="15" x14ac:dyDescent="0.25">
      <c r="A1965" s="95"/>
      <c r="B1965" s="95"/>
      <c r="C1965" s="95"/>
    </row>
    <row r="1966" spans="1:3" ht="15" x14ac:dyDescent="0.25">
      <c r="A1966" s="95"/>
      <c r="B1966" s="95"/>
      <c r="C1966" s="95"/>
    </row>
    <row r="1967" spans="1:3" ht="15" x14ac:dyDescent="0.25">
      <c r="A1967" s="95"/>
      <c r="B1967" s="95"/>
      <c r="C1967" s="95"/>
    </row>
    <row r="1968" spans="1:3" ht="15" x14ac:dyDescent="0.25">
      <c r="A1968" s="95"/>
      <c r="B1968" s="95"/>
      <c r="C1968" s="95"/>
    </row>
    <row r="1969" spans="1:3" ht="15" x14ac:dyDescent="0.25">
      <c r="A1969" s="95"/>
      <c r="B1969" s="95"/>
      <c r="C1969" s="95"/>
    </row>
    <row r="1970" spans="1:3" ht="15" x14ac:dyDescent="0.25">
      <c r="A1970" s="95"/>
      <c r="B1970" s="95"/>
      <c r="C1970" s="95"/>
    </row>
    <row r="1971" spans="1:3" ht="15" x14ac:dyDescent="0.25">
      <c r="A1971" s="95"/>
      <c r="B1971" s="95"/>
      <c r="C1971" s="95"/>
    </row>
    <row r="1972" spans="1:3" ht="15" x14ac:dyDescent="0.25">
      <c r="A1972" s="95"/>
      <c r="B1972" s="95"/>
      <c r="C1972" s="95"/>
    </row>
    <row r="1973" spans="1:3" ht="15" x14ac:dyDescent="0.25">
      <c r="A1973" s="95"/>
      <c r="B1973" s="95"/>
      <c r="C1973" s="95"/>
    </row>
    <row r="1974" spans="1:3" ht="15" x14ac:dyDescent="0.25">
      <c r="A1974" s="95"/>
      <c r="B1974" s="95"/>
      <c r="C1974" s="95"/>
    </row>
    <row r="1975" spans="1:3" ht="15" x14ac:dyDescent="0.25">
      <c r="A1975" s="95"/>
      <c r="B1975" s="95"/>
      <c r="C1975" s="95"/>
    </row>
    <row r="1976" spans="1:3" ht="15" x14ac:dyDescent="0.25">
      <c r="A1976" s="95"/>
      <c r="B1976" s="95"/>
      <c r="C1976" s="95"/>
    </row>
    <row r="1977" spans="1:3" ht="15" x14ac:dyDescent="0.25">
      <c r="A1977" s="95"/>
      <c r="B1977" s="95"/>
      <c r="C1977" s="95"/>
    </row>
    <row r="1978" spans="1:3" ht="15" x14ac:dyDescent="0.25">
      <c r="A1978" s="95"/>
      <c r="B1978" s="95"/>
      <c r="C1978" s="95"/>
    </row>
    <row r="1979" spans="1:3" ht="15" x14ac:dyDescent="0.25">
      <c r="A1979" s="95"/>
      <c r="B1979" s="95"/>
      <c r="C1979" s="95"/>
    </row>
    <row r="1980" spans="1:3" ht="15" x14ac:dyDescent="0.25">
      <c r="A1980" s="95"/>
      <c r="B1980" s="95"/>
      <c r="C1980" s="95"/>
    </row>
    <row r="1981" spans="1:3" ht="15" x14ac:dyDescent="0.25">
      <c r="A1981" s="95"/>
      <c r="B1981" s="95"/>
      <c r="C1981" s="95"/>
    </row>
    <row r="1982" spans="1:3" ht="15" x14ac:dyDescent="0.25">
      <c r="A1982" s="95"/>
      <c r="B1982" s="95"/>
      <c r="C1982" s="95"/>
    </row>
    <row r="1983" spans="1:3" ht="15" x14ac:dyDescent="0.25">
      <c r="A1983" s="95"/>
      <c r="B1983" s="95"/>
      <c r="C1983" s="95"/>
    </row>
    <row r="1984" spans="1:3" ht="15" x14ac:dyDescent="0.25">
      <c r="A1984" s="95"/>
      <c r="B1984" s="95"/>
      <c r="C1984" s="95"/>
    </row>
    <row r="1985" spans="1:3" ht="15" x14ac:dyDescent="0.25">
      <c r="A1985" s="95"/>
      <c r="B1985" s="95"/>
      <c r="C1985" s="95"/>
    </row>
    <row r="1986" spans="1:3" ht="15" x14ac:dyDescent="0.25">
      <c r="A1986" s="95"/>
      <c r="B1986" s="95"/>
      <c r="C1986" s="95"/>
    </row>
    <row r="1987" spans="1:3" ht="15" x14ac:dyDescent="0.25">
      <c r="A1987" s="95"/>
      <c r="B1987" s="95"/>
      <c r="C1987" s="95"/>
    </row>
    <row r="1988" spans="1:3" ht="15" x14ac:dyDescent="0.25">
      <c r="A1988" s="95"/>
      <c r="B1988" s="95"/>
      <c r="C1988" s="95"/>
    </row>
    <row r="1989" spans="1:3" ht="15" x14ac:dyDescent="0.25">
      <c r="A1989" s="95"/>
      <c r="B1989" s="95"/>
      <c r="C1989" s="95"/>
    </row>
    <row r="1990" spans="1:3" ht="15" x14ac:dyDescent="0.25">
      <c r="A1990" s="95"/>
      <c r="B1990" s="95"/>
      <c r="C1990" s="95"/>
    </row>
    <row r="1991" spans="1:3" ht="15" x14ac:dyDescent="0.25">
      <c r="A1991" s="95"/>
      <c r="B1991" s="95"/>
      <c r="C1991" s="95"/>
    </row>
    <row r="1992" spans="1:3" ht="15" x14ac:dyDescent="0.25">
      <c r="A1992" s="95"/>
      <c r="B1992" s="95"/>
      <c r="C1992" s="95"/>
    </row>
    <row r="1993" spans="1:3" ht="15" x14ac:dyDescent="0.25">
      <c r="A1993" s="95"/>
      <c r="B1993" s="95"/>
      <c r="C1993" s="95"/>
    </row>
    <row r="1994" spans="1:3" ht="15" x14ac:dyDescent="0.25">
      <c r="A1994" s="95"/>
      <c r="B1994" s="95"/>
      <c r="C1994" s="95"/>
    </row>
    <row r="1995" spans="1:3" ht="15" x14ac:dyDescent="0.25">
      <c r="A1995" s="95"/>
      <c r="B1995" s="95"/>
      <c r="C1995" s="95"/>
    </row>
    <row r="1996" spans="1:3" ht="15" x14ac:dyDescent="0.25">
      <c r="A1996" s="95"/>
      <c r="B1996" s="95"/>
      <c r="C1996" s="95"/>
    </row>
    <row r="1997" spans="1:3" ht="15" x14ac:dyDescent="0.25">
      <c r="A1997" s="95"/>
      <c r="B1997" s="95"/>
      <c r="C1997" s="95"/>
    </row>
    <row r="1998" spans="1:3" ht="15" x14ac:dyDescent="0.25">
      <c r="A1998" s="95"/>
      <c r="B1998" s="95"/>
      <c r="C1998" s="95"/>
    </row>
    <row r="1999" spans="1:3" ht="15" x14ac:dyDescent="0.25">
      <c r="A1999" s="95"/>
      <c r="B1999" s="95"/>
      <c r="C1999" s="95"/>
    </row>
    <row r="2000" spans="1:3" ht="15" x14ac:dyDescent="0.25">
      <c r="A2000" s="95"/>
      <c r="B2000" s="95"/>
      <c r="C2000" s="95"/>
    </row>
    <row r="2001" spans="1:3" ht="15" x14ac:dyDescent="0.25">
      <c r="A2001" s="95"/>
      <c r="B2001" s="95"/>
      <c r="C2001" s="95"/>
    </row>
    <row r="2002" spans="1:3" ht="15" x14ac:dyDescent="0.25">
      <c r="A2002" s="95"/>
      <c r="B2002" s="95"/>
      <c r="C2002" s="95"/>
    </row>
    <row r="2003" spans="1:3" ht="15" x14ac:dyDescent="0.25">
      <c r="A2003" s="95"/>
      <c r="B2003" s="95"/>
      <c r="C2003" s="95"/>
    </row>
    <row r="2004" spans="1:3" ht="15" x14ac:dyDescent="0.25">
      <c r="A2004" s="95"/>
      <c r="B2004" s="95"/>
      <c r="C2004" s="95"/>
    </row>
    <row r="2005" spans="1:3" ht="15" x14ac:dyDescent="0.25">
      <c r="A2005" s="95"/>
      <c r="B2005" s="95"/>
      <c r="C2005" s="95"/>
    </row>
    <row r="2006" spans="1:3" ht="15" x14ac:dyDescent="0.25">
      <c r="A2006" s="95"/>
      <c r="B2006" s="95"/>
      <c r="C2006" s="95"/>
    </row>
    <row r="2007" spans="1:3" ht="15" x14ac:dyDescent="0.25">
      <c r="A2007" s="95"/>
      <c r="B2007" s="95"/>
      <c r="C2007" s="95"/>
    </row>
    <row r="2008" spans="1:3" ht="15" x14ac:dyDescent="0.25">
      <c r="A2008" s="95"/>
      <c r="B2008" s="95"/>
      <c r="C2008" s="95"/>
    </row>
    <row r="2009" spans="1:3" ht="15" x14ac:dyDescent="0.25">
      <c r="A2009" s="95"/>
      <c r="B2009" s="95"/>
      <c r="C2009" s="95"/>
    </row>
    <row r="2010" spans="1:3" ht="15" x14ac:dyDescent="0.25">
      <c r="A2010" s="95"/>
      <c r="B2010" s="95"/>
      <c r="C2010" s="95"/>
    </row>
    <row r="2011" spans="1:3" ht="15" x14ac:dyDescent="0.25">
      <c r="A2011" s="95"/>
      <c r="B2011" s="95"/>
      <c r="C2011" s="95"/>
    </row>
    <row r="2012" spans="1:3" ht="15" x14ac:dyDescent="0.25">
      <c r="A2012" s="95"/>
      <c r="B2012" s="95"/>
      <c r="C2012" s="95"/>
    </row>
    <row r="2013" spans="1:3" ht="15" x14ac:dyDescent="0.25">
      <c r="A2013" s="95"/>
      <c r="B2013" s="95"/>
      <c r="C2013" s="95"/>
    </row>
    <row r="2014" spans="1:3" ht="15" x14ac:dyDescent="0.25">
      <c r="A2014" s="95"/>
      <c r="B2014" s="95"/>
      <c r="C2014" s="95"/>
    </row>
    <row r="2015" spans="1:3" ht="15" x14ac:dyDescent="0.25">
      <c r="A2015" s="95"/>
      <c r="B2015" s="95"/>
      <c r="C2015" s="95"/>
    </row>
    <row r="2016" spans="1:3" ht="15" x14ac:dyDescent="0.25">
      <c r="A2016" s="95"/>
      <c r="B2016" s="95"/>
      <c r="C2016" s="95"/>
    </row>
    <row r="2017" spans="1:3" ht="15" x14ac:dyDescent="0.25">
      <c r="A2017" s="95"/>
      <c r="B2017" s="95"/>
      <c r="C2017" s="95"/>
    </row>
    <row r="2018" spans="1:3" ht="15" x14ac:dyDescent="0.25">
      <c r="A2018" s="95"/>
      <c r="B2018" s="95"/>
      <c r="C2018" s="95"/>
    </row>
    <row r="2019" spans="1:3" ht="15" x14ac:dyDescent="0.25">
      <c r="A2019" s="95"/>
      <c r="B2019" s="95"/>
      <c r="C2019" s="95"/>
    </row>
    <row r="2020" spans="1:3" ht="15" x14ac:dyDescent="0.25">
      <c r="A2020" s="95"/>
      <c r="B2020" s="95"/>
      <c r="C2020" s="95"/>
    </row>
    <row r="2021" spans="1:3" ht="15" x14ac:dyDescent="0.25">
      <c r="A2021" s="95"/>
      <c r="B2021" s="95"/>
      <c r="C2021" s="95"/>
    </row>
    <row r="2022" spans="1:3" ht="15" x14ac:dyDescent="0.25">
      <c r="A2022" s="95"/>
      <c r="B2022" s="95"/>
      <c r="C2022" s="95"/>
    </row>
    <row r="2023" spans="1:3" ht="15" x14ac:dyDescent="0.25">
      <c r="A2023" s="95"/>
      <c r="B2023" s="95"/>
      <c r="C2023" s="95"/>
    </row>
    <row r="2024" spans="1:3" ht="15" x14ac:dyDescent="0.25">
      <c r="A2024" s="95"/>
      <c r="B2024" s="95"/>
      <c r="C2024" s="95"/>
    </row>
    <row r="2025" spans="1:3" ht="15" x14ac:dyDescent="0.25">
      <c r="A2025" s="95"/>
      <c r="B2025" s="95"/>
      <c r="C2025" s="95"/>
    </row>
    <row r="2026" spans="1:3" ht="15" x14ac:dyDescent="0.25">
      <c r="A2026" s="95"/>
      <c r="B2026" s="95"/>
      <c r="C2026" s="95"/>
    </row>
    <row r="2027" spans="1:3" ht="15" x14ac:dyDescent="0.25">
      <c r="A2027" s="95"/>
      <c r="B2027" s="95"/>
      <c r="C2027" s="95"/>
    </row>
    <row r="2028" spans="1:3" ht="15" x14ac:dyDescent="0.25">
      <c r="A2028" s="95"/>
      <c r="B2028" s="95"/>
      <c r="C2028" s="95"/>
    </row>
    <row r="2029" spans="1:3" ht="15" x14ac:dyDescent="0.25">
      <c r="A2029" s="95"/>
      <c r="B2029" s="95"/>
      <c r="C2029" s="95"/>
    </row>
    <row r="2030" spans="1:3" ht="15" x14ac:dyDescent="0.25">
      <c r="A2030" s="95"/>
      <c r="B2030" s="95"/>
      <c r="C2030" s="95"/>
    </row>
    <row r="2031" spans="1:3" ht="15" x14ac:dyDescent="0.25">
      <c r="A2031" s="95"/>
      <c r="B2031" s="95"/>
      <c r="C2031" s="95"/>
    </row>
    <row r="2032" spans="1:3" ht="15" x14ac:dyDescent="0.25">
      <c r="A2032" s="95"/>
      <c r="B2032" s="95"/>
      <c r="C2032" s="95"/>
    </row>
    <row r="2033" spans="1:3" ht="15" x14ac:dyDescent="0.25">
      <c r="A2033" s="95"/>
      <c r="B2033" s="95"/>
      <c r="C2033" s="95"/>
    </row>
    <row r="2034" spans="1:3" ht="15" x14ac:dyDescent="0.25">
      <c r="A2034" s="95"/>
      <c r="B2034" s="95"/>
      <c r="C2034" s="95"/>
    </row>
    <row r="2035" spans="1:3" ht="15" x14ac:dyDescent="0.25">
      <c r="A2035" s="95"/>
      <c r="B2035" s="95"/>
      <c r="C2035" s="95"/>
    </row>
    <row r="2036" spans="1:3" ht="15" x14ac:dyDescent="0.25">
      <c r="A2036" s="95"/>
      <c r="B2036" s="95"/>
      <c r="C2036" s="95"/>
    </row>
    <row r="2037" spans="1:3" ht="15" x14ac:dyDescent="0.25">
      <c r="A2037" s="95"/>
      <c r="B2037" s="95"/>
      <c r="C2037" s="95"/>
    </row>
    <row r="2038" spans="1:3" ht="15" x14ac:dyDescent="0.25">
      <c r="A2038" s="95"/>
      <c r="B2038" s="95"/>
      <c r="C2038" s="95"/>
    </row>
    <row r="2039" spans="1:3" ht="15" x14ac:dyDescent="0.25">
      <c r="A2039" s="95"/>
      <c r="B2039" s="95"/>
      <c r="C2039" s="95"/>
    </row>
    <row r="2040" spans="1:3" ht="15" x14ac:dyDescent="0.25">
      <c r="A2040" s="95"/>
      <c r="B2040" s="95"/>
      <c r="C2040" s="95"/>
    </row>
    <row r="2041" spans="1:3" ht="15" x14ac:dyDescent="0.25">
      <c r="A2041" s="95"/>
      <c r="B2041" s="95"/>
      <c r="C2041" s="95"/>
    </row>
    <row r="2042" spans="1:3" ht="15" x14ac:dyDescent="0.25">
      <c r="A2042" s="95"/>
      <c r="B2042" s="95"/>
      <c r="C2042" s="95"/>
    </row>
    <row r="2043" spans="1:3" ht="15" x14ac:dyDescent="0.25">
      <c r="A2043" s="95"/>
      <c r="B2043" s="95"/>
      <c r="C2043" s="95"/>
    </row>
    <row r="2044" spans="1:3" ht="15" x14ac:dyDescent="0.25">
      <c r="A2044" s="95"/>
      <c r="B2044" s="95"/>
      <c r="C2044" s="95"/>
    </row>
    <row r="2045" spans="1:3" ht="15" x14ac:dyDescent="0.25">
      <c r="A2045" s="95"/>
      <c r="B2045" s="95"/>
      <c r="C2045" s="95"/>
    </row>
    <row r="2046" spans="1:3" ht="15" x14ac:dyDescent="0.25">
      <c r="A2046" s="95"/>
      <c r="B2046" s="95"/>
      <c r="C2046" s="95"/>
    </row>
    <row r="2047" spans="1:3" ht="15" x14ac:dyDescent="0.25">
      <c r="A2047" s="95"/>
      <c r="B2047" s="95"/>
      <c r="C2047" s="95"/>
    </row>
    <row r="2048" spans="1:3" ht="15" x14ac:dyDescent="0.25">
      <c r="A2048" s="95"/>
      <c r="B2048" s="95"/>
      <c r="C2048" s="95"/>
    </row>
    <row r="2049" spans="1:3" ht="15" x14ac:dyDescent="0.25">
      <c r="A2049" s="95"/>
      <c r="B2049" s="95"/>
      <c r="C2049" s="95"/>
    </row>
    <row r="2050" spans="1:3" ht="15" x14ac:dyDescent="0.25">
      <c r="A2050" s="95"/>
      <c r="B2050" s="95"/>
      <c r="C2050" s="95"/>
    </row>
    <row r="2051" spans="1:3" ht="15" x14ac:dyDescent="0.25">
      <c r="A2051" s="95"/>
      <c r="B2051" s="95"/>
      <c r="C2051" s="95"/>
    </row>
    <row r="2052" spans="1:3" ht="15" x14ac:dyDescent="0.25">
      <c r="A2052" s="95"/>
      <c r="B2052" s="95"/>
      <c r="C2052" s="95"/>
    </row>
    <row r="2053" spans="1:3" ht="15" x14ac:dyDescent="0.25">
      <c r="A2053" s="95"/>
      <c r="B2053" s="95"/>
      <c r="C2053" s="95"/>
    </row>
    <row r="2054" spans="1:3" ht="15" x14ac:dyDescent="0.25">
      <c r="A2054" s="95"/>
      <c r="B2054" s="95"/>
      <c r="C2054" s="95"/>
    </row>
    <row r="2055" spans="1:3" ht="15" x14ac:dyDescent="0.25">
      <c r="A2055" s="95"/>
      <c r="B2055" s="95"/>
      <c r="C2055" s="95"/>
    </row>
    <row r="2056" spans="1:3" ht="15" x14ac:dyDescent="0.25">
      <c r="A2056" s="95"/>
      <c r="B2056" s="95"/>
      <c r="C2056" s="95"/>
    </row>
    <row r="2057" spans="1:3" ht="15" x14ac:dyDescent="0.25">
      <c r="A2057" s="95"/>
      <c r="B2057" s="95"/>
      <c r="C2057" s="95"/>
    </row>
    <row r="2058" spans="1:3" ht="15" x14ac:dyDescent="0.25">
      <c r="A2058" s="95"/>
      <c r="B2058" s="95"/>
      <c r="C2058" s="95"/>
    </row>
    <row r="2059" spans="1:3" ht="15" x14ac:dyDescent="0.25">
      <c r="A2059" s="95"/>
      <c r="B2059" s="95"/>
      <c r="C2059" s="95"/>
    </row>
    <row r="2060" spans="1:3" ht="15" x14ac:dyDescent="0.25">
      <c r="A2060" s="95"/>
      <c r="B2060" s="95"/>
      <c r="C2060" s="95"/>
    </row>
    <row r="2061" spans="1:3" ht="15" x14ac:dyDescent="0.25">
      <c r="A2061" s="95"/>
      <c r="B2061" s="95"/>
      <c r="C2061" s="95"/>
    </row>
    <row r="2062" spans="1:3" ht="15" x14ac:dyDescent="0.25">
      <c r="A2062" s="95"/>
      <c r="B2062" s="95"/>
      <c r="C2062" s="95"/>
    </row>
    <row r="2063" spans="1:3" ht="15" x14ac:dyDescent="0.25">
      <c r="A2063" s="95"/>
      <c r="B2063" s="95"/>
      <c r="C2063" s="95"/>
    </row>
    <row r="2064" spans="1:3" ht="15" x14ac:dyDescent="0.25">
      <c r="A2064" s="95"/>
      <c r="B2064" s="95"/>
      <c r="C2064" s="95"/>
    </row>
    <row r="2065" spans="1:3" ht="15" x14ac:dyDescent="0.25">
      <c r="A2065" s="95"/>
      <c r="B2065" s="95"/>
      <c r="C2065" s="95"/>
    </row>
    <row r="2066" spans="1:3" ht="15" x14ac:dyDescent="0.25">
      <c r="A2066" s="95"/>
      <c r="B2066" s="95"/>
      <c r="C2066" s="95"/>
    </row>
    <row r="2067" spans="1:3" ht="15" x14ac:dyDescent="0.25">
      <c r="A2067" s="95"/>
      <c r="B2067" s="95"/>
      <c r="C2067" s="95"/>
    </row>
    <row r="2068" spans="1:3" ht="15" x14ac:dyDescent="0.25">
      <c r="A2068" s="95"/>
      <c r="B2068" s="95"/>
      <c r="C2068" s="95"/>
    </row>
    <row r="2069" spans="1:3" ht="15" x14ac:dyDescent="0.25">
      <c r="A2069" s="95"/>
      <c r="B2069" s="95"/>
      <c r="C2069" s="95"/>
    </row>
    <row r="2070" spans="1:3" ht="15" x14ac:dyDescent="0.25">
      <c r="A2070" s="95"/>
      <c r="B2070" s="95"/>
      <c r="C2070" s="95"/>
    </row>
    <row r="2071" spans="1:3" ht="15" x14ac:dyDescent="0.25">
      <c r="A2071" s="95"/>
      <c r="B2071" s="95"/>
      <c r="C2071" s="95"/>
    </row>
    <row r="2072" spans="1:3" ht="15" x14ac:dyDescent="0.25">
      <c r="A2072" s="95"/>
      <c r="B2072" s="95"/>
      <c r="C2072" s="95"/>
    </row>
    <row r="2073" spans="1:3" ht="15" x14ac:dyDescent="0.25">
      <c r="A2073" s="95"/>
      <c r="B2073" s="95"/>
      <c r="C2073" s="95"/>
    </row>
    <row r="2074" spans="1:3" ht="15" x14ac:dyDescent="0.25">
      <c r="A2074" s="95"/>
      <c r="B2074" s="95"/>
      <c r="C2074" s="95"/>
    </row>
    <row r="2075" spans="1:3" ht="15" x14ac:dyDescent="0.25">
      <c r="A2075" s="95"/>
      <c r="B2075" s="95"/>
      <c r="C2075" s="95"/>
    </row>
    <row r="2076" spans="1:3" ht="15" x14ac:dyDescent="0.25">
      <c r="A2076" s="95"/>
      <c r="B2076" s="95"/>
      <c r="C2076" s="95"/>
    </row>
    <row r="2077" spans="1:3" ht="15" x14ac:dyDescent="0.25">
      <c r="A2077" s="95"/>
      <c r="B2077" s="95"/>
      <c r="C2077" s="95"/>
    </row>
    <row r="2078" spans="1:3" ht="15" x14ac:dyDescent="0.25">
      <c r="A2078" s="95"/>
      <c r="B2078" s="95"/>
      <c r="C2078" s="95"/>
    </row>
    <row r="2079" spans="1:3" ht="15" x14ac:dyDescent="0.25">
      <c r="A2079" s="95"/>
      <c r="B2079" s="95"/>
      <c r="C2079" s="95"/>
    </row>
    <row r="2080" spans="1:3" ht="15" x14ac:dyDescent="0.25">
      <c r="A2080" s="95"/>
      <c r="B2080" s="95"/>
      <c r="C2080" s="95"/>
    </row>
    <row r="2081" spans="1:3" ht="15" x14ac:dyDescent="0.25">
      <c r="A2081" s="95"/>
      <c r="B2081" s="95"/>
      <c r="C2081" s="95"/>
    </row>
    <row r="2082" spans="1:3" ht="15" x14ac:dyDescent="0.25">
      <c r="A2082" s="95"/>
      <c r="B2082" s="95"/>
      <c r="C2082" s="95"/>
    </row>
    <row r="2083" spans="1:3" ht="15" x14ac:dyDescent="0.25">
      <c r="A2083" s="95"/>
      <c r="B2083" s="95"/>
      <c r="C2083" s="95"/>
    </row>
    <row r="2084" spans="1:3" ht="15" x14ac:dyDescent="0.25">
      <c r="A2084" s="95"/>
      <c r="B2084" s="95"/>
      <c r="C2084" s="95"/>
    </row>
    <row r="2085" spans="1:3" ht="15" x14ac:dyDescent="0.25">
      <c r="A2085" s="95"/>
      <c r="B2085" s="95"/>
      <c r="C2085" s="95"/>
    </row>
    <row r="2086" spans="1:3" ht="15" x14ac:dyDescent="0.25">
      <c r="A2086" s="95"/>
      <c r="B2086" s="95"/>
      <c r="C2086" s="95"/>
    </row>
    <row r="2087" spans="1:3" ht="15" x14ac:dyDescent="0.25">
      <c r="A2087" s="95"/>
      <c r="B2087" s="95"/>
      <c r="C2087" s="95"/>
    </row>
    <row r="2088" spans="1:3" ht="15" x14ac:dyDescent="0.25">
      <c r="A2088" s="95"/>
      <c r="B2088" s="95"/>
      <c r="C2088" s="95"/>
    </row>
    <row r="2089" spans="1:3" ht="15" x14ac:dyDescent="0.25">
      <c r="A2089" s="95"/>
      <c r="B2089" s="95"/>
      <c r="C2089" s="95"/>
    </row>
    <row r="2090" spans="1:3" ht="15" x14ac:dyDescent="0.25">
      <c r="A2090" s="95"/>
      <c r="B2090" s="95"/>
      <c r="C2090" s="95"/>
    </row>
    <row r="2091" spans="1:3" ht="15" x14ac:dyDescent="0.25">
      <c r="A2091" s="95"/>
      <c r="B2091" s="95"/>
      <c r="C2091" s="95"/>
    </row>
    <row r="2092" spans="1:3" ht="15" x14ac:dyDescent="0.25">
      <c r="A2092" s="95"/>
      <c r="B2092" s="95"/>
      <c r="C2092" s="95"/>
    </row>
    <row r="2093" spans="1:3" ht="15" x14ac:dyDescent="0.25">
      <c r="A2093" s="95"/>
      <c r="B2093" s="95"/>
      <c r="C2093" s="95"/>
    </row>
    <row r="2094" spans="1:3" ht="15" x14ac:dyDescent="0.25">
      <c r="A2094" s="95"/>
      <c r="B2094" s="95"/>
      <c r="C2094" s="95"/>
    </row>
    <row r="2095" spans="1:3" ht="15" x14ac:dyDescent="0.25">
      <c r="A2095" s="95"/>
      <c r="B2095" s="95"/>
      <c r="C2095" s="95"/>
    </row>
    <row r="2096" spans="1:3" ht="15" x14ac:dyDescent="0.25">
      <c r="A2096" s="95"/>
      <c r="B2096" s="95"/>
      <c r="C2096" s="95"/>
    </row>
    <row r="2097" spans="1:3" ht="15" x14ac:dyDescent="0.25">
      <c r="A2097" s="95"/>
      <c r="B2097" s="95"/>
      <c r="C2097" s="95"/>
    </row>
    <row r="2098" spans="1:3" ht="15" x14ac:dyDescent="0.25">
      <c r="A2098" s="95"/>
      <c r="B2098" s="95"/>
      <c r="C2098" s="95"/>
    </row>
    <row r="2099" spans="1:3" ht="15" x14ac:dyDescent="0.25">
      <c r="A2099" s="95"/>
      <c r="B2099" s="95"/>
      <c r="C2099" s="95"/>
    </row>
    <row r="2100" spans="1:3" ht="15" x14ac:dyDescent="0.25">
      <c r="A2100" s="95"/>
      <c r="B2100" s="95"/>
      <c r="C2100" s="95"/>
    </row>
    <row r="2101" spans="1:3" ht="15" x14ac:dyDescent="0.25">
      <c r="A2101" s="95"/>
      <c r="B2101" s="95"/>
      <c r="C2101" s="95"/>
    </row>
    <row r="2102" spans="1:3" ht="15" x14ac:dyDescent="0.25">
      <c r="A2102" s="95"/>
      <c r="B2102" s="95"/>
      <c r="C2102" s="95"/>
    </row>
    <row r="2103" spans="1:3" ht="15" x14ac:dyDescent="0.25">
      <c r="A2103" s="95"/>
      <c r="B2103" s="95"/>
      <c r="C2103" s="95"/>
    </row>
    <row r="2104" spans="1:3" ht="15" x14ac:dyDescent="0.25">
      <c r="A2104" s="95"/>
      <c r="B2104" s="95"/>
      <c r="C2104" s="95"/>
    </row>
    <row r="2105" spans="1:3" ht="15" x14ac:dyDescent="0.25">
      <c r="A2105" s="95"/>
      <c r="B2105" s="95"/>
      <c r="C2105" s="95"/>
    </row>
    <row r="2106" spans="1:3" ht="15" x14ac:dyDescent="0.25">
      <c r="A2106" s="95"/>
      <c r="B2106" s="95"/>
      <c r="C2106" s="95"/>
    </row>
    <row r="2107" spans="1:3" ht="15" x14ac:dyDescent="0.25">
      <c r="A2107" s="95"/>
      <c r="B2107" s="95"/>
      <c r="C2107" s="95"/>
    </row>
    <row r="2108" spans="1:3" ht="15" x14ac:dyDescent="0.25">
      <c r="A2108" s="95"/>
      <c r="B2108" s="95"/>
      <c r="C2108" s="95"/>
    </row>
    <row r="2109" spans="1:3" ht="15" x14ac:dyDescent="0.25">
      <c r="A2109" s="95"/>
      <c r="B2109" s="95"/>
      <c r="C2109" s="95"/>
    </row>
    <row r="2110" spans="1:3" ht="15" x14ac:dyDescent="0.25">
      <c r="A2110" s="95"/>
      <c r="B2110" s="95"/>
      <c r="C2110" s="95"/>
    </row>
    <row r="2111" spans="1:3" ht="15" x14ac:dyDescent="0.25">
      <c r="A2111" s="95"/>
      <c r="B2111" s="95"/>
      <c r="C2111" s="95"/>
    </row>
    <row r="2112" spans="1:3" ht="15" x14ac:dyDescent="0.25">
      <c r="A2112" s="95"/>
      <c r="B2112" s="95"/>
      <c r="C2112" s="95"/>
    </row>
    <row r="2113" spans="1:3" ht="15" x14ac:dyDescent="0.25">
      <c r="A2113" s="95"/>
      <c r="B2113" s="95"/>
      <c r="C2113" s="95"/>
    </row>
    <row r="2114" spans="1:3" ht="15" x14ac:dyDescent="0.25">
      <c r="A2114" s="95"/>
      <c r="B2114" s="95"/>
      <c r="C2114" s="95"/>
    </row>
    <row r="2115" spans="1:3" ht="15" x14ac:dyDescent="0.25">
      <c r="A2115" s="95"/>
      <c r="B2115" s="95"/>
      <c r="C2115" s="95"/>
    </row>
    <row r="2116" spans="1:3" ht="15" x14ac:dyDescent="0.25">
      <c r="A2116" s="95"/>
      <c r="B2116" s="95"/>
      <c r="C2116" s="95"/>
    </row>
    <row r="2117" spans="1:3" ht="15" x14ac:dyDescent="0.25">
      <c r="A2117" s="95"/>
      <c r="B2117" s="95"/>
      <c r="C2117" s="95"/>
    </row>
    <row r="2118" spans="1:3" ht="15" x14ac:dyDescent="0.25">
      <c r="A2118" s="95"/>
      <c r="B2118" s="95"/>
      <c r="C2118" s="95"/>
    </row>
    <row r="2119" spans="1:3" ht="15" x14ac:dyDescent="0.25">
      <c r="A2119" s="95"/>
      <c r="B2119" s="95"/>
      <c r="C2119" s="95"/>
    </row>
    <row r="2120" spans="1:3" ht="15" x14ac:dyDescent="0.25">
      <c r="A2120" s="95"/>
      <c r="B2120" s="95"/>
      <c r="C2120" s="95"/>
    </row>
    <row r="2121" spans="1:3" ht="15" x14ac:dyDescent="0.25">
      <c r="A2121" s="95"/>
      <c r="B2121" s="95"/>
      <c r="C2121" s="95"/>
    </row>
    <row r="2122" spans="1:3" ht="15" x14ac:dyDescent="0.25">
      <c r="A2122" s="95"/>
      <c r="B2122" s="95"/>
      <c r="C2122" s="95"/>
    </row>
    <row r="2123" spans="1:3" ht="15" x14ac:dyDescent="0.25">
      <c r="A2123" s="95"/>
      <c r="B2123" s="95"/>
      <c r="C2123" s="95"/>
    </row>
    <row r="2124" spans="1:3" ht="15" x14ac:dyDescent="0.25">
      <c r="A2124" s="95"/>
      <c r="B2124" s="95"/>
      <c r="C2124" s="95"/>
    </row>
    <row r="2125" spans="1:3" ht="15" x14ac:dyDescent="0.25">
      <c r="A2125" s="95"/>
      <c r="B2125" s="95"/>
      <c r="C2125" s="95"/>
    </row>
    <row r="2126" spans="1:3" ht="15" x14ac:dyDescent="0.25">
      <c r="A2126" s="95"/>
      <c r="B2126" s="95"/>
      <c r="C2126" s="95"/>
    </row>
    <row r="2127" spans="1:3" ht="15" x14ac:dyDescent="0.25">
      <c r="A2127" s="95"/>
      <c r="B2127" s="95"/>
      <c r="C2127" s="95"/>
    </row>
    <row r="2128" spans="1:3" ht="15" x14ac:dyDescent="0.25">
      <c r="A2128" s="95"/>
      <c r="B2128" s="95"/>
      <c r="C2128" s="95"/>
    </row>
    <row r="2129" spans="1:3" ht="15" x14ac:dyDescent="0.25">
      <c r="A2129" s="95"/>
      <c r="B2129" s="95"/>
      <c r="C2129" s="95"/>
    </row>
    <row r="2130" spans="1:3" ht="15" x14ac:dyDescent="0.25">
      <c r="A2130" s="95"/>
      <c r="B2130" s="95"/>
      <c r="C2130" s="95"/>
    </row>
    <row r="2131" spans="1:3" ht="15" x14ac:dyDescent="0.25">
      <c r="A2131" s="95"/>
      <c r="B2131" s="95"/>
      <c r="C2131" s="95"/>
    </row>
    <row r="2132" spans="1:3" ht="15" x14ac:dyDescent="0.25">
      <c r="A2132" s="95"/>
      <c r="B2132" s="95"/>
      <c r="C2132" s="95"/>
    </row>
    <row r="2133" spans="1:3" ht="15" x14ac:dyDescent="0.25">
      <c r="A2133" s="95"/>
      <c r="B2133" s="95"/>
      <c r="C2133" s="95"/>
    </row>
    <row r="2134" spans="1:3" ht="15" x14ac:dyDescent="0.25">
      <c r="A2134" s="95"/>
      <c r="B2134" s="95"/>
      <c r="C2134" s="95"/>
    </row>
    <row r="2135" spans="1:3" ht="15" x14ac:dyDescent="0.25">
      <c r="A2135" s="95"/>
      <c r="B2135" s="95"/>
      <c r="C2135" s="95"/>
    </row>
    <row r="2136" spans="1:3" ht="15" x14ac:dyDescent="0.25">
      <c r="A2136" s="95"/>
      <c r="B2136" s="95"/>
      <c r="C2136" s="95"/>
    </row>
    <row r="2137" spans="1:3" ht="15" x14ac:dyDescent="0.25">
      <c r="A2137" s="95"/>
      <c r="B2137" s="95"/>
      <c r="C2137" s="95"/>
    </row>
    <row r="2138" spans="1:3" ht="15" x14ac:dyDescent="0.25">
      <c r="A2138" s="95"/>
      <c r="B2138" s="95"/>
      <c r="C2138" s="95"/>
    </row>
    <row r="2139" spans="1:3" ht="15" x14ac:dyDescent="0.25">
      <c r="A2139" s="95"/>
      <c r="B2139" s="95"/>
      <c r="C2139" s="95"/>
    </row>
    <row r="2140" spans="1:3" ht="15" x14ac:dyDescent="0.25">
      <c r="A2140" s="95"/>
      <c r="B2140" s="95"/>
      <c r="C2140" s="95"/>
    </row>
    <row r="2141" spans="1:3" ht="15" x14ac:dyDescent="0.25">
      <c r="A2141" s="95"/>
      <c r="B2141" s="95"/>
      <c r="C2141" s="95"/>
    </row>
    <row r="2142" spans="1:3" ht="15" x14ac:dyDescent="0.25">
      <c r="A2142" s="95"/>
      <c r="B2142" s="95"/>
      <c r="C2142" s="95"/>
    </row>
    <row r="2143" spans="1:3" ht="15" x14ac:dyDescent="0.25">
      <c r="A2143" s="95"/>
      <c r="B2143" s="95"/>
      <c r="C2143" s="95"/>
    </row>
    <row r="2144" spans="1:3" ht="15" x14ac:dyDescent="0.25">
      <c r="A2144" s="95"/>
      <c r="B2144" s="95"/>
      <c r="C2144" s="95"/>
    </row>
    <row r="2145" spans="1:3" ht="15" x14ac:dyDescent="0.25">
      <c r="A2145" s="95"/>
      <c r="B2145" s="95"/>
      <c r="C2145" s="95"/>
    </row>
    <row r="2146" spans="1:3" ht="15" x14ac:dyDescent="0.25">
      <c r="A2146" s="95"/>
      <c r="B2146" s="95"/>
      <c r="C2146" s="95"/>
    </row>
    <row r="2147" spans="1:3" ht="15" x14ac:dyDescent="0.25">
      <c r="A2147" s="95"/>
      <c r="B2147" s="95"/>
      <c r="C2147" s="95"/>
    </row>
    <row r="2148" spans="1:3" ht="15" x14ac:dyDescent="0.25">
      <c r="A2148" s="95"/>
      <c r="B2148" s="95"/>
      <c r="C2148" s="95"/>
    </row>
    <row r="2149" spans="1:3" ht="15" x14ac:dyDescent="0.25">
      <c r="A2149" s="95"/>
      <c r="B2149" s="95"/>
      <c r="C2149" s="95"/>
    </row>
    <row r="2150" spans="1:3" ht="15" x14ac:dyDescent="0.25">
      <c r="A2150" s="95"/>
      <c r="B2150" s="95"/>
      <c r="C2150" s="95"/>
    </row>
    <row r="2151" spans="1:3" ht="15" x14ac:dyDescent="0.25">
      <c r="A2151" s="95"/>
      <c r="B2151" s="95"/>
      <c r="C2151" s="95"/>
    </row>
    <row r="2152" spans="1:3" ht="15" x14ac:dyDescent="0.25">
      <c r="A2152" s="95"/>
      <c r="B2152" s="95"/>
      <c r="C2152" s="95"/>
    </row>
    <row r="2153" spans="1:3" ht="15" x14ac:dyDescent="0.25">
      <c r="A2153" s="95"/>
      <c r="B2153" s="95"/>
      <c r="C2153" s="95"/>
    </row>
    <row r="2154" spans="1:3" ht="15" x14ac:dyDescent="0.25">
      <c r="A2154" s="95"/>
      <c r="B2154" s="95"/>
      <c r="C2154" s="95"/>
    </row>
    <row r="2155" spans="1:3" ht="15" x14ac:dyDescent="0.25">
      <c r="A2155" s="95"/>
      <c r="B2155" s="95"/>
      <c r="C2155" s="95"/>
    </row>
    <row r="2156" spans="1:3" ht="15" x14ac:dyDescent="0.25">
      <c r="A2156" s="95"/>
      <c r="B2156" s="95"/>
      <c r="C2156" s="95"/>
    </row>
    <row r="2157" spans="1:3" ht="15" x14ac:dyDescent="0.25">
      <c r="A2157" s="95"/>
      <c r="B2157" s="95"/>
      <c r="C2157" s="95"/>
    </row>
    <row r="2158" spans="1:3" ht="15" x14ac:dyDescent="0.25">
      <c r="A2158" s="95"/>
      <c r="B2158" s="95"/>
      <c r="C2158" s="95"/>
    </row>
    <row r="2159" spans="1:3" ht="15" x14ac:dyDescent="0.25">
      <c r="A2159" s="95"/>
      <c r="B2159" s="95"/>
      <c r="C2159" s="95"/>
    </row>
    <row r="2160" spans="1:3" ht="15" x14ac:dyDescent="0.25">
      <c r="A2160" s="95"/>
      <c r="B2160" s="95"/>
      <c r="C2160" s="95"/>
    </row>
    <row r="2161" spans="1:3" ht="15" x14ac:dyDescent="0.25">
      <c r="A2161" s="95"/>
      <c r="B2161" s="95"/>
      <c r="C2161" s="95"/>
    </row>
    <row r="2162" spans="1:3" ht="15" x14ac:dyDescent="0.25">
      <c r="A2162" s="95"/>
      <c r="B2162" s="95"/>
      <c r="C2162" s="95"/>
    </row>
    <row r="2163" spans="1:3" ht="15" x14ac:dyDescent="0.25">
      <c r="A2163" s="95"/>
      <c r="B2163" s="95"/>
      <c r="C2163" s="95"/>
    </row>
    <row r="2164" spans="1:3" ht="15" x14ac:dyDescent="0.25">
      <c r="A2164" s="95"/>
      <c r="B2164" s="95"/>
      <c r="C2164" s="95"/>
    </row>
    <row r="2165" spans="1:3" ht="15" x14ac:dyDescent="0.25">
      <c r="A2165" s="95"/>
      <c r="B2165" s="95"/>
      <c r="C2165" s="95"/>
    </row>
    <row r="2166" spans="1:3" ht="15" x14ac:dyDescent="0.25">
      <c r="A2166" s="95"/>
      <c r="B2166" s="95"/>
      <c r="C2166" s="95"/>
    </row>
    <row r="2167" spans="1:3" ht="15" x14ac:dyDescent="0.25">
      <c r="A2167" s="95"/>
      <c r="B2167" s="95"/>
      <c r="C2167" s="95"/>
    </row>
    <row r="2168" spans="1:3" ht="15" x14ac:dyDescent="0.25">
      <c r="A2168" s="95"/>
      <c r="B2168" s="95"/>
      <c r="C2168" s="95"/>
    </row>
    <row r="2169" spans="1:3" ht="15" x14ac:dyDescent="0.25">
      <c r="A2169" s="95"/>
      <c r="B2169" s="95"/>
      <c r="C2169" s="95"/>
    </row>
    <row r="2170" spans="1:3" ht="15" x14ac:dyDescent="0.25">
      <c r="A2170" s="95"/>
      <c r="B2170" s="95"/>
      <c r="C2170" s="95"/>
    </row>
    <row r="2171" spans="1:3" ht="15" x14ac:dyDescent="0.25">
      <c r="A2171" s="95"/>
      <c r="B2171" s="95"/>
      <c r="C2171" s="95"/>
    </row>
    <row r="2172" spans="1:3" ht="15" x14ac:dyDescent="0.25">
      <c r="A2172" s="95"/>
      <c r="B2172" s="95"/>
      <c r="C2172" s="95"/>
    </row>
    <row r="2173" spans="1:3" ht="15" x14ac:dyDescent="0.25">
      <c r="A2173" s="95"/>
      <c r="B2173" s="95"/>
      <c r="C2173" s="95"/>
    </row>
    <row r="2174" spans="1:3" ht="15" x14ac:dyDescent="0.25">
      <c r="A2174" s="95"/>
      <c r="B2174" s="95"/>
      <c r="C2174" s="95"/>
    </row>
    <row r="2175" spans="1:3" ht="15" x14ac:dyDescent="0.25">
      <c r="A2175" s="95"/>
      <c r="B2175" s="95"/>
      <c r="C2175" s="95"/>
    </row>
    <row r="2176" spans="1:3" ht="15" x14ac:dyDescent="0.25">
      <c r="A2176" s="95"/>
      <c r="B2176" s="95"/>
      <c r="C2176" s="95"/>
    </row>
    <row r="2177" spans="1:3" ht="15" x14ac:dyDescent="0.25">
      <c r="A2177" s="95"/>
      <c r="B2177" s="95"/>
      <c r="C2177" s="95"/>
    </row>
    <row r="2178" spans="1:3" ht="15" x14ac:dyDescent="0.25">
      <c r="A2178" s="95"/>
      <c r="B2178" s="95"/>
      <c r="C2178" s="95"/>
    </row>
    <row r="2179" spans="1:3" ht="15" x14ac:dyDescent="0.25">
      <c r="A2179" s="95"/>
      <c r="B2179" s="95"/>
      <c r="C2179" s="95"/>
    </row>
    <row r="2180" spans="1:3" ht="15" x14ac:dyDescent="0.25">
      <c r="A2180" s="95"/>
      <c r="B2180" s="95"/>
      <c r="C2180" s="95"/>
    </row>
    <row r="2181" spans="1:3" ht="15" x14ac:dyDescent="0.25">
      <c r="A2181" s="95"/>
      <c r="B2181" s="95"/>
      <c r="C2181" s="95"/>
    </row>
    <row r="2182" spans="1:3" ht="15" x14ac:dyDescent="0.25">
      <c r="A2182" s="95"/>
      <c r="B2182" s="95"/>
      <c r="C2182" s="95"/>
    </row>
    <row r="2183" spans="1:3" ht="15" x14ac:dyDescent="0.25">
      <c r="A2183" s="95"/>
      <c r="B2183" s="95"/>
      <c r="C2183" s="95"/>
    </row>
    <row r="2184" spans="1:3" ht="15" x14ac:dyDescent="0.25">
      <c r="A2184" s="95"/>
      <c r="B2184" s="95"/>
      <c r="C2184" s="95"/>
    </row>
    <row r="2185" spans="1:3" ht="15" x14ac:dyDescent="0.25">
      <c r="A2185" s="95"/>
      <c r="B2185" s="95"/>
      <c r="C2185" s="95"/>
    </row>
    <row r="2186" spans="1:3" ht="15" x14ac:dyDescent="0.25">
      <c r="A2186" s="95"/>
      <c r="B2186" s="95"/>
      <c r="C2186" s="95"/>
    </row>
    <row r="2187" spans="1:3" ht="15" x14ac:dyDescent="0.25">
      <c r="A2187" s="95"/>
      <c r="B2187" s="95"/>
      <c r="C2187" s="95"/>
    </row>
    <row r="2188" spans="1:3" ht="15" x14ac:dyDescent="0.25">
      <c r="A2188" s="95"/>
      <c r="B2188" s="95"/>
      <c r="C2188" s="95"/>
    </row>
    <row r="2189" spans="1:3" ht="15" x14ac:dyDescent="0.25">
      <c r="A2189" s="95"/>
      <c r="B2189" s="95"/>
      <c r="C2189" s="95"/>
    </row>
    <row r="2190" spans="1:3" ht="15" x14ac:dyDescent="0.25">
      <c r="A2190" s="95"/>
      <c r="B2190" s="95"/>
      <c r="C2190" s="95"/>
    </row>
    <row r="2191" spans="1:3" ht="15" x14ac:dyDescent="0.25">
      <c r="A2191" s="95"/>
      <c r="B2191" s="95"/>
      <c r="C2191" s="95"/>
    </row>
    <row r="2192" spans="1:3" ht="15" x14ac:dyDescent="0.25">
      <c r="A2192" s="95"/>
      <c r="B2192" s="95"/>
      <c r="C2192" s="95"/>
    </row>
    <row r="2193" spans="1:3" ht="15" x14ac:dyDescent="0.25">
      <c r="A2193" s="95"/>
      <c r="B2193" s="95"/>
      <c r="C2193" s="95"/>
    </row>
    <row r="2194" spans="1:3" ht="15" x14ac:dyDescent="0.25">
      <c r="A2194" s="95"/>
      <c r="B2194" s="95"/>
      <c r="C2194" s="95"/>
    </row>
    <row r="2195" spans="1:3" ht="15" x14ac:dyDescent="0.25">
      <c r="A2195" s="95"/>
      <c r="B2195" s="95"/>
      <c r="C2195" s="95"/>
    </row>
    <row r="2196" spans="1:3" ht="15" x14ac:dyDescent="0.25">
      <c r="A2196" s="95"/>
      <c r="B2196" s="95"/>
      <c r="C2196" s="95"/>
    </row>
    <row r="2197" spans="1:3" ht="15" x14ac:dyDescent="0.25">
      <c r="A2197" s="95"/>
      <c r="B2197" s="95"/>
      <c r="C2197" s="95"/>
    </row>
    <row r="2198" spans="1:3" ht="15" x14ac:dyDescent="0.25">
      <c r="A2198" s="95"/>
      <c r="B2198" s="95"/>
      <c r="C2198" s="95"/>
    </row>
    <row r="2199" spans="1:3" ht="15" x14ac:dyDescent="0.25">
      <c r="A2199" s="95"/>
      <c r="B2199" s="95"/>
      <c r="C2199" s="95"/>
    </row>
    <row r="2200" spans="1:3" ht="15" x14ac:dyDescent="0.25">
      <c r="A2200" s="95"/>
      <c r="B2200" s="95"/>
      <c r="C2200" s="95"/>
    </row>
    <row r="2201" spans="1:3" ht="15" x14ac:dyDescent="0.25">
      <c r="A2201" s="95"/>
      <c r="B2201" s="95"/>
      <c r="C2201" s="95"/>
    </row>
    <row r="2202" spans="1:3" ht="15" x14ac:dyDescent="0.25">
      <c r="A2202" s="95"/>
      <c r="B2202" s="95"/>
      <c r="C2202" s="95"/>
    </row>
    <row r="2203" spans="1:3" ht="15" x14ac:dyDescent="0.25">
      <c r="A2203" s="95"/>
      <c r="B2203" s="95"/>
      <c r="C2203" s="95"/>
    </row>
    <row r="2204" spans="1:3" ht="15" x14ac:dyDescent="0.25">
      <c r="A2204" s="95"/>
      <c r="B2204" s="95"/>
      <c r="C2204" s="95"/>
    </row>
    <row r="2205" spans="1:3" ht="15" x14ac:dyDescent="0.25">
      <c r="A2205" s="95"/>
      <c r="B2205" s="95"/>
      <c r="C2205" s="95"/>
    </row>
    <row r="2206" spans="1:3" ht="15" x14ac:dyDescent="0.25">
      <c r="A2206" s="95"/>
      <c r="B2206" s="95"/>
      <c r="C2206" s="95"/>
    </row>
    <row r="2207" spans="1:3" ht="15" x14ac:dyDescent="0.25">
      <c r="A2207" s="95"/>
      <c r="B2207" s="95"/>
      <c r="C2207" s="95"/>
    </row>
    <row r="2208" spans="1:3" ht="15" x14ac:dyDescent="0.25">
      <c r="A2208" s="95"/>
      <c r="B2208" s="95"/>
      <c r="C2208" s="95"/>
    </row>
    <row r="2209" spans="1:3" ht="15" x14ac:dyDescent="0.25">
      <c r="A2209" s="95"/>
      <c r="B2209" s="95"/>
      <c r="C2209" s="95"/>
    </row>
    <row r="2210" spans="1:3" ht="15" x14ac:dyDescent="0.25">
      <c r="A2210" s="95"/>
      <c r="B2210" s="95"/>
      <c r="C2210" s="95"/>
    </row>
    <row r="2211" spans="1:3" ht="15" x14ac:dyDescent="0.25">
      <c r="A2211" s="95"/>
      <c r="B2211" s="95"/>
      <c r="C2211" s="95"/>
    </row>
    <row r="2212" spans="1:3" ht="15" x14ac:dyDescent="0.25">
      <c r="A2212" s="95"/>
      <c r="B2212" s="95"/>
      <c r="C2212" s="95"/>
    </row>
    <row r="2213" spans="1:3" ht="15" x14ac:dyDescent="0.25">
      <c r="A2213" s="95"/>
      <c r="B2213" s="95"/>
      <c r="C2213" s="95"/>
    </row>
    <row r="2214" spans="1:3" ht="15" x14ac:dyDescent="0.25">
      <c r="A2214" s="95"/>
      <c r="B2214" s="95"/>
      <c r="C2214" s="95"/>
    </row>
    <row r="2215" spans="1:3" ht="15" x14ac:dyDescent="0.25">
      <c r="A2215" s="95"/>
      <c r="B2215" s="95"/>
      <c r="C2215" s="95"/>
    </row>
    <row r="2216" spans="1:3" ht="15" x14ac:dyDescent="0.25">
      <c r="A2216" s="95"/>
      <c r="B2216" s="95"/>
      <c r="C2216" s="95"/>
    </row>
    <row r="2217" spans="1:3" ht="15" x14ac:dyDescent="0.25">
      <c r="A2217" s="95"/>
      <c r="B2217" s="95"/>
      <c r="C2217" s="95"/>
    </row>
    <row r="2218" spans="1:3" ht="15" x14ac:dyDescent="0.25">
      <c r="A2218" s="95"/>
      <c r="B2218" s="95"/>
      <c r="C2218" s="95"/>
    </row>
    <row r="2219" spans="1:3" ht="15" x14ac:dyDescent="0.25">
      <c r="A2219" s="95"/>
      <c r="B2219" s="95"/>
      <c r="C2219" s="95"/>
    </row>
    <row r="2220" spans="1:3" ht="15" x14ac:dyDescent="0.25">
      <c r="A2220" s="95"/>
      <c r="B2220" s="95"/>
      <c r="C2220" s="95"/>
    </row>
    <row r="2221" spans="1:3" ht="15" x14ac:dyDescent="0.25">
      <c r="A2221" s="95"/>
      <c r="B2221" s="95"/>
      <c r="C2221" s="95"/>
    </row>
    <row r="2222" spans="1:3" ht="15" x14ac:dyDescent="0.25">
      <c r="A2222" s="95"/>
      <c r="B2222" s="95"/>
      <c r="C2222" s="95"/>
    </row>
    <row r="2223" spans="1:3" ht="15" x14ac:dyDescent="0.25">
      <c r="A2223" s="95"/>
      <c r="B2223" s="95"/>
      <c r="C2223" s="95"/>
    </row>
    <row r="2224" spans="1:3" ht="15" x14ac:dyDescent="0.25">
      <c r="A2224" s="95"/>
      <c r="B2224" s="95"/>
      <c r="C2224" s="95"/>
    </row>
    <row r="2225" spans="1:3" ht="15" x14ac:dyDescent="0.25">
      <c r="A2225" s="95"/>
      <c r="B2225" s="95"/>
      <c r="C2225" s="95"/>
    </row>
    <row r="2226" spans="1:3" ht="15" x14ac:dyDescent="0.25">
      <c r="A2226" s="95"/>
      <c r="B2226" s="95"/>
      <c r="C2226" s="95"/>
    </row>
    <row r="2227" spans="1:3" ht="15" x14ac:dyDescent="0.25">
      <c r="A2227" s="95"/>
      <c r="B2227" s="95"/>
      <c r="C2227" s="95"/>
    </row>
    <row r="2228" spans="1:3" ht="15" x14ac:dyDescent="0.25">
      <c r="A2228" s="95"/>
      <c r="B2228" s="95"/>
      <c r="C2228" s="95"/>
    </row>
    <row r="2229" spans="1:3" ht="15" x14ac:dyDescent="0.25">
      <c r="A2229" s="95"/>
      <c r="B2229" s="95"/>
      <c r="C2229" s="95"/>
    </row>
    <row r="2230" spans="1:3" ht="15" x14ac:dyDescent="0.25">
      <c r="A2230" s="95"/>
      <c r="B2230" s="95"/>
      <c r="C2230" s="95"/>
    </row>
    <row r="2231" spans="1:3" ht="15" x14ac:dyDescent="0.25">
      <c r="A2231" s="95"/>
      <c r="B2231" s="95"/>
      <c r="C2231" s="95"/>
    </row>
    <row r="2232" spans="1:3" ht="15" x14ac:dyDescent="0.25">
      <c r="A2232" s="95"/>
      <c r="B2232" s="95"/>
      <c r="C2232" s="95"/>
    </row>
    <row r="2233" spans="1:3" ht="15" x14ac:dyDescent="0.25">
      <c r="A2233" s="95"/>
      <c r="B2233" s="95"/>
      <c r="C2233" s="95"/>
    </row>
    <row r="2234" spans="1:3" ht="15" x14ac:dyDescent="0.25">
      <c r="A2234" s="95"/>
      <c r="B2234" s="95"/>
      <c r="C2234" s="95"/>
    </row>
    <row r="2235" spans="1:3" ht="15" x14ac:dyDescent="0.25">
      <c r="A2235" s="95"/>
      <c r="B2235" s="95"/>
      <c r="C2235" s="95"/>
    </row>
    <row r="2236" spans="1:3" ht="15" x14ac:dyDescent="0.25">
      <c r="A2236" s="95"/>
      <c r="B2236" s="95"/>
      <c r="C2236" s="95"/>
    </row>
    <row r="2237" spans="1:3" ht="15" x14ac:dyDescent="0.25">
      <c r="A2237" s="95"/>
      <c r="B2237" s="95"/>
      <c r="C2237" s="95"/>
    </row>
    <row r="2238" spans="1:3" ht="15" x14ac:dyDescent="0.25">
      <c r="A2238" s="95"/>
      <c r="B2238" s="95"/>
      <c r="C2238" s="95"/>
    </row>
    <row r="2239" spans="1:3" ht="15" x14ac:dyDescent="0.25">
      <c r="A2239" s="95"/>
      <c r="B2239" s="95"/>
      <c r="C2239" s="95"/>
    </row>
    <row r="2240" spans="1:3" ht="15" x14ac:dyDescent="0.25">
      <c r="A2240" s="95"/>
      <c r="B2240" s="95"/>
      <c r="C2240" s="95"/>
    </row>
    <row r="2241" spans="1:3" ht="15" x14ac:dyDescent="0.25">
      <c r="A2241" s="95"/>
      <c r="B2241" s="95"/>
      <c r="C2241" s="95"/>
    </row>
    <row r="2242" spans="1:3" ht="15" x14ac:dyDescent="0.25">
      <c r="A2242" s="95"/>
      <c r="B2242" s="95"/>
      <c r="C2242" s="95"/>
    </row>
    <row r="2243" spans="1:3" ht="15" x14ac:dyDescent="0.25">
      <c r="A2243" s="95"/>
      <c r="B2243" s="95"/>
      <c r="C2243" s="95"/>
    </row>
    <row r="2244" spans="1:3" ht="15" x14ac:dyDescent="0.25">
      <c r="A2244" s="95"/>
      <c r="B2244" s="95"/>
      <c r="C2244" s="95"/>
    </row>
    <row r="2245" spans="1:3" ht="15" x14ac:dyDescent="0.25">
      <c r="A2245" s="95"/>
      <c r="B2245" s="95"/>
      <c r="C2245" s="95"/>
    </row>
    <row r="2246" spans="1:3" ht="15" x14ac:dyDescent="0.25">
      <c r="A2246" s="95"/>
      <c r="B2246" s="95"/>
      <c r="C2246" s="95"/>
    </row>
    <row r="2247" spans="1:3" ht="15" x14ac:dyDescent="0.25">
      <c r="A2247" s="95"/>
      <c r="B2247" s="95"/>
      <c r="C2247" s="95"/>
    </row>
    <row r="2248" spans="1:3" ht="15" x14ac:dyDescent="0.25">
      <c r="A2248" s="95"/>
      <c r="B2248" s="95"/>
      <c r="C2248" s="95"/>
    </row>
    <row r="2249" spans="1:3" ht="15" x14ac:dyDescent="0.25">
      <c r="A2249" s="95"/>
      <c r="B2249" s="95"/>
      <c r="C2249" s="95"/>
    </row>
    <row r="2250" spans="1:3" ht="15" x14ac:dyDescent="0.25">
      <c r="A2250" s="95"/>
      <c r="B2250" s="95"/>
      <c r="C2250" s="95"/>
    </row>
    <row r="2251" spans="1:3" ht="15" x14ac:dyDescent="0.25">
      <c r="A2251" s="95"/>
      <c r="B2251" s="95"/>
      <c r="C2251" s="95"/>
    </row>
    <row r="2252" spans="1:3" ht="15" x14ac:dyDescent="0.25">
      <c r="A2252" s="95"/>
      <c r="B2252" s="95"/>
      <c r="C2252" s="95"/>
    </row>
    <row r="2253" spans="1:3" ht="15" x14ac:dyDescent="0.25">
      <c r="A2253" s="95"/>
      <c r="B2253" s="95"/>
      <c r="C2253" s="95"/>
    </row>
    <row r="2254" spans="1:3" ht="15" x14ac:dyDescent="0.25">
      <c r="A2254" s="95"/>
      <c r="B2254" s="95"/>
      <c r="C2254" s="95"/>
    </row>
    <row r="2255" spans="1:3" ht="15" x14ac:dyDescent="0.25">
      <c r="A2255" s="95"/>
      <c r="B2255" s="95"/>
      <c r="C2255" s="95"/>
    </row>
    <row r="2256" spans="1:3" ht="15" x14ac:dyDescent="0.25">
      <c r="A2256" s="95"/>
      <c r="B2256" s="95"/>
      <c r="C2256" s="95"/>
    </row>
    <row r="2257" spans="1:3" ht="15" x14ac:dyDescent="0.25">
      <c r="A2257" s="95"/>
      <c r="B2257" s="95"/>
      <c r="C2257" s="95"/>
    </row>
    <row r="2258" spans="1:3" ht="15" x14ac:dyDescent="0.25">
      <c r="A2258" s="95"/>
      <c r="B2258" s="95"/>
      <c r="C2258" s="95"/>
    </row>
    <row r="2259" spans="1:3" ht="15" x14ac:dyDescent="0.25">
      <c r="A2259" s="95"/>
      <c r="B2259" s="95"/>
      <c r="C2259" s="95"/>
    </row>
    <row r="2260" spans="1:3" ht="15" x14ac:dyDescent="0.25">
      <c r="A2260" s="95"/>
      <c r="B2260" s="95"/>
      <c r="C2260" s="95"/>
    </row>
    <row r="2261" spans="1:3" ht="15" x14ac:dyDescent="0.25">
      <c r="A2261" s="95"/>
      <c r="B2261" s="95"/>
      <c r="C2261" s="95"/>
    </row>
    <row r="2262" spans="1:3" ht="15" x14ac:dyDescent="0.25">
      <c r="A2262" s="95"/>
      <c r="B2262" s="95"/>
      <c r="C2262" s="95"/>
    </row>
    <row r="2263" spans="1:3" ht="15" x14ac:dyDescent="0.25">
      <c r="A2263" s="95"/>
      <c r="B2263" s="95"/>
      <c r="C2263" s="95"/>
    </row>
    <row r="2264" spans="1:3" ht="15" x14ac:dyDescent="0.25">
      <c r="A2264" s="95"/>
      <c r="B2264" s="95"/>
      <c r="C2264" s="95"/>
    </row>
    <row r="2265" spans="1:3" ht="15" x14ac:dyDescent="0.25">
      <c r="A2265" s="95"/>
      <c r="B2265" s="95"/>
      <c r="C2265" s="95"/>
    </row>
    <row r="2266" spans="1:3" ht="15" x14ac:dyDescent="0.25">
      <c r="A2266" s="95"/>
      <c r="B2266" s="95"/>
      <c r="C2266" s="95"/>
    </row>
    <row r="2267" spans="1:3" ht="15" x14ac:dyDescent="0.25">
      <c r="A2267" s="95"/>
      <c r="B2267" s="95"/>
      <c r="C2267" s="95"/>
    </row>
    <row r="2268" spans="1:3" ht="15" x14ac:dyDescent="0.25">
      <c r="A2268" s="95"/>
      <c r="B2268" s="95"/>
      <c r="C2268" s="95"/>
    </row>
    <row r="2269" spans="1:3" ht="15" x14ac:dyDescent="0.25">
      <c r="A2269" s="95"/>
      <c r="B2269" s="95"/>
      <c r="C2269" s="95"/>
    </row>
    <row r="2270" spans="1:3" ht="15" x14ac:dyDescent="0.25">
      <c r="A2270" s="95"/>
      <c r="B2270" s="95"/>
      <c r="C2270" s="95"/>
    </row>
    <row r="2271" spans="1:3" ht="15" x14ac:dyDescent="0.25">
      <c r="A2271" s="95"/>
      <c r="B2271" s="95"/>
      <c r="C2271" s="95"/>
    </row>
    <row r="2272" spans="1:3" ht="15" x14ac:dyDescent="0.25">
      <c r="A2272" s="95"/>
      <c r="B2272" s="95"/>
      <c r="C2272" s="95"/>
    </row>
    <row r="2273" spans="1:3" ht="15" x14ac:dyDescent="0.25">
      <c r="A2273" s="95"/>
      <c r="B2273" s="95"/>
      <c r="C2273" s="95"/>
    </row>
    <row r="2274" spans="1:3" ht="15" x14ac:dyDescent="0.25">
      <c r="A2274" s="95"/>
      <c r="B2274" s="95"/>
      <c r="C2274" s="95"/>
    </row>
    <row r="2275" spans="1:3" ht="15" x14ac:dyDescent="0.25">
      <c r="A2275" s="95"/>
      <c r="B2275" s="95"/>
      <c r="C2275" s="95"/>
    </row>
    <row r="2276" spans="1:3" ht="15" x14ac:dyDescent="0.25">
      <c r="A2276" s="95"/>
      <c r="B2276" s="95"/>
      <c r="C2276" s="95"/>
    </row>
    <row r="2277" spans="1:3" ht="15" x14ac:dyDescent="0.25">
      <c r="A2277" s="95"/>
      <c r="B2277" s="95"/>
      <c r="C2277" s="95"/>
    </row>
    <row r="2278" spans="1:3" ht="15" x14ac:dyDescent="0.25">
      <c r="A2278" s="95"/>
      <c r="B2278" s="95"/>
      <c r="C2278" s="95"/>
    </row>
    <row r="2279" spans="1:3" ht="15" x14ac:dyDescent="0.25">
      <c r="A2279" s="95"/>
      <c r="B2279" s="95"/>
      <c r="C2279" s="95"/>
    </row>
    <row r="2280" spans="1:3" ht="15" x14ac:dyDescent="0.25">
      <c r="A2280" s="95"/>
      <c r="B2280" s="95"/>
      <c r="C2280" s="95"/>
    </row>
    <row r="2281" spans="1:3" ht="15" x14ac:dyDescent="0.25">
      <c r="A2281" s="95"/>
      <c r="B2281" s="95"/>
      <c r="C2281" s="95"/>
    </row>
    <row r="2282" spans="1:3" ht="15" x14ac:dyDescent="0.25">
      <c r="A2282" s="95"/>
      <c r="B2282" s="95"/>
      <c r="C2282" s="95"/>
    </row>
    <row r="2283" spans="1:3" ht="15" x14ac:dyDescent="0.25">
      <c r="A2283" s="95"/>
      <c r="B2283" s="95"/>
      <c r="C2283" s="95"/>
    </row>
    <row r="2284" spans="1:3" ht="15" x14ac:dyDescent="0.25">
      <c r="A2284" s="95"/>
      <c r="B2284" s="95"/>
      <c r="C2284" s="95"/>
    </row>
    <row r="2285" spans="1:3" ht="15" x14ac:dyDescent="0.25">
      <c r="A2285" s="95"/>
      <c r="B2285" s="95"/>
      <c r="C2285" s="95"/>
    </row>
    <row r="2286" spans="1:3" ht="15" x14ac:dyDescent="0.25">
      <c r="A2286" s="95"/>
      <c r="B2286" s="95"/>
      <c r="C2286" s="95"/>
    </row>
    <row r="2287" spans="1:3" ht="15" x14ac:dyDescent="0.25">
      <c r="A2287" s="95"/>
      <c r="B2287" s="95"/>
      <c r="C2287" s="95"/>
    </row>
    <row r="2288" spans="1:3" ht="15" x14ac:dyDescent="0.25">
      <c r="A2288" s="95"/>
      <c r="B2288" s="95"/>
      <c r="C2288" s="95"/>
    </row>
    <row r="2289" spans="1:3" ht="15" x14ac:dyDescent="0.25">
      <c r="A2289" s="95"/>
      <c r="B2289" s="95"/>
      <c r="C2289" s="95"/>
    </row>
    <row r="2290" spans="1:3" ht="15" x14ac:dyDescent="0.25">
      <c r="A2290" s="95"/>
      <c r="B2290" s="95"/>
      <c r="C2290" s="95"/>
    </row>
    <row r="2291" spans="1:3" ht="15" x14ac:dyDescent="0.25">
      <c r="A2291" s="95"/>
      <c r="B2291" s="95"/>
      <c r="C2291" s="95"/>
    </row>
    <row r="2292" spans="1:3" ht="15" x14ac:dyDescent="0.25">
      <c r="A2292" s="95"/>
      <c r="B2292" s="95"/>
      <c r="C2292" s="95"/>
    </row>
    <row r="2293" spans="1:3" ht="15" x14ac:dyDescent="0.25">
      <c r="A2293" s="95"/>
      <c r="B2293" s="95"/>
      <c r="C2293" s="95"/>
    </row>
    <row r="2294" spans="1:3" ht="15" x14ac:dyDescent="0.25">
      <c r="A2294" s="95"/>
      <c r="B2294" s="95"/>
      <c r="C2294" s="95"/>
    </row>
    <row r="2295" spans="1:3" ht="15" x14ac:dyDescent="0.25">
      <c r="A2295" s="95"/>
      <c r="B2295" s="95"/>
      <c r="C2295" s="95"/>
    </row>
    <row r="2296" spans="1:3" ht="15" x14ac:dyDescent="0.25">
      <c r="A2296" s="95"/>
      <c r="B2296" s="95"/>
      <c r="C2296" s="95"/>
    </row>
    <row r="2297" spans="1:3" ht="15" x14ac:dyDescent="0.25">
      <c r="A2297" s="95"/>
      <c r="B2297" s="95"/>
      <c r="C2297" s="95"/>
    </row>
    <row r="2298" spans="1:3" ht="15" x14ac:dyDescent="0.25">
      <c r="A2298" s="95"/>
      <c r="B2298" s="95"/>
      <c r="C2298" s="95"/>
    </row>
    <row r="2299" spans="1:3" ht="15" x14ac:dyDescent="0.25">
      <c r="A2299" s="95"/>
      <c r="B2299" s="95"/>
      <c r="C2299" s="95"/>
    </row>
    <row r="2300" spans="1:3" ht="15" x14ac:dyDescent="0.25">
      <c r="A2300" s="95"/>
      <c r="B2300" s="95"/>
      <c r="C2300" s="95"/>
    </row>
    <row r="2301" spans="1:3" ht="15" x14ac:dyDescent="0.25">
      <c r="A2301" s="95"/>
      <c r="B2301" s="95"/>
      <c r="C2301" s="95"/>
    </row>
    <row r="2302" spans="1:3" ht="15" x14ac:dyDescent="0.25">
      <c r="A2302" s="95"/>
      <c r="B2302" s="95"/>
      <c r="C2302" s="95"/>
    </row>
    <row r="2303" spans="1:3" ht="15" x14ac:dyDescent="0.25">
      <c r="A2303" s="95"/>
      <c r="B2303" s="95"/>
      <c r="C2303" s="95"/>
    </row>
    <row r="2304" spans="1:3" ht="15" x14ac:dyDescent="0.25">
      <c r="A2304" s="95"/>
      <c r="B2304" s="95"/>
      <c r="C2304" s="95"/>
    </row>
    <row r="2305" spans="1:3" ht="15" x14ac:dyDescent="0.25">
      <c r="A2305" s="95"/>
      <c r="B2305" s="95"/>
      <c r="C2305" s="95"/>
    </row>
    <row r="2306" spans="1:3" ht="15" x14ac:dyDescent="0.25">
      <c r="A2306" s="95"/>
      <c r="B2306" s="95"/>
      <c r="C2306" s="95"/>
    </row>
    <row r="2307" spans="1:3" ht="15" x14ac:dyDescent="0.25">
      <c r="A2307" s="95"/>
      <c r="B2307" s="95"/>
      <c r="C2307" s="95"/>
    </row>
    <row r="2308" spans="1:3" ht="15" x14ac:dyDescent="0.25">
      <c r="A2308" s="95"/>
      <c r="B2308" s="95"/>
      <c r="C2308" s="95"/>
    </row>
    <row r="2309" spans="1:3" ht="15" x14ac:dyDescent="0.25">
      <c r="A2309" s="95"/>
      <c r="B2309" s="95"/>
      <c r="C2309" s="95"/>
    </row>
    <row r="2310" spans="1:3" ht="15" x14ac:dyDescent="0.25">
      <c r="A2310" s="95"/>
      <c r="B2310" s="95"/>
      <c r="C2310" s="95"/>
    </row>
    <row r="2311" spans="1:3" ht="15" x14ac:dyDescent="0.25">
      <c r="A2311" s="95"/>
      <c r="B2311" s="95"/>
      <c r="C2311" s="95"/>
    </row>
    <row r="2312" spans="1:3" ht="15" x14ac:dyDescent="0.25">
      <c r="A2312" s="95"/>
      <c r="B2312" s="95"/>
      <c r="C2312" s="95"/>
    </row>
    <row r="2313" spans="1:3" ht="15" x14ac:dyDescent="0.25">
      <c r="A2313" s="95"/>
      <c r="B2313" s="95"/>
      <c r="C2313" s="95"/>
    </row>
    <row r="2314" spans="1:3" ht="15" x14ac:dyDescent="0.25">
      <c r="A2314" s="95"/>
      <c r="B2314" s="95"/>
      <c r="C2314" s="95"/>
    </row>
    <row r="2315" spans="1:3" ht="15" x14ac:dyDescent="0.25">
      <c r="A2315" s="95"/>
      <c r="B2315" s="95"/>
      <c r="C2315" s="95"/>
    </row>
    <row r="2316" spans="1:3" ht="15" x14ac:dyDescent="0.25">
      <c r="A2316" s="95"/>
      <c r="B2316" s="95"/>
      <c r="C2316" s="95"/>
    </row>
    <row r="2317" spans="1:3" ht="15" x14ac:dyDescent="0.25">
      <c r="A2317" s="95"/>
      <c r="B2317" s="95"/>
      <c r="C2317" s="95"/>
    </row>
    <row r="2318" spans="1:3" ht="15" x14ac:dyDescent="0.25">
      <c r="A2318" s="95"/>
      <c r="B2318" s="95"/>
      <c r="C2318" s="95"/>
    </row>
    <row r="2319" spans="1:3" ht="15" x14ac:dyDescent="0.25">
      <c r="A2319" s="95"/>
      <c r="B2319" s="95"/>
      <c r="C2319" s="95"/>
    </row>
    <row r="2320" spans="1:3" ht="15" x14ac:dyDescent="0.25">
      <c r="A2320" s="95"/>
      <c r="B2320" s="95"/>
      <c r="C2320" s="95"/>
    </row>
    <row r="2321" spans="1:3" ht="15" x14ac:dyDescent="0.25">
      <c r="A2321" s="95"/>
      <c r="B2321" s="95"/>
      <c r="C2321" s="95"/>
    </row>
    <row r="2322" spans="1:3" ht="15" x14ac:dyDescent="0.25">
      <c r="A2322" s="95"/>
      <c r="B2322" s="95"/>
      <c r="C2322" s="95"/>
    </row>
    <row r="2323" spans="1:3" ht="15" x14ac:dyDescent="0.25">
      <c r="A2323" s="95"/>
      <c r="B2323" s="95"/>
      <c r="C2323" s="95"/>
    </row>
    <row r="2324" spans="1:3" ht="15" x14ac:dyDescent="0.25">
      <c r="A2324" s="95"/>
      <c r="B2324" s="95"/>
      <c r="C2324" s="95"/>
    </row>
    <row r="2325" spans="1:3" ht="15" x14ac:dyDescent="0.25">
      <c r="A2325" s="95"/>
      <c r="B2325" s="95"/>
      <c r="C2325" s="95"/>
    </row>
    <row r="2326" spans="1:3" ht="15" x14ac:dyDescent="0.25">
      <c r="A2326" s="95"/>
      <c r="B2326" s="95"/>
      <c r="C2326" s="95"/>
    </row>
    <row r="2327" spans="1:3" ht="15" x14ac:dyDescent="0.25">
      <c r="A2327" s="95"/>
      <c r="B2327" s="95"/>
      <c r="C2327" s="95"/>
    </row>
    <row r="2328" spans="1:3" ht="15" x14ac:dyDescent="0.25">
      <c r="A2328" s="95"/>
      <c r="B2328" s="95"/>
      <c r="C2328" s="95"/>
    </row>
    <row r="2329" spans="1:3" ht="15" x14ac:dyDescent="0.25">
      <c r="A2329" s="95"/>
      <c r="B2329" s="95"/>
      <c r="C2329" s="95"/>
    </row>
    <row r="2330" spans="1:3" ht="15" x14ac:dyDescent="0.25">
      <c r="A2330" s="95"/>
      <c r="B2330" s="95"/>
      <c r="C2330" s="95"/>
    </row>
    <row r="2331" spans="1:3" ht="15" x14ac:dyDescent="0.25">
      <c r="A2331" s="95"/>
      <c r="B2331" s="95"/>
      <c r="C2331" s="95"/>
    </row>
    <row r="2332" spans="1:3" ht="15" x14ac:dyDescent="0.25">
      <c r="A2332" s="95"/>
      <c r="B2332" s="95"/>
      <c r="C2332" s="95"/>
    </row>
    <row r="2333" spans="1:3" ht="15" x14ac:dyDescent="0.25">
      <c r="A2333" s="95"/>
      <c r="B2333" s="95"/>
      <c r="C2333" s="95"/>
    </row>
    <row r="2334" spans="1:3" ht="15" x14ac:dyDescent="0.25">
      <c r="A2334" s="95"/>
      <c r="B2334" s="95"/>
      <c r="C2334" s="95"/>
    </row>
    <row r="2335" spans="1:3" ht="15" x14ac:dyDescent="0.25">
      <c r="A2335" s="95"/>
      <c r="B2335" s="95"/>
      <c r="C2335" s="95"/>
    </row>
    <row r="2336" spans="1:3" ht="15" x14ac:dyDescent="0.25">
      <c r="A2336" s="95"/>
      <c r="B2336" s="95"/>
      <c r="C2336" s="95"/>
    </row>
    <row r="2337" spans="1:3" ht="15" x14ac:dyDescent="0.25">
      <c r="A2337" s="95"/>
      <c r="B2337" s="95"/>
      <c r="C2337" s="95"/>
    </row>
    <row r="2338" spans="1:3" ht="15" x14ac:dyDescent="0.25">
      <c r="A2338" s="95"/>
      <c r="B2338" s="95"/>
      <c r="C2338" s="95"/>
    </row>
    <row r="2339" spans="1:3" ht="15" x14ac:dyDescent="0.25">
      <c r="A2339" s="95"/>
      <c r="B2339" s="95"/>
      <c r="C2339" s="95"/>
    </row>
    <row r="2340" spans="1:3" ht="15" x14ac:dyDescent="0.25">
      <c r="A2340" s="95"/>
      <c r="B2340" s="95"/>
      <c r="C2340" s="95"/>
    </row>
    <row r="2341" spans="1:3" ht="15" x14ac:dyDescent="0.25">
      <c r="A2341" s="95"/>
      <c r="B2341" s="95"/>
      <c r="C2341" s="95"/>
    </row>
    <row r="2342" spans="1:3" ht="15" x14ac:dyDescent="0.25">
      <c r="A2342" s="95"/>
      <c r="B2342" s="95"/>
      <c r="C2342" s="95"/>
    </row>
    <row r="2343" spans="1:3" ht="15" x14ac:dyDescent="0.25">
      <c r="A2343" s="95"/>
      <c r="B2343" s="95"/>
      <c r="C2343" s="95"/>
    </row>
    <row r="2344" spans="1:3" ht="15" x14ac:dyDescent="0.25">
      <c r="A2344" s="95"/>
      <c r="B2344" s="95"/>
      <c r="C2344" s="95"/>
    </row>
    <row r="2345" spans="1:3" ht="15" x14ac:dyDescent="0.25">
      <c r="A2345" s="95"/>
      <c r="B2345" s="95"/>
      <c r="C2345" s="95"/>
    </row>
    <row r="2346" spans="1:3" ht="15" x14ac:dyDescent="0.25">
      <c r="A2346" s="95"/>
      <c r="B2346" s="95"/>
      <c r="C2346" s="95"/>
    </row>
    <row r="2347" spans="1:3" ht="15" x14ac:dyDescent="0.25">
      <c r="A2347" s="95"/>
      <c r="B2347" s="95"/>
      <c r="C2347" s="95"/>
    </row>
    <row r="2348" spans="1:3" ht="15" x14ac:dyDescent="0.25">
      <c r="A2348" s="95"/>
      <c r="B2348" s="95"/>
      <c r="C2348" s="95"/>
    </row>
    <row r="2349" spans="1:3" ht="15" x14ac:dyDescent="0.25">
      <c r="A2349" s="95"/>
      <c r="B2349" s="95"/>
      <c r="C2349" s="95"/>
    </row>
    <row r="2350" spans="1:3" ht="15" x14ac:dyDescent="0.25">
      <c r="A2350" s="95"/>
      <c r="B2350" s="95"/>
      <c r="C2350" s="95"/>
    </row>
    <row r="2351" spans="1:3" ht="15" x14ac:dyDescent="0.25">
      <c r="A2351" s="95"/>
      <c r="B2351" s="95"/>
      <c r="C2351" s="95"/>
    </row>
    <row r="2352" spans="1:3" ht="15" x14ac:dyDescent="0.25">
      <c r="A2352" s="95"/>
      <c r="B2352" s="95"/>
      <c r="C2352" s="95"/>
    </row>
    <row r="2353" spans="1:3" ht="15" x14ac:dyDescent="0.25">
      <c r="A2353" s="95"/>
      <c r="B2353" s="95"/>
      <c r="C2353" s="95"/>
    </row>
    <row r="2354" spans="1:3" ht="15" x14ac:dyDescent="0.25">
      <c r="A2354" s="95"/>
      <c r="B2354" s="95"/>
      <c r="C2354" s="95"/>
    </row>
    <row r="2355" spans="1:3" ht="15" x14ac:dyDescent="0.25">
      <c r="A2355" s="95"/>
      <c r="B2355" s="95"/>
      <c r="C2355" s="95"/>
    </row>
    <row r="2356" spans="1:3" ht="15" x14ac:dyDescent="0.25">
      <c r="A2356" s="95"/>
      <c r="B2356" s="95"/>
      <c r="C2356" s="95"/>
    </row>
    <row r="2357" spans="1:3" ht="15" x14ac:dyDescent="0.25">
      <c r="A2357" s="95"/>
      <c r="B2357" s="95"/>
      <c r="C2357" s="95"/>
    </row>
    <row r="2358" spans="1:3" ht="15" x14ac:dyDescent="0.25">
      <c r="A2358" s="95"/>
      <c r="B2358" s="95"/>
      <c r="C2358" s="95"/>
    </row>
    <row r="2359" spans="1:3" ht="15" x14ac:dyDescent="0.25">
      <c r="A2359" s="95"/>
      <c r="B2359" s="95"/>
      <c r="C2359" s="95"/>
    </row>
    <row r="2360" spans="1:3" ht="15" x14ac:dyDescent="0.25">
      <c r="A2360" s="95"/>
      <c r="B2360" s="95"/>
      <c r="C2360" s="95"/>
    </row>
    <row r="2361" spans="1:3" ht="15" x14ac:dyDescent="0.25">
      <c r="A2361" s="95"/>
      <c r="B2361" s="95"/>
      <c r="C2361" s="95"/>
    </row>
    <row r="2362" spans="1:3" ht="15" x14ac:dyDescent="0.25">
      <c r="A2362" s="95"/>
      <c r="B2362" s="95"/>
      <c r="C2362" s="95"/>
    </row>
    <row r="2363" spans="1:3" ht="15" x14ac:dyDescent="0.25">
      <c r="A2363" s="95"/>
      <c r="B2363" s="95"/>
      <c r="C2363" s="95"/>
    </row>
    <row r="2364" spans="1:3" ht="15" x14ac:dyDescent="0.25">
      <c r="A2364" s="95"/>
      <c r="B2364" s="95"/>
      <c r="C2364" s="95"/>
    </row>
    <row r="2365" spans="1:3" ht="15" x14ac:dyDescent="0.25">
      <c r="A2365" s="95"/>
      <c r="B2365" s="95"/>
      <c r="C2365" s="95"/>
    </row>
    <row r="2366" spans="1:3" ht="15" x14ac:dyDescent="0.25">
      <c r="A2366" s="95"/>
      <c r="B2366" s="95"/>
      <c r="C2366" s="95"/>
    </row>
    <row r="2367" spans="1:3" ht="15" x14ac:dyDescent="0.25">
      <c r="A2367" s="95"/>
      <c r="B2367" s="95"/>
      <c r="C2367" s="95"/>
    </row>
    <row r="2368" spans="1:3" ht="15" x14ac:dyDescent="0.25">
      <c r="A2368" s="95"/>
      <c r="B2368" s="95"/>
      <c r="C2368" s="95"/>
    </row>
    <row r="2369" spans="1:3" ht="15" x14ac:dyDescent="0.25">
      <c r="A2369" s="95"/>
      <c r="B2369" s="95"/>
      <c r="C2369" s="95"/>
    </row>
    <row r="2370" spans="1:3" ht="15" x14ac:dyDescent="0.25">
      <c r="A2370" s="95"/>
      <c r="B2370" s="95"/>
      <c r="C2370" s="95"/>
    </row>
    <row r="2371" spans="1:3" ht="15" x14ac:dyDescent="0.25">
      <c r="A2371" s="95"/>
      <c r="B2371" s="95"/>
      <c r="C2371" s="95"/>
    </row>
    <row r="2372" spans="1:3" ht="15" x14ac:dyDescent="0.25">
      <c r="A2372" s="95"/>
      <c r="B2372" s="95"/>
      <c r="C2372" s="95"/>
    </row>
    <row r="2373" spans="1:3" ht="15" x14ac:dyDescent="0.25">
      <c r="A2373" s="95"/>
      <c r="B2373" s="95"/>
      <c r="C2373" s="95"/>
    </row>
    <row r="2374" spans="1:3" ht="15" x14ac:dyDescent="0.25">
      <c r="A2374" s="95"/>
      <c r="B2374" s="95"/>
      <c r="C2374" s="95"/>
    </row>
    <row r="2375" spans="1:3" ht="15" x14ac:dyDescent="0.25">
      <c r="A2375" s="95"/>
      <c r="B2375" s="95"/>
      <c r="C2375" s="95"/>
    </row>
    <row r="2376" spans="1:3" ht="15" x14ac:dyDescent="0.25">
      <c r="A2376" s="95"/>
      <c r="B2376" s="95"/>
      <c r="C2376" s="95"/>
    </row>
    <row r="2377" spans="1:3" ht="15" x14ac:dyDescent="0.25">
      <c r="A2377" s="95"/>
      <c r="B2377" s="95"/>
      <c r="C2377" s="95"/>
    </row>
    <row r="2378" spans="1:3" ht="15" x14ac:dyDescent="0.25">
      <c r="A2378" s="95"/>
      <c r="B2378" s="95"/>
      <c r="C2378" s="95"/>
    </row>
    <row r="2379" spans="1:3" ht="15" x14ac:dyDescent="0.25">
      <c r="A2379" s="95"/>
      <c r="B2379" s="95"/>
      <c r="C2379" s="95"/>
    </row>
    <row r="2380" spans="1:3" ht="15" x14ac:dyDescent="0.25">
      <c r="A2380" s="95"/>
      <c r="B2380" s="95"/>
      <c r="C2380" s="95"/>
    </row>
    <row r="2381" spans="1:3" ht="15" x14ac:dyDescent="0.25">
      <c r="A2381" s="95"/>
      <c r="B2381" s="95"/>
      <c r="C2381" s="95"/>
    </row>
    <row r="2382" spans="1:3" ht="15" x14ac:dyDescent="0.25">
      <c r="A2382" s="95"/>
      <c r="B2382" s="95"/>
      <c r="C2382" s="95"/>
    </row>
    <row r="2383" spans="1:3" ht="15" x14ac:dyDescent="0.25">
      <c r="A2383" s="95"/>
      <c r="B2383" s="95"/>
      <c r="C2383" s="95"/>
    </row>
    <row r="2384" spans="1:3" ht="15" x14ac:dyDescent="0.25">
      <c r="A2384" s="95"/>
      <c r="B2384" s="95"/>
      <c r="C2384" s="95"/>
    </row>
    <row r="2385" spans="1:3" ht="15" x14ac:dyDescent="0.25">
      <c r="A2385" s="95"/>
      <c r="B2385" s="95"/>
      <c r="C2385" s="95"/>
    </row>
    <row r="2386" spans="1:3" ht="15" x14ac:dyDescent="0.25">
      <c r="A2386" s="95"/>
      <c r="B2386" s="95"/>
      <c r="C2386" s="95"/>
    </row>
    <row r="2387" spans="1:3" ht="15" x14ac:dyDescent="0.25">
      <c r="A2387" s="95"/>
      <c r="B2387" s="95"/>
      <c r="C2387" s="95"/>
    </row>
    <row r="2388" spans="1:3" ht="15" x14ac:dyDescent="0.25">
      <c r="A2388" s="95"/>
      <c r="B2388" s="95"/>
      <c r="C2388" s="95"/>
    </row>
    <row r="2389" spans="1:3" ht="15" x14ac:dyDescent="0.25">
      <c r="A2389" s="95"/>
      <c r="B2389" s="95"/>
      <c r="C2389" s="95"/>
    </row>
    <row r="2390" spans="1:3" ht="15" x14ac:dyDescent="0.25">
      <c r="A2390" s="95"/>
      <c r="B2390" s="95"/>
      <c r="C2390" s="95"/>
    </row>
    <row r="2391" spans="1:3" ht="15" x14ac:dyDescent="0.25">
      <c r="A2391" s="95"/>
      <c r="B2391" s="95"/>
      <c r="C2391" s="95"/>
    </row>
    <row r="2392" spans="1:3" ht="15" x14ac:dyDescent="0.25">
      <c r="A2392" s="95"/>
      <c r="B2392" s="95"/>
      <c r="C2392" s="95"/>
    </row>
    <row r="2393" spans="1:3" ht="15" x14ac:dyDescent="0.25">
      <c r="A2393" s="95"/>
      <c r="B2393" s="95"/>
      <c r="C2393" s="95"/>
    </row>
    <row r="2394" spans="1:3" ht="15" x14ac:dyDescent="0.25">
      <c r="A2394" s="95"/>
      <c r="B2394" s="95"/>
      <c r="C2394" s="95"/>
    </row>
    <row r="2395" spans="1:3" ht="15" x14ac:dyDescent="0.25">
      <c r="A2395" s="95"/>
      <c r="B2395" s="95"/>
      <c r="C2395" s="95"/>
    </row>
    <row r="2396" spans="1:3" ht="15" x14ac:dyDescent="0.25">
      <c r="A2396" s="95"/>
      <c r="B2396" s="95"/>
      <c r="C2396" s="95"/>
    </row>
    <row r="2397" spans="1:3" ht="15" x14ac:dyDescent="0.25">
      <c r="A2397" s="95"/>
      <c r="B2397" s="95"/>
      <c r="C2397" s="95"/>
    </row>
    <row r="2398" spans="1:3" ht="15" x14ac:dyDescent="0.25">
      <c r="A2398" s="95"/>
      <c r="B2398" s="95"/>
      <c r="C2398" s="95"/>
    </row>
    <row r="2399" spans="1:3" ht="15" x14ac:dyDescent="0.25">
      <c r="A2399" s="95"/>
      <c r="B2399" s="95"/>
      <c r="C2399" s="95"/>
    </row>
    <row r="2400" spans="1:3" ht="15" x14ac:dyDescent="0.25">
      <c r="A2400" s="95"/>
      <c r="B2400" s="95"/>
      <c r="C2400" s="95"/>
    </row>
    <row r="2401" spans="1:3" ht="15" x14ac:dyDescent="0.25">
      <c r="A2401" s="95"/>
      <c r="B2401" s="95"/>
      <c r="C2401" s="95"/>
    </row>
    <row r="2402" spans="1:3" ht="15" x14ac:dyDescent="0.25">
      <c r="A2402" s="95"/>
      <c r="B2402" s="95"/>
      <c r="C2402" s="95"/>
    </row>
    <row r="2403" spans="1:3" ht="15" x14ac:dyDescent="0.25">
      <c r="A2403" s="95"/>
      <c r="B2403" s="95"/>
      <c r="C2403" s="95"/>
    </row>
    <row r="2404" spans="1:3" ht="15" x14ac:dyDescent="0.25">
      <c r="A2404" s="95"/>
      <c r="B2404" s="95"/>
      <c r="C2404" s="95"/>
    </row>
    <row r="2405" spans="1:3" ht="15" x14ac:dyDescent="0.25">
      <c r="A2405" s="95"/>
      <c r="B2405" s="95"/>
      <c r="C2405" s="95"/>
    </row>
    <row r="2406" spans="1:3" ht="15" x14ac:dyDescent="0.25">
      <c r="A2406" s="95"/>
      <c r="B2406" s="95"/>
      <c r="C2406" s="95"/>
    </row>
    <row r="2407" spans="1:3" ht="15" x14ac:dyDescent="0.25">
      <c r="A2407" s="95"/>
      <c r="B2407" s="95"/>
      <c r="C2407" s="95"/>
    </row>
    <row r="2408" spans="1:3" ht="15" x14ac:dyDescent="0.25">
      <c r="A2408" s="95"/>
      <c r="B2408" s="95"/>
      <c r="C2408" s="95"/>
    </row>
    <row r="2409" spans="1:3" ht="15" x14ac:dyDescent="0.25">
      <c r="A2409" s="95"/>
      <c r="B2409" s="95"/>
      <c r="C2409" s="95"/>
    </row>
    <row r="2410" spans="1:3" ht="15" x14ac:dyDescent="0.25">
      <c r="A2410" s="95"/>
      <c r="B2410" s="95"/>
      <c r="C2410" s="95"/>
    </row>
    <row r="2411" spans="1:3" ht="15" x14ac:dyDescent="0.25">
      <c r="A2411" s="95"/>
      <c r="B2411" s="95"/>
      <c r="C2411" s="95"/>
    </row>
    <row r="2412" spans="1:3" ht="15" x14ac:dyDescent="0.25">
      <c r="A2412" s="95"/>
      <c r="B2412" s="95"/>
      <c r="C2412" s="95"/>
    </row>
    <row r="2413" spans="1:3" ht="15" x14ac:dyDescent="0.25">
      <c r="A2413" s="95"/>
      <c r="B2413" s="95"/>
      <c r="C2413" s="95"/>
    </row>
    <row r="2414" spans="1:3" ht="15" x14ac:dyDescent="0.25">
      <c r="A2414" s="95"/>
      <c r="B2414" s="95"/>
      <c r="C2414" s="95"/>
    </row>
    <row r="2415" spans="1:3" ht="15" x14ac:dyDescent="0.25">
      <c r="A2415" s="95"/>
      <c r="B2415" s="95"/>
      <c r="C2415" s="95"/>
    </row>
    <row r="2416" spans="1:3" ht="15" x14ac:dyDescent="0.25">
      <c r="A2416" s="95"/>
      <c r="B2416" s="95"/>
      <c r="C2416" s="95"/>
    </row>
    <row r="2417" spans="1:3" ht="15" x14ac:dyDescent="0.25">
      <c r="A2417" s="95"/>
      <c r="B2417" s="95"/>
      <c r="C2417" s="95"/>
    </row>
    <row r="2418" spans="1:3" ht="15" x14ac:dyDescent="0.25">
      <c r="A2418" s="95"/>
      <c r="B2418" s="95"/>
      <c r="C2418" s="95"/>
    </row>
    <row r="2419" spans="1:3" ht="15" x14ac:dyDescent="0.25">
      <c r="A2419" s="95"/>
      <c r="B2419" s="95"/>
      <c r="C2419" s="95"/>
    </row>
    <row r="2420" spans="1:3" ht="15" x14ac:dyDescent="0.25">
      <c r="A2420" s="95"/>
      <c r="B2420" s="95"/>
      <c r="C2420" s="95"/>
    </row>
    <row r="2421" spans="1:3" ht="15" x14ac:dyDescent="0.25">
      <c r="A2421" s="95"/>
      <c r="B2421" s="95"/>
      <c r="C2421" s="95"/>
    </row>
    <row r="2422" spans="1:3" ht="15" x14ac:dyDescent="0.25">
      <c r="A2422" s="95"/>
      <c r="B2422" s="95"/>
      <c r="C2422" s="95"/>
    </row>
    <row r="2423" spans="1:3" ht="15" x14ac:dyDescent="0.25">
      <c r="A2423" s="95"/>
      <c r="B2423" s="95"/>
      <c r="C2423" s="95"/>
    </row>
    <row r="2424" spans="1:3" ht="15" x14ac:dyDescent="0.25">
      <c r="A2424" s="95"/>
      <c r="B2424" s="95"/>
      <c r="C2424" s="95"/>
    </row>
    <row r="2425" spans="1:3" ht="15" x14ac:dyDescent="0.25">
      <c r="A2425" s="95"/>
      <c r="B2425" s="95"/>
      <c r="C2425" s="95"/>
    </row>
    <row r="2426" spans="1:3" ht="15" x14ac:dyDescent="0.25">
      <c r="A2426" s="95"/>
      <c r="B2426" s="95"/>
      <c r="C2426" s="95"/>
    </row>
    <row r="2427" spans="1:3" ht="15" x14ac:dyDescent="0.25">
      <c r="A2427" s="95"/>
      <c r="B2427" s="95"/>
      <c r="C2427" s="95"/>
    </row>
    <row r="2428" spans="1:3" ht="15" x14ac:dyDescent="0.25">
      <c r="A2428" s="95"/>
      <c r="B2428" s="95"/>
      <c r="C2428" s="95"/>
    </row>
    <row r="2429" spans="1:3" ht="15" x14ac:dyDescent="0.25">
      <c r="A2429" s="95"/>
      <c r="B2429" s="95"/>
      <c r="C2429" s="95"/>
    </row>
    <row r="2430" spans="1:3" ht="15" x14ac:dyDescent="0.25">
      <c r="A2430" s="95"/>
      <c r="B2430" s="95"/>
      <c r="C2430" s="95"/>
    </row>
    <row r="2431" spans="1:3" ht="15" x14ac:dyDescent="0.25">
      <c r="A2431" s="95"/>
      <c r="B2431" s="95"/>
      <c r="C2431" s="95"/>
    </row>
    <row r="2432" spans="1:3" ht="15" x14ac:dyDescent="0.25">
      <c r="A2432" s="95"/>
      <c r="B2432" s="95"/>
      <c r="C2432" s="95"/>
    </row>
    <row r="2433" spans="1:3" ht="15" x14ac:dyDescent="0.25">
      <c r="A2433" s="95"/>
      <c r="B2433" s="95"/>
      <c r="C2433" s="95"/>
    </row>
    <row r="2434" spans="1:3" ht="15" x14ac:dyDescent="0.25">
      <c r="A2434" s="95"/>
      <c r="B2434" s="95"/>
      <c r="C2434" s="95"/>
    </row>
    <row r="2435" spans="1:3" ht="15" x14ac:dyDescent="0.25">
      <c r="A2435" s="95"/>
      <c r="B2435" s="95"/>
      <c r="C2435" s="95"/>
    </row>
    <row r="2436" spans="1:3" ht="15" x14ac:dyDescent="0.25">
      <c r="A2436" s="95"/>
      <c r="B2436" s="95"/>
      <c r="C2436" s="95"/>
    </row>
    <row r="2437" spans="1:3" ht="15" x14ac:dyDescent="0.25">
      <c r="A2437" s="95"/>
      <c r="B2437" s="95"/>
      <c r="C2437" s="95"/>
    </row>
    <row r="2438" spans="1:3" ht="15" x14ac:dyDescent="0.25">
      <c r="A2438" s="95"/>
      <c r="B2438" s="95"/>
      <c r="C2438" s="95"/>
    </row>
    <row r="2439" spans="1:3" ht="15" x14ac:dyDescent="0.25">
      <c r="A2439" s="95"/>
      <c r="B2439" s="95"/>
      <c r="C2439" s="95"/>
    </row>
    <row r="2440" spans="1:3" ht="15" x14ac:dyDescent="0.25">
      <c r="A2440" s="95"/>
      <c r="B2440" s="95"/>
      <c r="C2440" s="95"/>
    </row>
    <row r="2441" spans="1:3" ht="15" x14ac:dyDescent="0.25">
      <c r="A2441" s="95"/>
      <c r="B2441" s="95"/>
      <c r="C2441" s="95"/>
    </row>
    <row r="2442" spans="1:3" ht="15" x14ac:dyDescent="0.25">
      <c r="A2442" s="95"/>
      <c r="B2442" s="95"/>
      <c r="C2442" s="95"/>
    </row>
    <row r="2443" spans="1:3" ht="15" x14ac:dyDescent="0.25">
      <c r="A2443" s="95"/>
      <c r="B2443" s="95"/>
      <c r="C2443" s="95"/>
    </row>
    <row r="2444" spans="1:3" ht="15" x14ac:dyDescent="0.25">
      <c r="A2444" s="95"/>
      <c r="B2444" s="95"/>
      <c r="C2444" s="95"/>
    </row>
    <row r="2445" spans="1:3" ht="15" x14ac:dyDescent="0.25">
      <c r="A2445" s="95"/>
      <c r="B2445" s="95"/>
      <c r="C2445" s="95"/>
    </row>
    <row r="2446" spans="1:3" ht="15" x14ac:dyDescent="0.25">
      <c r="A2446" s="95"/>
      <c r="B2446" s="95"/>
      <c r="C2446" s="95"/>
    </row>
    <row r="2447" spans="1:3" ht="15" x14ac:dyDescent="0.25">
      <c r="A2447" s="95"/>
      <c r="B2447" s="95"/>
      <c r="C2447" s="95"/>
    </row>
    <row r="2448" spans="1:3" ht="15" x14ac:dyDescent="0.25">
      <c r="A2448" s="95"/>
      <c r="B2448" s="95"/>
      <c r="C2448" s="95"/>
    </row>
    <row r="2449" spans="1:3" ht="15" x14ac:dyDescent="0.25">
      <c r="A2449" s="95"/>
      <c r="B2449" s="95"/>
      <c r="C2449" s="95"/>
    </row>
    <row r="2450" spans="1:3" ht="15" x14ac:dyDescent="0.25">
      <c r="A2450" s="95"/>
      <c r="B2450" s="95"/>
      <c r="C2450" s="95"/>
    </row>
    <row r="2451" spans="1:3" ht="15" x14ac:dyDescent="0.25">
      <c r="A2451" s="95"/>
      <c r="B2451" s="95"/>
      <c r="C2451" s="95"/>
    </row>
    <row r="2452" spans="1:3" ht="15" x14ac:dyDescent="0.25">
      <c r="A2452" s="95"/>
      <c r="B2452" s="95"/>
      <c r="C2452" s="95"/>
    </row>
    <row r="2453" spans="1:3" ht="15" x14ac:dyDescent="0.25">
      <c r="A2453" s="95"/>
      <c r="B2453" s="95"/>
      <c r="C2453" s="95"/>
    </row>
    <row r="2454" spans="1:3" ht="15" x14ac:dyDescent="0.25">
      <c r="A2454" s="95"/>
      <c r="B2454" s="95"/>
      <c r="C2454" s="95"/>
    </row>
    <row r="2455" spans="1:3" ht="15" x14ac:dyDescent="0.25">
      <c r="A2455" s="95"/>
      <c r="B2455" s="95"/>
      <c r="C2455" s="95"/>
    </row>
    <row r="2456" spans="1:3" ht="15" x14ac:dyDescent="0.25">
      <c r="A2456" s="95"/>
      <c r="B2456" s="95"/>
      <c r="C2456" s="95"/>
    </row>
    <row r="2457" spans="1:3" ht="15" x14ac:dyDescent="0.25">
      <c r="A2457" s="95"/>
      <c r="B2457" s="95"/>
      <c r="C2457" s="95"/>
    </row>
    <row r="2458" spans="1:3" ht="15" x14ac:dyDescent="0.25">
      <c r="A2458" s="95"/>
      <c r="B2458" s="95"/>
      <c r="C2458" s="95"/>
    </row>
    <row r="2459" spans="1:3" ht="15" x14ac:dyDescent="0.25">
      <c r="A2459" s="95"/>
      <c r="B2459" s="95"/>
      <c r="C2459" s="95"/>
    </row>
    <row r="2460" spans="1:3" ht="15" x14ac:dyDescent="0.25">
      <c r="A2460" s="95"/>
      <c r="B2460" s="95"/>
      <c r="C2460" s="95"/>
    </row>
    <row r="2461" spans="1:3" ht="15" x14ac:dyDescent="0.25">
      <c r="A2461" s="95"/>
      <c r="B2461" s="95"/>
      <c r="C2461" s="95"/>
    </row>
    <row r="2462" spans="1:3" ht="15" x14ac:dyDescent="0.25">
      <c r="A2462" s="95"/>
      <c r="B2462" s="95"/>
      <c r="C2462" s="95"/>
    </row>
    <row r="2463" spans="1:3" ht="15" x14ac:dyDescent="0.25">
      <c r="A2463" s="95"/>
      <c r="B2463" s="95"/>
      <c r="C2463" s="95"/>
    </row>
    <row r="2464" spans="1:3" ht="15" x14ac:dyDescent="0.25">
      <c r="A2464" s="95"/>
      <c r="B2464" s="95"/>
      <c r="C2464" s="95"/>
    </row>
    <row r="2465" spans="1:3" ht="15" x14ac:dyDescent="0.25">
      <c r="A2465" s="95"/>
      <c r="B2465" s="95"/>
      <c r="C2465" s="95"/>
    </row>
    <row r="2466" spans="1:3" ht="15" x14ac:dyDescent="0.25">
      <c r="A2466" s="95"/>
      <c r="B2466" s="95"/>
      <c r="C2466" s="95"/>
    </row>
    <row r="2467" spans="1:3" ht="15" x14ac:dyDescent="0.25">
      <c r="A2467" s="95"/>
      <c r="B2467" s="95"/>
      <c r="C2467" s="95"/>
    </row>
    <row r="2468" spans="1:3" ht="15" x14ac:dyDescent="0.25">
      <c r="A2468" s="95"/>
      <c r="B2468" s="95"/>
      <c r="C2468" s="95"/>
    </row>
    <row r="2469" spans="1:3" ht="15" x14ac:dyDescent="0.25">
      <c r="A2469" s="95"/>
      <c r="B2469" s="95"/>
      <c r="C2469" s="95"/>
    </row>
    <row r="2470" spans="1:3" ht="15" x14ac:dyDescent="0.25">
      <c r="A2470" s="95"/>
      <c r="B2470" s="95"/>
      <c r="C2470" s="95"/>
    </row>
    <row r="2471" spans="1:3" ht="15" x14ac:dyDescent="0.25">
      <c r="A2471" s="95"/>
      <c r="B2471" s="95"/>
      <c r="C2471" s="95"/>
    </row>
    <row r="2472" spans="1:3" ht="15" x14ac:dyDescent="0.25">
      <c r="A2472" s="95"/>
      <c r="B2472" s="95"/>
      <c r="C2472" s="95"/>
    </row>
    <row r="2473" spans="1:3" ht="15" x14ac:dyDescent="0.25">
      <c r="A2473" s="95"/>
      <c r="B2473" s="95"/>
      <c r="C2473" s="95"/>
    </row>
    <row r="2474" spans="1:3" ht="15" x14ac:dyDescent="0.25">
      <c r="A2474" s="95"/>
      <c r="B2474" s="95"/>
      <c r="C2474" s="95"/>
    </row>
    <row r="2475" spans="1:3" ht="15" x14ac:dyDescent="0.25">
      <c r="A2475" s="95"/>
      <c r="B2475" s="95"/>
      <c r="C2475" s="95"/>
    </row>
    <row r="2476" spans="1:3" ht="15" x14ac:dyDescent="0.25">
      <c r="A2476" s="95"/>
      <c r="B2476" s="95"/>
      <c r="C2476" s="95"/>
    </row>
    <row r="2477" spans="1:3" ht="15" x14ac:dyDescent="0.25">
      <c r="A2477" s="95"/>
      <c r="B2477" s="95"/>
      <c r="C2477" s="95"/>
    </row>
    <row r="2478" spans="1:3" ht="15" x14ac:dyDescent="0.25">
      <c r="A2478" s="95"/>
      <c r="B2478" s="95"/>
      <c r="C2478" s="95"/>
    </row>
    <row r="2479" spans="1:3" ht="15" x14ac:dyDescent="0.25">
      <c r="A2479" s="95"/>
      <c r="B2479" s="95"/>
      <c r="C2479" s="95"/>
    </row>
    <row r="2480" spans="1:3" ht="15" x14ac:dyDescent="0.25">
      <c r="A2480" s="95"/>
      <c r="B2480" s="95"/>
      <c r="C2480" s="95"/>
    </row>
    <row r="2481" spans="1:3" ht="15" x14ac:dyDescent="0.25">
      <c r="A2481" s="95"/>
      <c r="B2481" s="95"/>
      <c r="C2481" s="95"/>
    </row>
    <row r="2482" spans="1:3" ht="15" x14ac:dyDescent="0.25">
      <c r="A2482" s="95"/>
      <c r="B2482" s="95"/>
      <c r="C2482" s="95"/>
    </row>
    <row r="2483" spans="1:3" ht="15" x14ac:dyDescent="0.25">
      <c r="A2483" s="95"/>
      <c r="B2483" s="95"/>
      <c r="C2483" s="95"/>
    </row>
    <row r="2484" spans="1:3" ht="15" x14ac:dyDescent="0.25">
      <c r="A2484" s="95"/>
      <c r="B2484" s="95"/>
      <c r="C2484" s="95"/>
    </row>
    <row r="2485" spans="1:3" ht="15" x14ac:dyDescent="0.25">
      <c r="A2485" s="95"/>
      <c r="B2485" s="95"/>
      <c r="C2485" s="95"/>
    </row>
    <row r="2486" spans="1:3" ht="15" x14ac:dyDescent="0.25">
      <c r="A2486" s="95"/>
      <c r="B2486" s="95"/>
      <c r="C2486" s="95"/>
    </row>
    <row r="2487" spans="1:3" ht="15" x14ac:dyDescent="0.25">
      <c r="A2487" s="95"/>
      <c r="B2487" s="95"/>
      <c r="C2487" s="95"/>
    </row>
    <row r="2488" spans="1:3" ht="15" x14ac:dyDescent="0.25">
      <c r="A2488" s="95"/>
      <c r="B2488" s="95"/>
      <c r="C2488" s="95"/>
    </row>
    <row r="2489" spans="1:3" ht="15" x14ac:dyDescent="0.25">
      <c r="A2489" s="95"/>
      <c r="B2489" s="95"/>
      <c r="C2489" s="95"/>
    </row>
    <row r="2490" spans="1:3" ht="15" x14ac:dyDescent="0.25">
      <c r="A2490" s="95"/>
      <c r="B2490" s="95"/>
      <c r="C2490" s="95"/>
    </row>
    <row r="2491" spans="1:3" ht="15" x14ac:dyDescent="0.25">
      <c r="A2491" s="95"/>
      <c r="B2491" s="95"/>
      <c r="C2491" s="95"/>
    </row>
    <row r="2492" spans="1:3" ht="15" x14ac:dyDescent="0.25">
      <c r="A2492" s="95"/>
      <c r="B2492" s="95"/>
      <c r="C2492" s="95"/>
    </row>
    <row r="2493" spans="1:3" ht="15" x14ac:dyDescent="0.25">
      <c r="A2493" s="95"/>
      <c r="B2493" s="95"/>
      <c r="C2493" s="95"/>
    </row>
    <row r="2494" spans="1:3" ht="15" x14ac:dyDescent="0.25">
      <c r="A2494" s="95"/>
      <c r="B2494" s="95"/>
      <c r="C2494" s="95"/>
    </row>
    <row r="2495" spans="1:3" ht="15" x14ac:dyDescent="0.25">
      <c r="A2495" s="95"/>
      <c r="B2495" s="95"/>
      <c r="C2495" s="95"/>
    </row>
    <row r="2496" spans="1:3" ht="15" x14ac:dyDescent="0.25">
      <c r="A2496" s="95"/>
      <c r="B2496" s="95"/>
      <c r="C2496" s="95"/>
    </row>
    <row r="2497" spans="1:3" ht="15" x14ac:dyDescent="0.25">
      <c r="A2497" s="95"/>
      <c r="B2497" s="95"/>
      <c r="C2497" s="95"/>
    </row>
    <row r="2498" spans="1:3" ht="15" x14ac:dyDescent="0.25">
      <c r="A2498" s="95"/>
      <c r="B2498" s="95"/>
      <c r="C2498" s="95"/>
    </row>
    <row r="2499" spans="1:3" ht="15" x14ac:dyDescent="0.25">
      <c r="A2499" s="95"/>
      <c r="B2499" s="95"/>
      <c r="C2499" s="95"/>
    </row>
    <row r="2500" spans="1:3" ht="15" x14ac:dyDescent="0.25">
      <c r="A2500" s="95"/>
      <c r="B2500" s="95"/>
      <c r="C2500" s="95"/>
    </row>
    <row r="2501" spans="1:3" ht="15" x14ac:dyDescent="0.25">
      <c r="A2501" s="95"/>
      <c r="B2501" s="95"/>
      <c r="C2501" s="95"/>
    </row>
    <row r="2502" spans="1:3" ht="15" x14ac:dyDescent="0.25">
      <c r="A2502" s="95"/>
      <c r="B2502" s="95"/>
      <c r="C2502" s="95"/>
    </row>
    <row r="2503" spans="1:3" ht="15" x14ac:dyDescent="0.25">
      <c r="A2503" s="95"/>
      <c r="B2503" s="95"/>
      <c r="C2503" s="95"/>
    </row>
    <row r="2504" spans="1:3" ht="15" x14ac:dyDescent="0.25">
      <c r="A2504" s="95"/>
      <c r="B2504" s="95"/>
      <c r="C2504" s="95"/>
    </row>
    <row r="2505" spans="1:3" ht="15" x14ac:dyDescent="0.25">
      <c r="A2505" s="95"/>
      <c r="B2505" s="95"/>
      <c r="C2505" s="95"/>
    </row>
    <row r="2506" spans="1:3" ht="15" x14ac:dyDescent="0.25">
      <c r="A2506" s="95"/>
      <c r="B2506" s="95"/>
      <c r="C2506" s="95"/>
    </row>
    <row r="2507" spans="1:3" ht="15" x14ac:dyDescent="0.25">
      <c r="A2507" s="95"/>
      <c r="B2507" s="95"/>
      <c r="C2507" s="95"/>
    </row>
    <row r="2508" spans="1:3" ht="15" x14ac:dyDescent="0.25">
      <c r="A2508" s="95"/>
      <c r="B2508" s="95"/>
      <c r="C2508" s="95"/>
    </row>
    <row r="2509" spans="1:3" ht="15" x14ac:dyDescent="0.25">
      <c r="A2509" s="95"/>
      <c r="B2509" s="95"/>
      <c r="C2509" s="95"/>
    </row>
    <row r="2510" spans="1:3" ht="15" x14ac:dyDescent="0.25">
      <c r="A2510" s="95"/>
      <c r="B2510" s="95"/>
      <c r="C2510" s="95"/>
    </row>
    <row r="2511" spans="1:3" ht="15" x14ac:dyDescent="0.25">
      <c r="A2511" s="95"/>
      <c r="B2511" s="95"/>
      <c r="C2511" s="95"/>
    </row>
    <row r="2512" spans="1:3" ht="15" x14ac:dyDescent="0.25">
      <c r="A2512" s="95"/>
      <c r="B2512" s="95"/>
      <c r="C2512" s="95"/>
    </row>
    <row r="2513" spans="1:3" ht="15" x14ac:dyDescent="0.25">
      <c r="A2513" s="95"/>
      <c r="B2513" s="95"/>
      <c r="C2513" s="95"/>
    </row>
    <row r="2514" spans="1:3" ht="15" x14ac:dyDescent="0.25">
      <c r="A2514" s="95"/>
      <c r="B2514" s="95"/>
      <c r="C2514" s="95"/>
    </row>
    <row r="2515" spans="1:3" ht="15" x14ac:dyDescent="0.25">
      <c r="A2515" s="95"/>
      <c r="B2515" s="95"/>
      <c r="C2515" s="95"/>
    </row>
    <row r="2516" spans="1:3" ht="15" x14ac:dyDescent="0.25">
      <c r="A2516" s="95"/>
      <c r="B2516" s="95"/>
      <c r="C2516" s="95"/>
    </row>
    <row r="2517" spans="1:3" ht="15" x14ac:dyDescent="0.25">
      <c r="A2517" s="95"/>
      <c r="B2517" s="95"/>
      <c r="C2517" s="95"/>
    </row>
    <row r="2518" spans="1:3" ht="15" x14ac:dyDescent="0.25">
      <c r="A2518" s="95"/>
      <c r="B2518" s="95"/>
      <c r="C2518" s="95"/>
    </row>
    <row r="2519" spans="1:3" ht="15" x14ac:dyDescent="0.25">
      <c r="A2519" s="95"/>
      <c r="B2519" s="95"/>
      <c r="C2519" s="95"/>
    </row>
    <row r="2520" spans="1:3" ht="15" x14ac:dyDescent="0.25">
      <c r="A2520" s="95"/>
      <c r="B2520" s="95"/>
      <c r="C2520" s="95"/>
    </row>
    <row r="2521" spans="1:3" ht="15" x14ac:dyDescent="0.25">
      <c r="A2521" s="95"/>
      <c r="B2521" s="95"/>
      <c r="C2521" s="95"/>
    </row>
    <row r="2522" spans="1:3" ht="15" x14ac:dyDescent="0.25">
      <c r="A2522" s="95"/>
      <c r="B2522" s="95"/>
      <c r="C2522" s="95"/>
    </row>
    <row r="2523" spans="1:3" ht="15" x14ac:dyDescent="0.25">
      <c r="A2523" s="95"/>
      <c r="B2523" s="95"/>
      <c r="C2523" s="95"/>
    </row>
    <row r="2524" spans="1:3" ht="15" x14ac:dyDescent="0.25">
      <c r="A2524" s="95"/>
      <c r="B2524" s="95"/>
      <c r="C2524" s="95"/>
    </row>
    <row r="2525" spans="1:3" ht="15" x14ac:dyDescent="0.25">
      <c r="A2525" s="95"/>
      <c r="B2525" s="95"/>
      <c r="C2525" s="95"/>
    </row>
    <row r="2526" spans="1:3" ht="15" x14ac:dyDescent="0.25">
      <c r="A2526" s="95"/>
      <c r="B2526" s="95"/>
      <c r="C2526" s="95"/>
    </row>
    <row r="2527" spans="1:3" ht="15" x14ac:dyDescent="0.25">
      <c r="A2527" s="95"/>
      <c r="B2527" s="95"/>
      <c r="C2527" s="95"/>
    </row>
    <row r="2528" spans="1:3" ht="15" x14ac:dyDescent="0.25">
      <c r="A2528" s="95"/>
      <c r="B2528" s="95"/>
      <c r="C2528" s="95"/>
    </row>
    <row r="2529" spans="1:3" ht="15" x14ac:dyDescent="0.25">
      <c r="A2529" s="95"/>
      <c r="B2529" s="95"/>
      <c r="C2529" s="95"/>
    </row>
    <row r="2530" spans="1:3" ht="15" x14ac:dyDescent="0.25">
      <c r="A2530" s="95"/>
      <c r="B2530" s="95"/>
      <c r="C2530" s="95"/>
    </row>
    <row r="2531" spans="1:3" ht="15" x14ac:dyDescent="0.25">
      <c r="A2531" s="95"/>
      <c r="B2531" s="95"/>
      <c r="C2531" s="95"/>
    </row>
    <row r="2532" spans="1:3" ht="15" x14ac:dyDescent="0.25">
      <c r="A2532" s="95"/>
      <c r="B2532" s="95"/>
      <c r="C2532" s="95"/>
    </row>
    <row r="2533" spans="1:3" ht="15" x14ac:dyDescent="0.25">
      <c r="A2533" s="95"/>
      <c r="B2533" s="95"/>
      <c r="C2533" s="95"/>
    </row>
    <row r="2534" spans="1:3" ht="15" x14ac:dyDescent="0.25">
      <c r="A2534" s="95"/>
      <c r="B2534" s="95"/>
      <c r="C2534" s="95"/>
    </row>
    <row r="2535" spans="1:3" ht="15" x14ac:dyDescent="0.25">
      <c r="A2535" s="95"/>
      <c r="B2535" s="95"/>
      <c r="C2535" s="95"/>
    </row>
    <row r="2536" spans="1:3" ht="15" x14ac:dyDescent="0.25">
      <c r="A2536" s="95"/>
      <c r="B2536" s="95"/>
      <c r="C2536" s="95"/>
    </row>
    <row r="2537" spans="1:3" ht="15" x14ac:dyDescent="0.25">
      <c r="A2537" s="95"/>
      <c r="B2537" s="95"/>
      <c r="C2537" s="95"/>
    </row>
    <row r="2538" spans="1:3" ht="15" x14ac:dyDescent="0.25">
      <c r="A2538" s="95"/>
      <c r="B2538" s="95"/>
      <c r="C2538" s="95"/>
    </row>
    <row r="2539" spans="1:3" ht="15" x14ac:dyDescent="0.25">
      <c r="A2539" s="95"/>
      <c r="B2539" s="95"/>
      <c r="C2539" s="95"/>
    </row>
    <row r="2540" spans="1:3" ht="15" x14ac:dyDescent="0.25">
      <c r="A2540" s="95"/>
      <c r="B2540" s="95"/>
      <c r="C2540" s="95"/>
    </row>
    <row r="2541" spans="1:3" ht="15" x14ac:dyDescent="0.25">
      <c r="A2541" s="95"/>
      <c r="B2541" s="95"/>
      <c r="C2541" s="95"/>
    </row>
    <row r="2542" spans="1:3" ht="15" x14ac:dyDescent="0.25">
      <c r="A2542" s="95"/>
      <c r="B2542" s="95"/>
      <c r="C2542" s="95"/>
    </row>
    <row r="2543" spans="1:3" ht="15" x14ac:dyDescent="0.25">
      <c r="A2543" s="95"/>
      <c r="B2543" s="95"/>
      <c r="C2543" s="95"/>
    </row>
    <row r="2544" spans="1:3" ht="15" x14ac:dyDescent="0.25">
      <c r="A2544" s="95"/>
      <c r="B2544" s="95"/>
      <c r="C2544" s="95"/>
    </row>
    <row r="2545" spans="1:3" ht="15" x14ac:dyDescent="0.25">
      <c r="A2545" s="95"/>
      <c r="B2545" s="95"/>
      <c r="C2545" s="95"/>
    </row>
    <row r="2546" spans="1:3" ht="15" x14ac:dyDescent="0.25">
      <c r="A2546" s="95"/>
      <c r="B2546" s="95"/>
      <c r="C2546" s="95"/>
    </row>
    <row r="2547" spans="1:3" ht="15" x14ac:dyDescent="0.25">
      <c r="A2547" s="95"/>
      <c r="B2547" s="95"/>
      <c r="C2547" s="95"/>
    </row>
    <row r="2548" spans="1:3" ht="15" x14ac:dyDescent="0.25">
      <c r="A2548" s="95"/>
      <c r="B2548" s="95"/>
      <c r="C2548" s="95"/>
    </row>
    <row r="2549" spans="1:3" ht="15" x14ac:dyDescent="0.25">
      <c r="A2549" s="95"/>
      <c r="B2549" s="95"/>
      <c r="C2549" s="95"/>
    </row>
    <row r="2550" spans="1:3" ht="15" x14ac:dyDescent="0.25">
      <c r="A2550" s="95"/>
      <c r="B2550" s="95"/>
      <c r="C2550" s="95"/>
    </row>
    <row r="2551" spans="1:3" ht="15" x14ac:dyDescent="0.25">
      <c r="A2551" s="95"/>
      <c r="B2551" s="95"/>
      <c r="C2551" s="95"/>
    </row>
    <row r="2552" spans="1:3" ht="15" x14ac:dyDescent="0.25">
      <c r="A2552" s="95"/>
      <c r="B2552" s="95"/>
      <c r="C2552" s="95"/>
    </row>
    <row r="2553" spans="1:3" ht="15" x14ac:dyDescent="0.25">
      <c r="A2553" s="95"/>
      <c r="B2553" s="95"/>
      <c r="C2553" s="95"/>
    </row>
    <row r="2554" spans="1:3" ht="15" x14ac:dyDescent="0.25">
      <c r="A2554" s="95"/>
      <c r="B2554" s="95"/>
      <c r="C2554" s="95"/>
    </row>
    <row r="2555" spans="1:3" ht="15" x14ac:dyDescent="0.25">
      <c r="A2555" s="95"/>
      <c r="B2555" s="95"/>
      <c r="C2555" s="95"/>
    </row>
    <row r="2556" spans="1:3" ht="15" x14ac:dyDescent="0.25">
      <c r="A2556" s="95"/>
      <c r="B2556" s="95"/>
      <c r="C2556" s="95"/>
    </row>
    <row r="2557" spans="1:3" ht="15" x14ac:dyDescent="0.25">
      <c r="A2557" s="95"/>
      <c r="B2557" s="95"/>
      <c r="C2557" s="95"/>
    </row>
    <row r="2558" spans="1:3" ht="15" x14ac:dyDescent="0.25">
      <c r="A2558" s="95"/>
      <c r="B2558" s="95"/>
      <c r="C2558" s="95"/>
    </row>
    <row r="2559" spans="1:3" ht="15" x14ac:dyDescent="0.25">
      <c r="A2559" s="95"/>
      <c r="B2559" s="95"/>
      <c r="C2559" s="95"/>
    </row>
    <row r="2560" spans="1:3" ht="15" x14ac:dyDescent="0.25">
      <c r="A2560" s="95"/>
      <c r="B2560" s="95"/>
      <c r="C2560" s="95"/>
    </row>
    <row r="2561" spans="1:3" ht="15" x14ac:dyDescent="0.25">
      <c r="A2561" s="95"/>
      <c r="B2561" s="95"/>
      <c r="C2561" s="95"/>
    </row>
    <row r="2562" spans="1:3" ht="15" x14ac:dyDescent="0.25">
      <c r="A2562" s="95"/>
      <c r="B2562" s="95"/>
      <c r="C2562" s="95"/>
    </row>
    <row r="2563" spans="1:3" ht="15" x14ac:dyDescent="0.25">
      <c r="A2563" s="95"/>
      <c r="B2563" s="95"/>
      <c r="C2563" s="95"/>
    </row>
    <row r="2564" spans="1:3" ht="15" x14ac:dyDescent="0.25">
      <c r="A2564" s="95"/>
      <c r="B2564" s="95"/>
      <c r="C2564" s="95"/>
    </row>
    <row r="2565" spans="1:3" ht="15" x14ac:dyDescent="0.25">
      <c r="A2565" s="95"/>
      <c r="B2565" s="95"/>
      <c r="C2565" s="95"/>
    </row>
    <row r="2566" spans="1:3" ht="15" x14ac:dyDescent="0.25">
      <c r="A2566" s="95"/>
      <c r="B2566" s="95"/>
      <c r="C2566" s="95"/>
    </row>
    <row r="2567" spans="1:3" ht="15" x14ac:dyDescent="0.25">
      <c r="A2567" s="95"/>
      <c r="B2567" s="95"/>
      <c r="C2567" s="95"/>
    </row>
    <row r="2568" spans="1:3" ht="15" x14ac:dyDescent="0.25">
      <c r="A2568" s="95"/>
      <c r="B2568" s="95"/>
      <c r="C2568" s="95"/>
    </row>
    <row r="2569" spans="1:3" ht="15" x14ac:dyDescent="0.25">
      <c r="A2569" s="95"/>
      <c r="B2569" s="95"/>
      <c r="C2569" s="95"/>
    </row>
    <row r="2570" spans="1:3" ht="15" x14ac:dyDescent="0.25">
      <c r="A2570" s="95"/>
      <c r="B2570" s="95"/>
      <c r="C2570" s="95"/>
    </row>
    <row r="2571" spans="1:3" ht="15" x14ac:dyDescent="0.25">
      <c r="A2571" s="95"/>
      <c r="B2571" s="95"/>
      <c r="C2571" s="95"/>
    </row>
    <row r="2572" spans="1:3" ht="15" x14ac:dyDescent="0.25">
      <c r="A2572" s="95"/>
      <c r="B2572" s="95"/>
      <c r="C2572" s="95"/>
    </row>
    <row r="2573" spans="1:3" ht="15" x14ac:dyDescent="0.25">
      <c r="A2573" s="95"/>
      <c r="B2573" s="95"/>
      <c r="C2573" s="95"/>
    </row>
    <row r="2574" spans="1:3" ht="15" x14ac:dyDescent="0.25">
      <c r="A2574" s="95"/>
      <c r="B2574" s="95"/>
      <c r="C2574" s="95"/>
    </row>
    <row r="2575" spans="1:3" ht="15" x14ac:dyDescent="0.25">
      <c r="A2575" s="95"/>
      <c r="B2575" s="95"/>
      <c r="C2575" s="95"/>
    </row>
    <row r="2576" spans="1:3" ht="15" x14ac:dyDescent="0.25">
      <c r="A2576" s="95"/>
      <c r="B2576" s="95"/>
      <c r="C2576" s="95"/>
    </row>
    <row r="2577" spans="1:3" ht="15" x14ac:dyDescent="0.25">
      <c r="A2577" s="95"/>
      <c r="B2577" s="95"/>
      <c r="C2577" s="95"/>
    </row>
    <row r="2578" spans="1:3" ht="15" x14ac:dyDescent="0.25">
      <c r="A2578" s="95"/>
      <c r="B2578" s="95"/>
      <c r="C2578" s="95"/>
    </row>
    <row r="2579" spans="1:3" ht="15" x14ac:dyDescent="0.25">
      <c r="A2579" s="95"/>
      <c r="B2579" s="95"/>
      <c r="C2579" s="95"/>
    </row>
    <row r="2580" spans="1:3" ht="15" x14ac:dyDescent="0.25">
      <c r="A2580" s="95"/>
      <c r="B2580" s="95"/>
      <c r="C2580" s="95"/>
    </row>
    <row r="2581" spans="1:3" ht="15" x14ac:dyDescent="0.25">
      <c r="A2581" s="95"/>
      <c r="B2581" s="95"/>
      <c r="C2581" s="95"/>
    </row>
    <row r="2582" spans="1:3" ht="15" x14ac:dyDescent="0.25">
      <c r="A2582" s="95"/>
      <c r="B2582" s="95"/>
      <c r="C2582" s="95"/>
    </row>
    <row r="2583" spans="1:3" ht="15" x14ac:dyDescent="0.25">
      <c r="A2583" s="95"/>
      <c r="B2583" s="95"/>
      <c r="C2583" s="95"/>
    </row>
    <row r="2584" spans="1:3" ht="15" x14ac:dyDescent="0.25">
      <c r="A2584" s="95"/>
      <c r="B2584" s="95"/>
      <c r="C2584" s="95"/>
    </row>
    <row r="2585" spans="1:3" ht="15" x14ac:dyDescent="0.25">
      <c r="A2585" s="95"/>
      <c r="B2585" s="95"/>
      <c r="C2585" s="95"/>
    </row>
    <row r="2586" spans="1:3" ht="15" x14ac:dyDescent="0.25">
      <c r="A2586" s="95"/>
      <c r="B2586" s="95"/>
      <c r="C2586" s="95"/>
    </row>
    <row r="2587" spans="1:3" ht="15" x14ac:dyDescent="0.25">
      <c r="A2587" s="95"/>
      <c r="B2587" s="95"/>
      <c r="C2587" s="95"/>
    </row>
    <row r="2588" spans="1:3" ht="15" x14ac:dyDescent="0.25">
      <c r="A2588" s="95"/>
      <c r="B2588" s="95"/>
      <c r="C2588" s="95"/>
    </row>
    <row r="2589" spans="1:3" ht="15" x14ac:dyDescent="0.25">
      <c r="A2589" s="95"/>
      <c r="B2589" s="95"/>
      <c r="C2589" s="95"/>
    </row>
    <row r="2590" spans="1:3" ht="15" x14ac:dyDescent="0.25">
      <c r="A2590" s="95"/>
      <c r="B2590" s="95"/>
      <c r="C2590" s="95"/>
    </row>
    <row r="2591" spans="1:3" ht="15" x14ac:dyDescent="0.25">
      <c r="A2591" s="95"/>
      <c r="B2591" s="95"/>
      <c r="C2591" s="95"/>
    </row>
    <row r="2592" spans="1:3" ht="15" x14ac:dyDescent="0.25">
      <c r="A2592" s="95"/>
      <c r="B2592" s="95"/>
      <c r="C2592" s="95"/>
    </row>
    <row r="2593" spans="1:3" ht="15" x14ac:dyDescent="0.25">
      <c r="A2593" s="95"/>
      <c r="B2593" s="95"/>
      <c r="C2593" s="95"/>
    </row>
    <row r="2594" spans="1:3" ht="15" x14ac:dyDescent="0.25">
      <c r="A2594" s="95"/>
      <c r="B2594" s="95"/>
      <c r="C2594" s="95"/>
    </row>
    <row r="2595" spans="1:3" ht="15" x14ac:dyDescent="0.25">
      <c r="A2595" s="95"/>
      <c r="B2595" s="95"/>
      <c r="C2595" s="95"/>
    </row>
    <row r="2596" spans="1:3" ht="15" x14ac:dyDescent="0.25">
      <c r="A2596" s="95"/>
      <c r="B2596" s="95"/>
      <c r="C2596" s="95"/>
    </row>
    <row r="2597" spans="1:3" ht="15" x14ac:dyDescent="0.25">
      <c r="A2597" s="95"/>
      <c r="B2597" s="95"/>
      <c r="C2597" s="95"/>
    </row>
    <row r="2598" spans="1:3" ht="15" x14ac:dyDescent="0.25">
      <c r="A2598" s="95"/>
      <c r="B2598" s="95"/>
      <c r="C2598" s="95"/>
    </row>
    <row r="2599" spans="1:3" ht="15" x14ac:dyDescent="0.25">
      <c r="A2599" s="95"/>
      <c r="B2599" s="95"/>
      <c r="C2599" s="95"/>
    </row>
    <row r="2600" spans="1:3" ht="15" x14ac:dyDescent="0.25">
      <c r="A2600" s="95"/>
      <c r="B2600" s="95"/>
      <c r="C2600" s="95"/>
    </row>
    <row r="2601" spans="1:3" ht="15" x14ac:dyDescent="0.25">
      <c r="A2601" s="95"/>
      <c r="B2601" s="95"/>
      <c r="C2601" s="95"/>
    </row>
    <row r="2602" spans="1:3" ht="15" x14ac:dyDescent="0.25">
      <c r="A2602" s="95"/>
      <c r="B2602" s="95"/>
      <c r="C2602" s="95"/>
    </row>
    <row r="2603" spans="1:3" ht="15" x14ac:dyDescent="0.25">
      <c r="A2603" s="95"/>
      <c r="B2603" s="95"/>
      <c r="C2603" s="95"/>
    </row>
    <row r="2604" spans="1:3" ht="15" x14ac:dyDescent="0.25">
      <c r="A2604" s="95"/>
      <c r="B2604" s="95"/>
      <c r="C2604" s="95"/>
    </row>
    <row r="2605" spans="1:3" ht="15" x14ac:dyDescent="0.25">
      <c r="A2605" s="95"/>
      <c r="B2605" s="95"/>
      <c r="C2605" s="95"/>
    </row>
    <row r="2606" spans="1:3" ht="15" x14ac:dyDescent="0.25">
      <c r="A2606" s="95"/>
      <c r="B2606" s="95"/>
      <c r="C2606" s="95"/>
    </row>
    <row r="2607" spans="1:3" ht="15" x14ac:dyDescent="0.25">
      <c r="A2607" s="95"/>
      <c r="B2607" s="95"/>
      <c r="C2607" s="95"/>
    </row>
    <row r="2608" spans="1:3" ht="15" x14ac:dyDescent="0.25">
      <c r="A2608" s="95"/>
      <c r="B2608" s="95"/>
      <c r="C2608" s="95"/>
    </row>
    <row r="2609" spans="1:3" ht="15" x14ac:dyDescent="0.25">
      <c r="A2609" s="95"/>
      <c r="B2609" s="95"/>
      <c r="C2609" s="95"/>
    </row>
    <row r="2610" spans="1:3" ht="15" x14ac:dyDescent="0.25">
      <c r="A2610" s="95"/>
      <c r="B2610" s="95"/>
      <c r="C2610" s="95"/>
    </row>
    <row r="2611" spans="1:3" ht="15" x14ac:dyDescent="0.25">
      <c r="A2611" s="95"/>
      <c r="B2611" s="95"/>
      <c r="C2611" s="95"/>
    </row>
    <row r="2612" spans="1:3" ht="15" x14ac:dyDescent="0.25">
      <c r="A2612" s="95"/>
      <c r="B2612" s="95"/>
      <c r="C2612" s="95"/>
    </row>
    <row r="2613" spans="1:3" ht="15" x14ac:dyDescent="0.25">
      <c r="A2613" s="95"/>
      <c r="B2613" s="95"/>
      <c r="C2613" s="95"/>
    </row>
    <row r="2614" spans="1:3" ht="15" x14ac:dyDescent="0.25">
      <c r="A2614" s="95"/>
      <c r="B2614" s="95"/>
      <c r="C2614" s="95"/>
    </row>
    <row r="2615" spans="1:3" ht="15" x14ac:dyDescent="0.25">
      <c r="A2615" s="95"/>
      <c r="B2615" s="95"/>
      <c r="C2615" s="95"/>
    </row>
    <row r="2616" spans="1:3" ht="15" x14ac:dyDescent="0.25">
      <c r="A2616" s="95"/>
      <c r="B2616" s="95"/>
      <c r="C2616" s="95"/>
    </row>
    <row r="2617" spans="1:3" ht="15" x14ac:dyDescent="0.25">
      <c r="A2617" s="95"/>
      <c r="B2617" s="95"/>
      <c r="C2617" s="95"/>
    </row>
    <row r="2618" spans="1:3" ht="15" x14ac:dyDescent="0.25">
      <c r="A2618" s="95"/>
      <c r="B2618" s="95"/>
      <c r="C2618" s="95"/>
    </row>
    <row r="2619" spans="1:3" ht="15" x14ac:dyDescent="0.25">
      <c r="A2619" s="95"/>
      <c r="B2619" s="95"/>
      <c r="C2619" s="95"/>
    </row>
    <row r="2620" spans="1:3" ht="15" x14ac:dyDescent="0.25">
      <c r="A2620" s="95"/>
      <c r="B2620" s="95"/>
      <c r="C2620" s="95"/>
    </row>
    <row r="2621" spans="1:3" ht="15" x14ac:dyDescent="0.25">
      <c r="A2621" s="95"/>
      <c r="B2621" s="95"/>
      <c r="C2621" s="95"/>
    </row>
    <row r="2622" spans="1:3" ht="15" x14ac:dyDescent="0.25">
      <c r="A2622" s="95"/>
      <c r="B2622" s="95"/>
      <c r="C2622" s="95"/>
    </row>
    <row r="2623" spans="1:3" ht="15" x14ac:dyDescent="0.25">
      <c r="A2623" s="95"/>
      <c r="B2623" s="95"/>
      <c r="C2623" s="95"/>
    </row>
    <row r="2624" spans="1:3" ht="15" x14ac:dyDescent="0.25">
      <c r="A2624" s="95"/>
      <c r="B2624" s="95"/>
      <c r="C2624" s="95"/>
    </row>
    <row r="2625" spans="1:3" ht="15" x14ac:dyDescent="0.25">
      <c r="A2625" s="95"/>
      <c r="B2625" s="95"/>
      <c r="C2625" s="95"/>
    </row>
    <row r="2626" spans="1:3" ht="15" x14ac:dyDescent="0.25">
      <c r="A2626" s="95"/>
      <c r="B2626" s="95"/>
      <c r="C2626" s="95"/>
    </row>
    <row r="2627" spans="1:3" ht="15" x14ac:dyDescent="0.25">
      <c r="A2627" s="95"/>
      <c r="B2627" s="95"/>
      <c r="C2627" s="95"/>
    </row>
    <row r="2628" spans="1:3" ht="15" x14ac:dyDescent="0.25">
      <c r="A2628" s="95"/>
      <c r="B2628" s="95"/>
      <c r="C2628" s="95"/>
    </row>
    <row r="2629" spans="1:3" ht="15" x14ac:dyDescent="0.25">
      <c r="A2629" s="95"/>
      <c r="B2629" s="95"/>
      <c r="C2629" s="95"/>
    </row>
    <row r="2630" spans="1:3" ht="15" x14ac:dyDescent="0.25">
      <c r="A2630" s="95"/>
      <c r="B2630" s="95"/>
      <c r="C2630" s="95"/>
    </row>
    <row r="2631" spans="1:3" ht="15" x14ac:dyDescent="0.25">
      <c r="A2631" s="95"/>
      <c r="B2631" s="95"/>
      <c r="C2631" s="95"/>
    </row>
    <row r="2632" spans="1:3" ht="15" x14ac:dyDescent="0.25">
      <c r="A2632" s="95"/>
      <c r="B2632" s="95"/>
      <c r="C2632" s="95"/>
    </row>
    <row r="2633" spans="1:3" ht="15" x14ac:dyDescent="0.25">
      <c r="A2633" s="95"/>
      <c r="B2633" s="95"/>
      <c r="C2633" s="95"/>
    </row>
    <row r="2634" spans="1:3" ht="15" x14ac:dyDescent="0.25">
      <c r="A2634" s="95"/>
      <c r="B2634" s="95"/>
      <c r="C2634" s="95"/>
    </row>
    <row r="2635" spans="1:3" ht="15" x14ac:dyDescent="0.25">
      <c r="A2635" s="95"/>
      <c r="B2635" s="95"/>
      <c r="C2635" s="95"/>
    </row>
    <row r="2636" spans="1:3" ht="15" x14ac:dyDescent="0.25">
      <c r="A2636" s="95"/>
      <c r="B2636" s="95"/>
      <c r="C2636" s="95"/>
    </row>
    <row r="2637" spans="1:3" ht="15" x14ac:dyDescent="0.25">
      <c r="A2637" s="95"/>
      <c r="B2637" s="95"/>
      <c r="C2637" s="95"/>
    </row>
    <row r="2638" spans="1:3" ht="15" x14ac:dyDescent="0.25">
      <c r="A2638" s="95"/>
      <c r="B2638" s="95"/>
      <c r="C2638" s="95"/>
    </row>
    <row r="2639" spans="1:3" ht="15" x14ac:dyDescent="0.25">
      <c r="A2639" s="95"/>
      <c r="B2639" s="95"/>
      <c r="C2639" s="95"/>
    </row>
    <row r="2640" spans="1:3" ht="15" x14ac:dyDescent="0.25">
      <c r="A2640" s="95"/>
      <c r="B2640" s="95"/>
      <c r="C2640" s="95"/>
    </row>
    <row r="2641" spans="1:3" ht="15" x14ac:dyDescent="0.25">
      <c r="A2641" s="95"/>
      <c r="B2641" s="95"/>
      <c r="C2641" s="95"/>
    </row>
    <row r="2642" spans="1:3" ht="15" x14ac:dyDescent="0.25">
      <c r="A2642" s="95"/>
      <c r="B2642" s="95"/>
      <c r="C2642" s="95"/>
    </row>
    <row r="2643" spans="1:3" ht="15" x14ac:dyDescent="0.25">
      <c r="A2643" s="95"/>
      <c r="B2643" s="95"/>
      <c r="C2643" s="95"/>
    </row>
    <row r="2644" spans="1:3" ht="15" x14ac:dyDescent="0.25">
      <c r="A2644" s="95"/>
      <c r="B2644" s="95"/>
      <c r="C2644" s="95"/>
    </row>
    <row r="2645" spans="1:3" ht="15" x14ac:dyDescent="0.25">
      <c r="A2645" s="95"/>
      <c r="B2645" s="95"/>
      <c r="C2645" s="95"/>
    </row>
    <row r="2646" spans="1:3" ht="15" x14ac:dyDescent="0.25">
      <c r="A2646" s="95"/>
      <c r="B2646" s="95"/>
      <c r="C2646" s="95"/>
    </row>
    <row r="2647" spans="1:3" ht="15" x14ac:dyDescent="0.25">
      <c r="A2647" s="95"/>
      <c r="B2647" s="95"/>
      <c r="C2647" s="95"/>
    </row>
    <row r="2648" spans="1:3" ht="15" x14ac:dyDescent="0.25">
      <c r="A2648" s="95"/>
      <c r="B2648" s="95"/>
      <c r="C2648" s="95"/>
    </row>
    <row r="2649" spans="1:3" ht="15" x14ac:dyDescent="0.25">
      <c r="A2649" s="95"/>
      <c r="B2649" s="95"/>
      <c r="C2649" s="95"/>
    </row>
    <row r="2650" spans="1:3" ht="15" x14ac:dyDescent="0.25">
      <c r="A2650" s="95"/>
      <c r="B2650" s="95"/>
      <c r="C2650" s="95"/>
    </row>
    <row r="2651" spans="1:3" ht="15" x14ac:dyDescent="0.25">
      <c r="A2651" s="95"/>
      <c r="B2651" s="95"/>
      <c r="C2651" s="95"/>
    </row>
    <row r="2652" spans="1:3" ht="15" x14ac:dyDescent="0.25">
      <c r="A2652" s="95"/>
      <c r="B2652" s="95"/>
      <c r="C2652" s="95"/>
    </row>
    <row r="2653" spans="1:3" ht="15" x14ac:dyDescent="0.25">
      <c r="A2653" s="95"/>
      <c r="B2653" s="95"/>
      <c r="C2653" s="95"/>
    </row>
    <row r="2654" spans="1:3" ht="15" x14ac:dyDescent="0.25">
      <c r="A2654" s="95"/>
      <c r="B2654" s="95"/>
      <c r="C2654" s="95"/>
    </row>
    <row r="2655" spans="1:3" ht="15" x14ac:dyDescent="0.25">
      <c r="A2655" s="95"/>
      <c r="B2655" s="95"/>
      <c r="C2655" s="95"/>
    </row>
    <row r="2656" spans="1:3" ht="15" x14ac:dyDescent="0.25">
      <c r="A2656" s="95"/>
      <c r="B2656" s="95"/>
      <c r="C2656" s="95"/>
    </row>
    <row r="2657" spans="1:3" ht="15" x14ac:dyDescent="0.25">
      <c r="A2657" s="95"/>
      <c r="B2657" s="95"/>
      <c r="C2657" s="95"/>
    </row>
    <row r="2658" spans="1:3" ht="15" x14ac:dyDescent="0.25">
      <c r="A2658" s="95"/>
      <c r="B2658" s="95"/>
      <c r="C2658" s="95"/>
    </row>
    <row r="2659" spans="1:3" ht="15" x14ac:dyDescent="0.25">
      <c r="A2659" s="95"/>
      <c r="B2659" s="95"/>
      <c r="C2659" s="95"/>
    </row>
    <row r="2660" spans="1:3" ht="15" x14ac:dyDescent="0.25">
      <c r="A2660" s="95"/>
      <c r="B2660" s="95"/>
      <c r="C2660" s="95"/>
    </row>
    <row r="2661" spans="1:3" ht="15" x14ac:dyDescent="0.25">
      <c r="A2661" s="95"/>
      <c r="B2661" s="95"/>
      <c r="C2661" s="95"/>
    </row>
    <row r="2662" spans="1:3" ht="15" x14ac:dyDescent="0.25">
      <c r="A2662" s="95"/>
      <c r="B2662" s="95"/>
      <c r="C2662" s="95"/>
    </row>
    <row r="2663" spans="1:3" ht="15" x14ac:dyDescent="0.25">
      <c r="A2663" s="95"/>
      <c r="B2663" s="95"/>
      <c r="C2663" s="95"/>
    </row>
    <row r="2664" spans="1:3" ht="15" x14ac:dyDescent="0.25">
      <c r="A2664" s="95"/>
      <c r="B2664" s="95"/>
      <c r="C2664" s="95"/>
    </row>
    <row r="2665" spans="1:3" ht="15" x14ac:dyDescent="0.25">
      <c r="A2665" s="95"/>
      <c r="B2665" s="95"/>
      <c r="C2665" s="95"/>
    </row>
    <row r="2666" spans="1:3" ht="15" x14ac:dyDescent="0.25">
      <c r="A2666" s="95"/>
      <c r="B2666" s="95"/>
      <c r="C2666" s="95"/>
    </row>
    <row r="2667" spans="1:3" ht="15" x14ac:dyDescent="0.25">
      <c r="A2667" s="95"/>
      <c r="B2667" s="95"/>
      <c r="C2667" s="95"/>
    </row>
    <row r="2668" spans="1:3" ht="15" x14ac:dyDescent="0.25">
      <c r="A2668" s="95"/>
      <c r="B2668" s="95"/>
      <c r="C2668" s="95"/>
    </row>
    <row r="2669" spans="1:3" ht="15" x14ac:dyDescent="0.25">
      <c r="A2669" s="95"/>
      <c r="B2669" s="95"/>
      <c r="C2669" s="95"/>
    </row>
    <row r="2670" spans="1:3" ht="15" x14ac:dyDescent="0.25">
      <c r="A2670" s="95"/>
      <c r="B2670" s="95"/>
      <c r="C2670" s="95"/>
    </row>
    <row r="2671" spans="1:3" ht="15" x14ac:dyDescent="0.25">
      <c r="A2671" s="95"/>
      <c r="B2671" s="95"/>
      <c r="C2671" s="95"/>
    </row>
    <row r="2672" spans="1:3" ht="15" x14ac:dyDescent="0.25">
      <c r="A2672" s="95"/>
      <c r="B2672" s="95"/>
      <c r="C2672" s="95"/>
    </row>
    <row r="2673" spans="1:3" ht="15" x14ac:dyDescent="0.25">
      <c r="A2673" s="95"/>
      <c r="B2673" s="95"/>
      <c r="C2673" s="95"/>
    </row>
    <row r="2674" spans="1:3" ht="15" x14ac:dyDescent="0.25">
      <c r="A2674" s="95"/>
      <c r="B2674" s="95"/>
      <c r="C2674" s="95"/>
    </row>
    <row r="2675" spans="1:3" ht="15" x14ac:dyDescent="0.25">
      <c r="A2675" s="95"/>
      <c r="B2675" s="95"/>
      <c r="C2675" s="95"/>
    </row>
    <row r="2676" spans="1:3" ht="15" x14ac:dyDescent="0.25">
      <c r="A2676" s="95"/>
      <c r="B2676" s="95"/>
      <c r="C2676" s="95"/>
    </row>
    <row r="2677" spans="1:3" ht="15" x14ac:dyDescent="0.25">
      <c r="A2677" s="95"/>
      <c r="B2677" s="95"/>
      <c r="C2677" s="95"/>
    </row>
    <row r="2678" spans="1:3" ht="15" x14ac:dyDescent="0.25">
      <c r="A2678" s="95"/>
      <c r="B2678" s="95"/>
      <c r="C2678" s="95"/>
    </row>
    <row r="2679" spans="1:3" ht="15" x14ac:dyDescent="0.25">
      <c r="A2679" s="95"/>
      <c r="B2679" s="95"/>
      <c r="C2679" s="95"/>
    </row>
    <row r="2680" spans="1:3" ht="15" x14ac:dyDescent="0.25">
      <c r="A2680" s="95"/>
      <c r="B2680" s="95"/>
      <c r="C2680" s="95"/>
    </row>
    <row r="2681" spans="1:3" ht="15" x14ac:dyDescent="0.25">
      <c r="A2681" s="95"/>
      <c r="B2681" s="95"/>
      <c r="C2681" s="95"/>
    </row>
    <row r="2682" spans="1:3" ht="15" x14ac:dyDescent="0.25">
      <c r="A2682" s="95"/>
      <c r="B2682" s="95"/>
      <c r="C2682" s="95"/>
    </row>
    <row r="2683" spans="1:3" ht="15" x14ac:dyDescent="0.25">
      <c r="A2683" s="95"/>
      <c r="B2683" s="95"/>
      <c r="C2683" s="95"/>
    </row>
    <row r="2684" spans="1:3" ht="15" x14ac:dyDescent="0.25">
      <c r="A2684" s="95"/>
      <c r="B2684" s="95"/>
      <c r="C2684" s="95"/>
    </row>
    <row r="2685" spans="1:3" ht="15" x14ac:dyDescent="0.25">
      <c r="A2685" s="95"/>
      <c r="B2685" s="95"/>
      <c r="C2685" s="95"/>
    </row>
    <row r="2686" spans="1:3" ht="15" x14ac:dyDescent="0.25">
      <c r="A2686" s="95"/>
      <c r="B2686" s="95"/>
      <c r="C2686" s="95"/>
    </row>
    <row r="2687" spans="1:3" ht="15" x14ac:dyDescent="0.25">
      <c r="A2687" s="95"/>
      <c r="B2687" s="95"/>
      <c r="C2687" s="95"/>
    </row>
    <row r="2688" spans="1:3" ht="15" x14ac:dyDescent="0.25">
      <c r="A2688" s="95"/>
      <c r="B2688" s="95"/>
      <c r="C2688" s="95"/>
    </row>
    <row r="2689" spans="1:3" ht="15" x14ac:dyDescent="0.25">
      <c r="A2689" s="95"/>
      <c r="B2689" s="95"/>
      <c r="C2689" s="95"/>
    </row>
    <row r="2690" spans="1:3" ht="15" x14ac:dyDescent="0.25">
      <c r="A2690" s="95"/>
      <c r="B2690" s="95"/>
      <c r="C2690" s="95"/>
    </row>
    <row r="2691" spans="1:3" ht="15" x14ac:dyDescent="0.25">
      <c r="A2691" s="95"/>
      <c r="B2691" s="95"/>
      <c r="C2691" s="95"/>
    </row>
    <row r="2692" spans="1:3" ht="15" x14ac:dyDescent="0.25">
      <c r="A2692" s="95"/>
      <c r="B2692" s="95"/>
      <c r="C2692" s="95"/>
    </row>
    <row r="2693" spans="1:3" ht="15" x14ac:dyDescent="0.25">
      <c r="A2693" s="95"/>
      <c r="B2693" s="95"/>
      <c r="C2693" s="95"/>
    </row>
    <row r="2694" spans="1:3" ht="15" x14ac:dyDescent="0.25">
      <c r="A2694" s="95"/>
      <c r="B2694" s="95"/>
      <c r="C2694" s="95"/>
    </row>
    <row r="2695" spans="1:3" ht="15" x14ac:dyDescent="0.25">
      <c r="A2695" s="95"/>
      <c r="B2695" s="95"/>
      <c r="C2695" s="95"/>
    </row>
    <row r="2696" spans="1:3" ht="15" x14ac:dyDescent="0.25">
      <c r="A2696" s="95"/>
      <c r="B2696" s="95"/>
      <c r="C2696" s="95"/>
    </row>
    <row r="2697" spans="1:3" ht="15" x14ac:dyDescent="0.25">
      <c r="A2697" s="95"/>
      <c r="B2697" s="95"/>
      <c r="C2697" s="95"/>
    </row>
    <row r="2698" spans="1:3" ht="15" x14ac:dyDescent="0.25">
      <c r="A2698" s="95"/>
      <c r="B2698" s="95"/>
      <c r="C2698" s="95"/>
    </row>
    <row r="2699" spans="1:3" ht="15" x14ac:dyDescent="0.25">
      <c r="A2699" s="95"/>
      <c r="B2699" s="95"/>
      <c r="C2699" s="95"/>
    </row>
    <row r="2700" spans="1:3" ht="15" x14ac:dyDescent="0.25">
      <c r="A2700" s="95"/>
      <c r="B2700" s="95"/>
      <c r="C2700" s="95"/>
    </row>
    <row r="2701" spans="1:3" ht="15" x14ac:dyDescent="0.25">
      <c r="A2701" s="95"/>
      <c r="B2701" s="95"/>
      <c r="C2701" s="95"/>
    </row>
    <row r="2702" spans="1:3" ht="15" x14ac:dyDescent="0.25">
      <c r="A2702" s="95"/>
      <c r="B2702" s="95"/>
      <c r="C2702" s="95"/>
    </row>
    <row r="2703" spans="1:3" ht="15" x14ac:dyDescent="0.25">
      <c r="A2703" s="95"/>
      <c r="B2703" s="95"/>
      <c r="C2703" s="95"/>
    </row>
    <row r="2704" spans="1:3" ht="15" x14ac:dyDescent="0.25">
      <c r="A2704" s="95"/>
      <c r="B2704" s="95"/>
      <c r="C2704" s="95"/>
    </row>
    <row r="2705" spans="1:3" ht="15" x14ac:dyDescent="0.25">
      <c r="A2705" s="95"/>
      <c r="B2705" s="95"/>
      <c r="C2705" s="95"/>
    </row>
    <row r="2706" spans="1:3" ht="15" x14ac:dyDescent="0.25">
      <c r="A2706" s="95"/>
      <c r="B2706" s="95"/>
      <c r="C2706" s="95"/>
    </row>
    <row r="2707" spans="1:3" ht="15" x14ac:dyDescent="0.25">
      <c r="A2707" s="95"/>
      <c r="B2707" s="95"/>
      <c r="C2707" s="95"/>
    </row>
    <row r="2708" spans="1:3" ht="15" x14ac:dyDescent="0.25">
      <c r="A2708" s="95"/>
      <c r="B2708" s="95"/>
      <c r="C2708" s="95"/>
    </row>
    <row r="2709" spans="1:3" ht="15" x14ac:dyDescent="0.25">
      <c r="A2709" s="95"/>
      <c r="B2709" s="95"/>
      <c r="C2709" s="95"/>
    </row>
    <row r="2710" spans="1:3" ht="15" x14ac:dyDescent="0.25">
      <c r="A2710" s="95"/>
      <c r="B2710" s="95"/>
      <c r="C2710" s="95"/>
    </row>
    <row r="2711" spans="1:3" ht="15" x14ac:dyDescent="0.25">
      <c r="A2711" s="95"/>
      <c r="B2711" s="95"/>
      <c r="C2711" s="95"/>
    </row>
    <row r="2712" spans="1:3" ht="15" x14ac:dyDescent="0.25">
      <c r="A2712" s="95"/>
      <c r="B2712" s="95"/>
      <c r="C2712" s="95"/>
    </row>
    <row r="2713" spans="1:3" ht="15" x14ac:dyDescent="0.25">
      <c r="A2713" s="95"/>
      <c r="B2713" s="95"/>
      <c r="C2713" s="95"/>
    </row>
    <row r="2714" spans="1:3" ht="15" x14ac:dyDescent="0.25">
      <c r="A2714" s="95"/>
      <c r="B2714" s="95"/>
      <c r="C2714" s="95"/>
    </row>
    <row r="2715" spans="1:3" ht="15" x14ac:dyDescent="0.25">
      <c r="A2715" s="95"/>
      <c r="B2715" s="95"/>
      <c r="C2715" s="95"/>
    </row>
    <row r="2716" spans="1:3" ht="15" x14ac:dyDescent="0.25">
      <c r="A2716" s="95"/>
      <c r="B2716" s="95"/>
      <c r="C2716" s="95"/>
    </row>
    <row r="2717" spans="1:3" ht="15" x14ac:dyDescent="0.25">
      <c r="A2717" s="95"/>
      <c r="B2717" s="95"/>
      <c r="C2717" s="95"/>
    </row>
    <row r="2718" spans="1:3" ht="15" x14ac:dyDescent="0.25">
      <c r="A2718" s="95"/>
      <c r="B2718" s="95"/>
      <c r="C2718" s="95"/>
    </row>
    <row r="2719" spans="1:3" ht="15" x14ac:dyDescent="0.25">
      <c r="A2719" s="95"/>
      <c r="B2719" s="95"/>
      <c r="C2719" s="95"/>
    </row>
    <row r="2720" spans="1:3" ht="15" x14ac:dyDescent="0.25">
      <c r="A2720" s="95"/>
      <c r="B2720" s="95"/>
      <c r="C2720" s="95"/>
    </row>
    <row r="2721" spans="1:3" ht="15" x14ac:dyDescent="0.25">
      <c r="A2721" s="95"/>
      <c r="B2721" s="95"/>
      <c r="C2721" s="95"/>
    </row>
    <row r="2722" spans="1:3" ht="15" x14ac:dyDescent="0.25">
      <c r="A2722" s="95"/>
      <c r="B2722" s="95"/>
      <c r="C2722" s="95"/>
    </row>
    <row r="2723" spans="1:3" ht="15" x14ac:dyDescent="0.25">
      <c r="A2723" s="95"/>
      <c r="B2723" s="95"/>
      <c r="C2723" s="95"/>
    </row>
    <row r="2724" spans="1:3" ht="15" x14ac:dyDescent="0.25">
      <c r="A2724" s="95"/>
      <c r="B2724" s="95"/>
      <c r="C2724" s="95"/>
    </row>
    <row r="2725" spans="1:3" ht="15" x14ac:dyDescent="0.25">
      <c r="A2725" s="95"/>
      <c r="B2725" s="95"/>
      <c r="C2725" s="95"/>
    </row>
    <row r="2726" spans="1:3" ht="15" x14ac:dyDescent="0.25">
      <c r="A2726" s="95"/>
      <c r="B2726" s="95"/>
      <c r="C2726" s="95"/>
    </row>
    <row r="2727" spans="1:3" ht="15" x14ac:dyDescent="0.25">
      <c r="A2727" s="95"/>
      <c r="B2727" s="95"/>
      <c r="C2727" s="95"/>
    </row>
    <row r="2728" spans="1:3" ht="15" x14ac:dyDescent="0.25">
      <c r="A2728" s="95"/>
      <c r="B2728" s="95"/>
      <c r="C2728" s="95"/>
    </row>
    <row r="2729" spans="1:3" ht="15" x14ac:dyDescent="0.25">
      <c r="A2729" s="95"/>
      <c r="B2729" s="95"/>
      <c r="C2729" s="95"/>
    </row>
    <row r="2730" spans="1:3" ht="15" x14ac:dyDescent="0.25">
      <c r="A2730" s="95"/>
      <c r="B2730" s="95"/>
      <c r="C2730" s="95"/>
    </row>
    <row r="2731" spans="1:3" ht="15" x14ac:dyDescent="0.25">
      <c r="A2731" s="95"/>
      <c r="B2731" s="95"/>
      <c r="C2731" s="95"/>
    </row>
    <row r="2732" spans="1:3" ht="15" x14ac:dyDescent="0.25">
      <c r="A2732" s="95"/>
      <c r="B2732" s="95"/>
      <c r="C2732" s="95"/>
    </row>
    <row r="2733" spans="1:3" ht="15" x14ac:dyDescent="0.25">
      <c r="A2733" s="95"/>
      <c r="B2733" s="95"/>
      <c r="C2733" s="95"/>
    </row>
    <row r="2734" spans="1:3" ht="15" x14ac:dyDescent="0.25">
      <c r="A2734" s="95"/>
      <c r="B2734" s="95"/>
      <c r="C2734" s="95"/>
    </row>
    <row r="2735" spans="1:3" ht="15" x14ac:dyDescent="0.25">
      <c r="A2735" s="95"/>
      <c r="B2735" s="95"/>
      <c r="C2735" s="95"/>
    </row>
    <row r="2736" spans="1:3" ht="15" x14ac:dyDescent="0.25">
      <c r="A2736" s="95"/>
      <c r="B2736" s="95"/>
      <c r="C2736" s="95"/>
    </row>
    <row r="2737" spans="1:3" ht="15" x14ac:dyDescent="0.25">
      <c r="A2737" s="95"/>
      <c r="B2737" s="95"/>
      <c r="C2737" s="95"/>
    </row>
    <row r="2738" spans="1:3" ht="15" x14ac:dyDescent="0.25">
      <c r="A2738" s="95"/>
      <c r="B2738" s="95"/>
      <c r="C2738" s="95"/>
    </row>
    <row r="2739" spans="1:3" ht="15" x14ac:dyDescent="0.25">
      <c r="A2739" s="95"/>
      <c r="B2739" s="95"/>
      <c r="C2739" s="95"/>
    </row>
    <row r="2740" spans="1:3" ht="15" x14ac:dyDescent="0.25">
      <c r="A2740" s="95"/>
      <c r="B2740" s="95"/>
      <c r="C2740" s="95"/>
    </row>
    <row r="2741" spans="1:3" ht="15" x14ac:dyDescent="0.25">
      <c r="A2741" s="95"/>
      <c r="B2741" s="95"/>
      <c r="C2741" s="95"/>
    </row>
    <row r="2742" spans="1:3" ht="15" x14ac:dyDescent="0.25">
      <c r="A2742" s="95"/>
      <c r="B2742" s="95"/>
      <c r="C2742" s="95"/>
    </row>
    <row r="2743" spans="1:3" ht="15" x14ac:dyDescent="0.25">
      <c r="A2743" s="95"/>
      <c r="B2743" s="95"/>
      <c r="C2743" s="95"/>
    </row>
    <row r="2744" spans="1:3" ht="15" x14ac:dyDescent="0.25">
      <c r="A2744" s="95"/>
      <c r="B2744" s="95"/>
      <c r="C2744" s="95"/>
    </row>
    <row r="2745" spans="1:3" ht="15" x14ac:dyDescent="0.25">
      <c r="A2745" s="95"/>
      <c r="B2745" s="95"/>
      <c r="C2745" s="95"/>
    </row>
    <row r="2746" spans="1:3" ht="15" x14ac:dyDescent="0.25">
      <c r="A2746" s="95"/>
      <c r="B2746" s="95"/>
      <c r="C2746" s="95"/>
    </row>
    <row r="2747" spans="1:3" ht="15" x14ac:dyDescent="0.25">
      <c r="A2747" s="95"/>
      <c r="B2747" s="95"/>
      <c r="C2747" s="95"/>
    </row>
    <row r="2748" spans="1:3" ht="15" x14ac:dyDescent="0.25">
      <c r="A2748" s="95"/>
      <c r="B2748" s="95"/>
      <c r="C2748" s="95"/>
    </row>
    <row r="2749" spans="1:3" ht="15" x14ac:dyDescent="0.25">
      <c r="A2749" s="95"/>
      <c r="B2749" s="95"/>
      <c r="C2749" s="95"/>
    </row>
    <row r="2750" spans="1:3" ht="15" x14ac:dyDescent="0.25">
      <c r="A2750" s="95"/>
      <c r="B2750" s="95"/>
      <c r="C2750" s="95"/>
    </row>
    <row r="2751" spans="1:3" ht="15" x14ac:dyDescent="0.25">
      <c r="A2751" s="95"/>
      <c r="B2751" s="95"/>
      <c r="C2751" s="95"/>
    </row>
    <row r="2752" spans="1:3" ht="15" x14ac:dyDescent="0.25">
      <c r="A2752" s="95"/>
      <c r="B2752" s="95"/>
      <c r="C2752" s="95"/>
    </row>
    <row r="2753" spans="1:3" ht="15" x14ac:dyDescent="0.25">
      <c r="A2753" s="95"/>
      <c r="B2753" s="95"/>
      <c r="C2753" s="95"/>
    </row>
    <row r="2754" spans="1:3" ht="15" x14ac:dyDescent="0.25">
      <c r="A2754" s="95"/>
      <c r="B2754" s="95"/>
      <c r="C2754" s="95"/>
    </row>
    <row r="2755" spans="1:3" ht="15" x14ac:dyDescent="0.25">
      <c r="A2755" s="95"/>
      <c r="B2755" s="95"/>
      <c r="C2755" s="95"/>
    </row>
    <row r="2756" spans="1:3" ht="15" x14ac:dyDescent="0.25">
      <c r="A2756" s="95"/>
      <c r="B2756" s="95"/>
      <c r="C2756" s="95"/>
    </row>
    <row r="2757" spans="1:3" ht="15" x14ac:dyDescent="0.25">
      <c r="A2757" s="95"/>
      <c r="B2757" s="95"/>
      <c r="C2757" s="95"/>
    </row>
    <row r="2758" spans="1:3" ht="15" x14ac:dyDescent="0.25">
      <c r="A2758" s="95"/>
      <c r="B2758" s="95"/>
      <c r="C2758" s="95"/>
    </row>
    <row r="2759" spans="1:3" ht="15" x14ac:dyDescent="0.25">
      <c r="A2759" s="95"/>
      <c r="B2759" s="95"/>
      <c r="C2759" s="95"/>
    </row>
    <row r="2760" spans="1:3" ht="15" x14ac:dyDescent="0.25">
      <c r="A2760" s="95"/>
      <c r="B2760" s="95"/>
      <c r="C2760" s="95"/>
    </row>
    <row r="2761" spans="1:3" ht="15" x14ac:dyDescent="0.25">
      <c r="A2761" s="95"/>
      <c r="B2761" s="95"/>
      <c r="C2761" s="95"/>
    </row>
    <row r="2762" spans="1:3" ht="15" x14ac:dyDescent="0.25">
      <c r="A2762" s="95"/>
      <c r="B2762" s="95"/>
      <c r="C2762" s="95"/>
    </row>
    <row r="2763" spans="1:3" ht="15" x14ac:dyDescent="0.25">
      <c r="A2763" s="95"/>
      <c r="B2763" s="95"/>
      <c r="C2763" s="95"/>
    </row>
    <row r="2764" spans="1:3" ht="15" x14ac:dyDescent="0.25">
      <c r="A2764" s="95"/>
      <c r="B2764" s="95"/>
      <c r="C2764" s="95"/>
    </row>
    <row r="2765" spans="1:3" ht="15" x14ac:dyDescent="0.25">
      <c r="A2765" s="95"/>
      <c r="B2765" s="95"/>
      <c r="C2765" s="95"/>
    </row>
    <row r="2766" spans="1:3" ht="15" x14ac:dyDescent="0.25">
      <c r="A2766" s="95"/>
      <c r="B2766" s="95"/>
      <c r="C2766" s="95"/>
    </row>
    <row r="2767" spans="1:3" ht="15" x14ac:dyDescent="0.25">
      <c r="A2767" s="95"/>
      <c r="B2767" s="95"/>
      <c r="C2767" s="95"/>
    </row>
    <row r="2768" spans="1:3" ht="15" x14ac:dyDescent="0.25">
      <c r="A2768" s="95"/>
      <c r="B2768" s="95"/>
      <c r="C2768" s="95"/>
    </row>
    <row r="2769" spans="1:3" ht="15" x14ac:dyDescent="0.25">
      <c r="A2769" s="95"/>
      <c r="B2769" s="95"/>
      <c r="C2769" s="95"/>
    </row>
    <row r="2770" spans="1:3" ht="15" x14ac:dyDescent="0.25">
      <c r="A2770" s="95"/>
      <c r="B2770" s="95"/>
      <c r="C2770" s="95"/>
    </row>
    <row r="2771" spans="1:3" ht="15" x14ac:dyDescent="0.25">
      <c r="A2771" s="95"/>
      <c r="B2771" s="95"/>
      <c r="C2771" s="95"/>
    </row>
    <row r="2772" spans="1:3" ht="15" x14ac:dyDescent="0.25">
      <c r="A2772" s="95"/>
      <c r="B2772" s="95"/>
      <c r="C2772" s="95"/>
    </row>
    <row r="2773" spans="1:3" ht="15" x14ac:dyDescent="0.25">
      <c r="A2773" s="95"/>
      <c r="B2773" s="95"/>
      <c r="C2773" s="95"/>
    </row>
    <row r="2774" spans="1:3" ht="15" x14ac:dyDescent="0.25">
      <c r="A2774" s="95"/>
      <c r="B2774" s="95"/>
      <c r="C2774" s="95"/>
    </row>
    <row r="2775" spans="1:3" ht="15" x14ac:dyDescent="0.25">
      <c r="A2775" s="95"/>
      <c r="B2775" s="95"/>
      <c r="C2775" s="95"/>
    </row>
    <row r="2776" spans="1:3" ht="15" x14ac:dyDescent="0.25">
      <c r="A2776" s="95"/>
      <c r="B2776" s="95"/>
      <c r="C2776" s="95"/>
    </row>
    <row r="2777" spans="1:3" ht="15" x14ac:dyDescent="0.25">
      <c r="A2777" s="95"/>
      <c r="B2777" s="95"/>
      <c r="C2777" s="95"/>
    </row>
    <row r="2778" spans="1:3" ht="15" x14ac:dyDescent="0.25">
      <c r="A2778" s="95"/>
      <c r="B2778" s="95"/>
      <c r="C2778" s="95"/>
    </row>
    <row r="2779" spans="1:3" ht="15" x14ac:dyDescent="0.25">
      <c r="A2779" s="95"/>
      <c r="B2779" s="95"/>
      <c r="C2779" s="95"/>
    </row>
    <row r="2780" spans="1:3" ht="15" x14ac:dyDescent="0.25">
      <c r="A2780" s="95"/>
      <c r="B2780" s="95"/>
      <c r="C2780" s="95"/>
    </row>
    <row r="2781" spans="1:3" ht="15" x14ac:dyDescent="0.25">
      <c r="A2781" s="95"/>
      <c r="B2781" s="95"/>
      <c r="C2781" s="95"/>
    </row>
    <row r="2782" spans="1:3" ht="15" x14ac:dyDescent="0.25">
      <c r="A2782" s="95"/>
      <c r="B2782" s="95"/>
      <c r="C2782" s="95"/>
    </row>
    <row r="2783" spans="1:3" ht="15" x14ac:dyDescent="0.25">
      <c r="A2783" s="95"/>
      <c r="B2783" s="95"/>
      <c r="C2783" s="95"/>
    </row>
    <row r="2784" spans="1:3" ht="15" x14ac:dyDescent="0.25">
      <c r="A2784" s="95"/>
      <c r="B2784" s="95"/>
      <c r="C2784" s="95"/>
    </row>
    <row r="2785" spans="1:3" ht="15" x14ac:dyDescent="0.25">
      <c r="A2785" s="95"/>
      <c r="B2785" s="95"/>
      <c r="C2785" s="95"/>
    </row>
    <row r="2786" spans="1:3" ht="15" x14ac:dyDescent="0.25">
      <c r="A2786" s="95"/>
      <c r="B2786" s="95"/>
      <c r="C2786" s="95"/>
    </row>
    <row r="2787" spans="1:3" ht="15" x14ac:dyDescent="0.25">
      <c r="A2787" s="95"/>
      <c r="B2787" s="95"/>
      <c r="C2787" s="95"/>
    </row>
    <row r="2788" spans="1:3" ht="15" x14ac:dyDescent="0.25">
      <c r="A2788" s="95"/>
      <c r="B2788" s="95"/>
      <c r="C2788" s="95"/>
    </row>
    <row r="2789" spans="1:3" ht="15" x14ac:dyDescent="0.25">
      <c r="A2789" s="95"/>
      <c r="B2789" s="95"/>
      <c r="C2789" s="95"/>
    </row>
    <row r="2790" spans="1:3" ht="15" x14ac:dyDescent="0.25">
      <c r="A2790" s="95"/>
      <c r="B2790" s="95"/>
      <c r="C2790" s="95"/>
    </row>
    <row r="2791" spans="1:3" ht="15" x14ac:dyDescent="0.25">
      <c r="A2791" s="95"/>
      <c r="B2791" s="95"/>
      <c r="C2791" s="95"/>
    </row>
    <row r="2792" spans="1:3" ht="15" x14ac:dyDescent="0.25">
      <c r="A2792" s="95"/>
      <c r="B2792" s="95"/>
      <c r="C2792" s="95"/>
    </row>
    <row r="2793" spans="1:3" ht="15" x14ac:dyDescent="0.25">
      <c r="A2793" s="95"/>
      <c r="B2793" s="95"/>
      <c r="C2793" s="95"/>
    </row>
    <row r="2794" spans="1:3" ht="15" x14ac:dyDescent="0.25">
      <c r="A2794" s="95"/>
      <c r="B2794" s="95"/>
      <c r="C2794" s="95"/>
    </row>
    <row r="2795" spans="1:3" ht="15" x14ac:dyDescent="0.25">
      <c r="A2795" s="95"/>
      <c r="B2795" s="95"/>
      <c r="C2795" s="95"/>
    </row>
    <row r="2796" spans="1:3" ht="15" x14ac:dyDescent="0.25">
      <c r="A2796" s="95"/>
      <c r="B2796" s="95"/>
      <c r="C2796" s="95"/>
    </row>
    <row r="2797" spans="1:3" ht="15" x14ac:dyDescent="0.25">
      <c r="A2797" s="95"/>
      <c r="B2797" s="95"/>
      <c r="C2797" s="95"/>
    </row>
    <row r="2798" spans="1:3" ht="15" x14ac:dyDescent="0.25">
      <c r="A2798" s="95"/>
      <c r="B2798" s="95"/>
      <c r="C2798" s="95"/>
    </row>
    <row r="2799" spans="1:3" ht="15" x14ac:dyDescent="0.25">
      <c r="A2799" s="95"/>
      <c r="B2799" s="95"/>
      <c r="C2799" s="95"/>
    </row>
    <row r="2800" spans="1:3" ht="15" x14ac:dyDescent="0.25">
      <c r="A2800" s="95"/>
      <c r="B2800" s="95"/>
      <c r="C2800" s="95"/>
    </row>
    <row r="2801" spans="1:3" ht="15" x14ac:dyDescent="0.25">
      <c r="A2801" s="95"/>
      <c r="B2801" s="95"/>
      <c r="C2801" s="95"/>
    </row>
    <row r="2802" spans="1:3" ht="15" x14ac:dyDescent="0.25">
      <c r="A2802" s="95"/>
      <c r="B2802" s="95"/>
      <c r="C2802" s="95"/>
    </row>
    <row r="2803" spans="1:3" ht="15" x14ac:dyDescent="0.25">
      <c r="A2803" s="95"/>
      <c r="B2803" s="95"/>
      <c r="C2803" s="95"/>
    </row>
    <row r="2804" spans="1:3" ht="15" x14ac:dyDescent="0.25">
      <c r="A2804" s="95"/>
      <c r="B2804" s="95"/>
      <c r="C2804" s="95"/>
    </row>
    <row r="2805" spans="1:3" ht="15" x14ac:dyDescent="0.25">
      <c r="A2805" s="95"/>
      <c r="B2805" s="95"/>
      <c r="C2805" s="95"/>
    </row>
    <row r="2806" spans="1:3" ht="15" x14ac:dyDescent="0.25">
      <c r="A2806" s="95"/>
      <c r="B2806" s="95"/>
      <c r="C2806" s="95"/>
    </row>
    <row r="2807" spans="1:3" ht="15" x14ac:dyDescent="0.25">
      <c r="A2807" s="95"/>
      <c r="B2807" s="95"/>
      <c r="C2807" s="95"/>
    </row>
    <row r="2808" spans="1:3" ht="15" x14ac:dyDescent="0.25">
      <c r="A2808" s="95"/>
      <c r="B2808" s="95"/>
      <c r="C2808" s="95"/>
    </row>
    <row r="2809" spans="1:3" ht="15" x14ac:dyDescent="0.25">
      <c r="A2809" s="95"/>
      <c r="B2809" s="95"/>
      <c r="C2809" s="95"/>
    </row>
    <row r="2810" spans="1:3" ht="15" x14ac:dyDescent="0.25">
      <c r="A2810" s="95"/>
      <c r="B2810" s="95"/>
      <c r="C2810" s="95"/>
    </row>
    <row r="2811" spans="1:3" ht="15" x14ac:dyDescent="0.25">
      <c r="A2811" s="95"/>
      <c r="B2811" s="95"/>
      <c r="C2811" s="95"/>
    </row>
    <row r="2812" spans="1:3" ht="15" x14ac:dyDescent="0.25">
      <c r="A2812" s="95"/>
      <c r="B2812" s="95"/>
      <c r="C2812" s="95"/>
    </row>
    <row r="2813" spans="1:3" ht="15" x14ac:dyDescent="0.25">
      <c r="A2813" s="95"/>
      <c r="B2813" s="95"/>
      <c r="C2813" s="95"/>
    </row>
    <row r="2814" spans="1:3" ht="15" x14ac:dyDescent="0.25">
      <c r="A2814" s="95"/>
      <c r="B2814" s="95"/>
      <c r="C2814" s="95"/>
    </row>
    <row r="2815" spans="1:3" ht="15" x14ac:dyDescent="0.25">
      <c r="A2815" s="95"/>
      <c r="B2815" s="95"/>
      <c r="C2815" s="95"/>
    </row>
    <row r="2816" spans="1:3" ht="15" x14ac:dyDescent="0.25">
      <c r="A2816" s="95"/>
      <c r="B2816" s="95"/>
      <c r="C2816" s="95"/>
    </row>
    <row r="2817" spans="1:3" ht="15" x14ac:dyDescent="0.25">
      <c r="A2817" s="95"/>
      <c r="B2817" s="95"/>
      <c r="C2817" s="95"/>
    </row>
    <row r="2818" spans="1:3" ht="15" x14ac:dyDescent="0.25">
      <c r="A2818" s="95"/>
      <c r="B2818" s="95"/>
      <c r="C2818" s="95"/>
    </row>
    <row r="2819" spans="1:3" ht="15" x14ac:dyDescent="0.25">
      <c r="A2819" s="95"/>
      <c r="B2819" s="95"/>
      <c r="C2819" s="95"/>
    </row>
    <row r="2820" spans="1:3" ht="15" x14ac:dyDescent="0.25">
      <c r="A2820" s="95"/>
      <c r="B2820" s="95"/>
      <c r="C2820" s="95"/>
    </row>
    <row r="2821" spans="1:3" ht="15" x14ac:dyDescent="0.25">
      <c r="A2821" s="95"/>
      <c r="B2821" s="95"/>
      <c r="C2821" s="95"/>
    </row>
    <row r="2822" spans="1:3" ht="15" x14ac:dyDescent="0.25">
      <c r="A2822" s="95"/>
      <c r="B2822" s="95"/>
      <c r="C2822" s="95"/>
    </row>
    <row r="2823" spans="1:3" ht="15" x14ac:dyDescent="0.25">
      <c r="A2823" s="95"/>
      <c r="B2823" s="95"/>
      <c r="C2823" s="95"/>
    </row>
    <row r="2824" spans="1:3" ht="15" x14ac:dyDescent="0.25">
      <c r="A2824" s="95"/>
      <c r="B2824" s="95"/>
      <c r="C2824" s="95"/>
    </row>
    <row r="2825" spans="1:3" ht="15" x14ac:dyDescent="0.25">
      <c r="A2825" s="95"/>
      <c r="B2825" s="95"/>
      <c r="C2825" s="95"/>
    </row>
    <row r="2826" spans="1:3" ht="15" x14ac:dyDescent="0.25">
      <c r="A2826" s="95"/>
      <c r="B2826" s="95"/>
      <c r="C2826" s="95"/>
    </row>
    <row r="2827" spans="1:3" ht="15" x14ac:dyDescent="0.25">
      <c r="A2827" s="95"/>
      <c r="B2827" s="95"/>
      <c r="C2827" s="95"/>
    </row>
    <row r="2828" spans="1:3" ht="15" x14ac:dyDescent="0.25">
      <c r="A2828" s="95"/>
      <c r="B2828" s="95"/>
      <c r="C2828" s="95"/>
    </row>
    <row r="2829" spans="1:3" ht="15" x14ac:dyDescent="0.25">
      <c r="A2829" s="95"/>
      <c r="B2829" s="95"/>
      <c r="C2829" s="95"/>
    </row>
    <row r="2830" spans="1:3" ht="15" x14ac:dyDescent="0.25">
      <c r="A2830" s="95"/>
      <c r="B2830" s="95"/>
      <c r="C2830" s="95"/>
    </row>
    <row r="2831" spans="1:3" ht="15" x14ac:dyDescent="0.25">
      <c r="A2831" s="95"/>
      <c r="B2831" s="95"/>
      <c r="C2831" s="95"/>
    </row>
    <row r="2832" spans="1:3" ht="15" x14ac:dyDescent="0.25">
      <c r="A2832" s="95"/>
      <c r="B2832" s="95"/>
      <c r="C2832" s="95"/>
    </row>
    <row r="2833" spans="1:3" ht="15" x14ac:dyDescent="0.25">
      <c r="A2833" s="95"/>
      <c r="B2833" s="95"/>
      <c r="C2833" s="95"/>
    </row>
    <row r="2834" spans="1:3" ht="15" x14ac:dyDescent="0.25">
      <c r="A2834" s="95"/>
      <c r="B2834" s="95"/>
      <c r="C2834" s="95"/>
    </row>
    <row r="2835" spans="1:3" ht="15" x14ac:dyDescent="0.25">
      <c r="A2835" s="95"/>
      <c r="B2835" s="95"/>
      <c r="C2835" s="95"/>
    </row>
    <row r="2836" spans="1:3" ht="15" x14ac:dyDescent="0.25">
      <c r="A2836" s="95"/>
      <c r="B2836" s="95"/>
      <c r="C2836" s="95"/>
    </row>
    <row r="2837" spans="1:3" ht="15" x14ac:dyDescent="0.25">
      <c r="A2837" s="95"/>
      <c r="B2837" s="95"/>
      <c r="C2837" s="95"/>
    </row>
    <row r="2838" spans="1:3" ht="15" x14ac:dyDescent="0.25">
      <c r="A2838" s="95"/>
      <c r="B2838" s="95"/>
      <c r="C2838" s="95"/>
    </row>
    <row r="2839" spans="1:3" ht="15" x14ac:dyDescent="0.25">
      <c r="A2839" s="95"/>
      <c r="B2839" s="95"/>
      <c r="C2839" s="95"/>
    </row>
    <row r="2840" spans="1:3" ht="15" x14ac:dyDescent="0.25">
      <c r="A2840" s="95"/>
      <c r="B2840" s="95"/>
      <c r="C2840" s="95"/>
    </row>
    <row r="2841" spans="1:3" ht="15" x14ac:dyDescent="0.25">
      <c r="A2841" s="95"/>
      <c r="B2841" s="95"/>
      <c r="C2841" s="95"/>
    </row>
    <row r="2842" spans="1:3" ht="15" x14ac:dyDescent="0.25">
      <c r="A2842" s="95"/>
      <c r="B2842" s="95"/>
      <c r="C2842" s="95"/>
    </row>
    <row r="2843" spans="1:3" ht="15" x14ac:dyDescent="0.25">
      <c r="A2843" s="95"/>
      <c r="B2843" s="95"/>
      <c r="C2843" s="95"/>
    </row>
    <row r="2844" spans="1:3" ht="15" x14ac:dyDescent="0.25">
      <c r="A2844" s="95"/>
      <c r="B2844" s="95"/>
      <c r="C2844" s="95"/>
    </row>
    <row r="2845" spans="1:3" ht="15" x14ac:dyDescent="0.25">
      <c r="A2845" s="95"/>
      <c r="B2845" s="95"/>
      <c r="C2845" s="95"/>
    </row>
    <row r="2846" spans="1:3" ht="15" x14ac:dyDescent="0.25">
      <c r="A2846" s="95"/>
      <c r="B2846" s="95"/>
      <c r="C2846" s="95"/>
    </row>
    <row r="2847" spans="1:3" ht="15" x14ac:dyDescent="0.25">
      <c r="A2847" s="95"/>
      <c r="B2847" s="95"/>
      <c r="C2847" s="95"/>
    </row>
    <row r="2848" spans="1:3" ht="15" x14ac:dyDescent="0.25">
      <c r="A2848" s="95"/>
      <c r="B2848" s="95"/>
      <c r="C2848" s="95"/>
    </row>
    <row r="2849" spans="1:3" ht="15" x14ac:dyDescent="0.25">
      <c r="A2849" s="95"/>
      <c r="B2849" s="95"/>
      <c r="C2849" s="95"/>
    </row>
    <row r="2850" spans="1:3" ht="15" x14ac:dyDescent="0.25">
      <c r="A2850" s="95"/>
      <c r="B2850" s="95"/>
      <c r="C2850" s="95"/>
    </row>
    <row r="2851" spans="1:3" ht="15" x14ac:dyDescent="0.25">
      <c r="A2851" s="95"/>
      <c r="B2851" s="95"/>
      <c r="C2851" s="95"/>
    </row>
    <row r="2852" spans="1:3" ht="15" x14ac:dyDescent="0.25">
      <c r="A2852" s="95"/>
      <c r="B2852" s="95"/>
      <c r="C2852" s="95"/>
    </row>
    <row r="2853" spans="1:3" ht="15" x14ac:dyDescent="0.25">
      <c r="A2853" s="95"/>
      <c r="B2853" s="95"/>
      <c r="C2853" s="95"/>
    </row>
    <row r="2854" spans="1:3" ht="15" x14ac:dyDescent="0.25">
      <c r="A2854" s="95"/>
      <c r="B2854" s="95"/>
      <c r="C2854" s="95"/>
    </row>
    <row r="2855" spans="1:3" ht="15" x14ac:dyDescent="0.25">
      <c r="A2855" s="95"/>
      <c r="B2855" s="95"/>
      <c r="C2855" s="95"/>
    </row>
    <row r="2856" spans="1:3" ht="15" x14ac:dyDescent="0.25">
      <c r="A2856" s="95"/>
      <c r="B2856" s="95"/>
      <c r="C2856" s="95"/>
    </row>
    <row r="2857" spans="1:3" ht="15" x14ac:dyDescent="0.25">
      <c r="A2857" s="95"/>
      <c r="B2857" s="95"/>
      <c r="C2857" s="95"/>
    </row>
    <row r="2858" spans="1:3" ht="15" x14ac:dyDescent="0.25">
      <c r="A2858" s="95"/>
      <c r="B2858" s="95"/>
      <c r="C2858" s="95"/>
    </row>
    <row r="2859" spans="1:3" ht="15" x14ac:dyDescent="0.25">
      <c r="A2859" s="95"/>
      <c r="B2859" s="95"/>
      <c r="C2859" s="95"/>
    </row>
    <row r="2860" spans="1:3" ht="15" x14ac:dyDescent="0.25">
      <c r="A2860" s="95"/>
      <c r="B2860" s="95"/>
      <c r="C2860" s="95"/>
    </row>
    <row r="2861" spans="1:3" ht="15" x14ac:dyDescent="0.25">
      <c r="A2861" s="95"/>
      <c r="B2861" s="95"/>
      <c r="C2861" s="95"/>
    </row>
    <row r="2862" spans="1:3" ht="15" x14ac:dyDescent="0.25">
      <c r="A2862" s="95"/>
      <c r="B2862" s="95"/>
      <c r="C2862" s="95"/>
    </row>
    <row r="2863" spans="1:3" ht="15" x14ac:dyDescent="0.25">
      <c r="A2863" s="95"/>
      <c r="B2863" s="95"/>
      <c r="C2863" s="95"/>
    </row>
    <row r="2864" spans="1:3" ht="15" x14ac:dyDescent="0.25">
      <c r="A2864" s="95"/>
      <c r="B2864" s="95"/>
      <c r="C2864" s="95"/>
    </row>
    <row r="2865" spans="1:3" ht="15" x14ac:dyDescent="0.25">
      <c r="A2865" s="95"/>
      <c r="B2865" s="95"/>
      <c r="C2865" s="95"/>
    </row>
    <row r="2866" spans="1:3" ht="15" x14ac:dyDescent="0.25">
      <c r="A2866" s="95"/>
      <c r="B2866" s="95"/>
      <c r="C2866" s="95"/>
    </row>
    <row r="2867" spans="1:3" ht="15" x14ac:dyDescent="0.25">
      <c r="A2867" s="95"/>
      <c r="B2867" s="95"/>
      <c r="C2867" s="95"/>
    </row>
    <row r="2868" spans="1:3" ht="15" x14ac:dyDescent="0.25">
      <c r="A2868" s="95"/>
      <c r="B2868" s="95"/>
      <c r="C2868" s="95"/>
    </row>
    <row r="2869" spans="1:3" ht="15" x14ac:dyDescent="0.25">
      <c r="A2869" s="95"/>
      <c r="B2869" s="95"/>
      <c r="C2869" s="95"/>
    </row>
    <row r="2870" spans="1:3" ht="15" x14ac:dyDescent="0.25">
      <c r="A2870" s="95"/>
      <c r="B2870" s="95"/>
      <c r="C2870" s="95"/>
    </row>
    <row r="2871" spans="1:3" ht="15" x14ac:dyDescent="0.25">
      <c r="A2871" s="95"/>
      <c r="B2871" s="95"/>
      <c r="C2871" s="95"/>
    </row>
    <row r="2872" spans="1:3" ht="15" x14ac:dyDescent="0.25">
      <c r="A2872" s="95"/>
      <c r="B2872" s="95"/>
      <c r="C2872" s="95"/>
    </row>
    <row r="2873" spans="1:3" ht="15" x14ac:dyDescent="0.25">
      <c r="A2873" s="95"/>
      <c r="B2873" s="95"/>
      <c r="C2873" s="95"/>
    </row>
    <row r="2874" spans="1:3" ht="15" x14ac:dyDescent="0.25">
      <c r="A2874" s="95"/>
      <c r="B2874" s="95"/>
      <c r="C2874" s="95"/>
    </row>
    <row r="2875" spans="1:3" ht="15" x14ac:dyDescent="0.25">
      <c r="A2875" s="95"/>
      <c r="B2875" s="95"/>
      <c r="C2875" s="95"/>
    </row>
    <row r="2876" spans="1:3" ht="15" x14ac:dyDescent="0.25">
      <c r="A2876" s="95"/>
      <c r="B2876" s="95"/>
      <c r="C2876" s="95"/>
    </row>
    <row r="2877" spans="1:3" ht="15" x14ac:dyDescent="0.25">
      <c r="A2877" s="95"/>
      <c r="B2877" s="95"/>
      <c r="C2877" s="95"/>
    </row>
    <row r="2878" spans="1:3" ht="15" x14ac:dyDescent="0.25">
      <c r="A2878" s="95"/>
      <c r="B2878" s="95"/>
      <c r="C2878" s="95"/>
    </row>
    <row r="2879" spans="1:3" ht="15" x14ac:dyDescent="0.25">
      <c r="A2879" s="95"/>
      <c r="B2879" s="95"/>
      <c r="C2879" s="95"/>
    </row>
    <row r="2880" spans="1:3" ht="15" x14ac:dyDescent="0.25">
      <c r="A2880" s="95"/>
      <c r="B2880" s="95"/>
      <c r="C2880" s="95"/>
    </row>
    <row r="2881" spans="1:3" ht="15" x14ac:dyDescent="0.25">
      <c r="A2881" s="95"/>
      <c r="B2881" s="95"/>
      <c r="C2881" s="95"/>
    </row>
    <row r="2882" spans="1:3" ht="15" x14ac:dyDescent="0.25">
      <c r="A2882" s="95"/>
      <c r="B2882" s="95"/>
      <c r="C2882" s="95"/>
    </row>
    <row r="2883" spans="1:3" ht="15" x14ac:dyDescent="0.25">
      <c r="A2883" s="95"/>
      <c r="B2883" s="95"/>
      <c r="C2883" s="95"/>
    </row>
    <row r="2884" spans="1:3" ht="15" x14ac:dyDescent="0.25">
      <c r="A2884" s="95"/>
      <c r="B2884" s="95"/>
      <c r="C2884" s="95"/>
    </row>
    <row r="2885" spans="1:3" ht="15" x14ac:dyDescent="0.25">
      <c r="A2885" s="95"/>
      <c r="B2885" s="95"/>
      <c r="C2885" s="95"/>
    </row>
    <row r="2886" spans="1:3" ht="15" x14ac:dyDescent="0.25">
      <c r="A2886" s="95"/>
      <c r="B2886" s="95"/>
      <c r="C2886" s="95"/>
    </row>
    <row r="2887" spans="1:3" ht="15" x14ac:dyDescent="0.25">
      <c r="A2887" s="95"/>
      <c r="B2887" s="95"/>
      <c r="C2887" s="95"/>
    </row>
    <row r="2888" spans="1:3" ht="15" x14ac:dyDescent="0.25">
      <c r="A2888" s="95"/>
      <c r="B2888" s="95"/>
      <c r="C2888" s="95"/>
    </row>
    <row r="2889" spans="1:3" ht="15" x14ac:dyDescent="0.25">
      <c r="A2889" s="95"/>
      <c r="B2889" s="95"/>
      <c r="C2889" s="95"/>
    </row>
    <row r="2890" spans="1:3" ht="15" x14ac:dyDescent="0.25">
      <c r="A2890" s="95"/>
      <c r="B2890" s="95"/>
      <c r="C2890" s="95"/>
    </row>
    <row r="2891" spans="1:3" ht="15" x14ac:dyDescent="0.25">
      <c r="A2891" s="95"/>
      <c r="B2891" s="95"/>
      <c r="C2891" s="95"/>
    </row>
    <row r="2892" spans="1:3" ht="15" x14ac:dyDescent="0.25">
      <c r="A2892" s="95"/>
      <c r="B2892" s="95"/>
      <c r="C2892" s="95"/>
    </row>
    <row r="2893" spans="1:3" ht="15" x14ac:dyDescent="0.25">
      <c r="A2893" s="95"/>
      <c r="B2893" s="95"/>
      <c r="C2893" s="95"/>
    </row>
    <row r="2894" spans="1:3" ht="15" x14ac:dyDescent="0.25">
      <c r="A2894" s="95"/>
      <c r="B2894" s="95"/>
      <c r="C2894" s="95"/>
    </row>
    <row r="2895" spans="1:3" ht="15" x14ac:dyDescent="0.25">
      <c r="A2895" s="95"/>
      <c r="B2895" s="95"/>
      <c r="C2895" s="95"/>
    </row>
    <row r="2896" spans="1:3" ht="15" x14ac:dyDescent="0.25">
      <c r="A2896" s="95"/>
      <c r="B2896" s="95"/>
      <c r="C2896" s="95"/>
    </row>
    <row r="2897" spans="1:3" ht="15" x14ac:dyDescent="0.25">
      <c r="A2897" s="95"/>
      <c r="B2897" s="95"/>
      <c r="C2897" s="95"/>
    </row>
    <row r="2898" spans="1:3" ht="15" x14ac:dyDescent="0.25">
      <c r="A2898" s="95"/>
      <c r="B2898" s="95"/>
      <c r="C2898" s="95"/>
    </row>
    <row r="2899" spans="1:3" ht="15" x14ac:dyDescent="0.25">
      <c r="A2899" s="95"/>
      <c r="B2899" s="95"/>
      <c r="C2899" s="95"/>
    </row>
    <row r="2900" spans="1:3" ht="15" x14ac:dyDescent="0.25">
      <c r="A2900" s="95"/>
      <c r="B2900" s="95"/>
      <c r="C2900" s="95"/>
    </row>
    <row r="2901" spans="1:3" ht="15" x14ac:dyDescent="0.25">
      <c r="A2901" s="95"/>
      <c r="B2901" s="95"/>
      <c r="C2901" s="95"/>
    </row>
    <row r="2902" spans="1:3" ht="15" x14ac:dyDescent="0.25">
      <c r="A2902" s="95"/>
      <c r="B2902" s="95"/>
      <c r="C2902" s="95"/>
    </row>
    <row r="2903" spans="1:3" ht="15" x14ac:dyDescent="0.25">
      <c r="A2903" s="95"/>
      <c r="B2903" s="95"/>
      <c r="C2903" s="95"/>
    </row>
    <row r="2904" spans="1:3" ht="15" x14ac:dyDescent="0.25">
      <c r="A2904" s="95"/>
      <c r="B2904" s="95"/>
      <c r="C2904" s="95"/>
    </row>
    <row r="2905" spans="1:3" ht="15" x14ac:dyDescent="0.25">
      <c r="A2905" s="95"/>
      <c r="B2905" s="95"/>
      <c r="C2905" s="95"/>
    </row>
    <row r="2906" spans="1:3" ht="15" x14ac:dyDescent="0.25">
      <c r="A2906" s="95"/>
      <c r="B2906" s="95"/>
      <c r="C2906" s="95"/>
    </row>
    <row r="2907" spans="1:3" ht="15" x14ac:dyDescent="0.25">
      <c r="A2907" s="95"/>
      <c r="B2907" s="95"/>
      <c r="C2907" s="95"/>
    </row>
    <row r="2908" spans="1:3" ht="15" x14ac:dyDescent="0.25">
      <c r="A2908" s="95"/>
      <c r="B2908" s="95"/>
      <c r="C2908" s="95"/>
    </row>
    <row r="2909" spans="1:3" ht="15" x14ac:dyDescent="0.25">
      <c r="A2909" s="95"/>
      <c r="B2909" s="95"/>
      <c r="C2909" s="95"/>
    </row>
    <row r="2910" spans="1:3" ht="15" x14ac:dyDescent="0.25">
      <c r="A2910" s="95"/>
      <c r="B2910" s="95"/>
      <c r="C2910" s="95"/>
    </row>
    <row r="2911" spans="1:3" ht="15" x14ac:dyDescent="0.25">
      <c r="A2911" s="95"/>
      <c r="B2911" s="95"/>
      <c r="C2911" s="95"/>
    </row>
    <row r="2912" spans="1:3" ht="15" x14ac:dyDescent="0.25">
      <c r="A2912" s="95"/>
      <c r="B2912" s="95"/>
      <c r="C2912" s="95"/>
    </row>
    <row r="2913" spans="1:3" ht="15" x14ac:dyDescent="0.25">
      <c r="A2913" s="95"/>
      <c r="B2913" s="95"/>
      <c r="C2913" s="95"/>
    </row>
    <row r="2914" spans="1:3" ht="15" x14ac:dyDescent="0.25">
      <c r="A2914" s="95"/>
      <c r="B2914" s="95"/>
      <c r="C2914" s="95"/>
    </row>
    <row r="2915" spans="1:3" ht="15" x14ac:dyDescent="0.25">
      <c r="A2915" s="95"/>
      <c r="B2915" s="95"/>
      <c r="C2915" s="95"/>
    </row>
    <row r="2916" spans="1:3" ht="15" x14ac:dyDescent="0.25">
      <c r="A2916" s="95"/>
      <c r="B2916" s="95"/>
      <c r="C2916" s="95"/>
    </row>
    <row r="2917" spans="1:3" ht="15" x14ac:dyDescent="0.25">
      <c r="A2917" s="95"/>
      <c r="B2917" s="95"/>
      <c r="C2917" s="95"/>
    </row>
    <row r="2918" spans="1:3" ht="15" x14ac:dyDescent="0.25">
      <c r="A2918" s="95"/>
      <c r="B2918" s="95"/>
      <c r="C2918" s="95"/>
    </row>
    <row r="2919" spans="1:3" ht="15" x14ac:dyDescent="0.25">
      <c r="A2919" s="95"/>
      <c r="B2919" s="95"/>
      <c r="C2919" s="95"/>
    </row>
    <row r="2920" spans="1:3" ht="15" x14ac:dyDescent="0.25">
      <c r="A2920" s="95"/>
      <c r="B2920" s="95"/>
      <c r="C2920" s="95"/>
    </row>
    <row r="2921" spans="1:3" ht="15" x14ac:dyDescent="0.25">
      <c r="A2921" s="95"/>
      <c r="B2921" s="95"/>
      <c r="C2921" s="95"/>
    </row>
    <row r="2922" spans="1:3" ht="15" x14ac:dyDescent="0.25">
      <c r="A2922" s="95"/>
      <c r="B2922" s="95"/>
      <c r="C2922" s="95"/>
    </row>
    <row r="2923" spans="1:3" ht="15" x14ac:dyDescent="0.25">
      <c r="A2923" s="95"/>
      <c r="B2923" s="95"/>
      <c r="C2923" s="95"/>
    </row>
    <row r="2924" spans="1:3" ht="15" x14ac:dyDescent="0.25">
      <c r="A2924" s="95"/>
      <c r="B2924" s="95"/>
      <c r="C2924" s="95"/>
    </row>
    <row r="2925" spans="1:3" ht="15" x14ac:dyDescent="0.25">
      <c r="A2925" s="95"/>
      <c r="B2925" s="95"/>
      <c r="C2925" s="95"/>
    </row>
    <row r="2926" spans="1:3" ht="15" x14ac:dyDescent="0.25">
      <c r="A2926" s="95"/>
      <c r="B2926" s="95"/>
      <c r="C2926" s="95"/>
    </row>
    <row r="2927" spans="1:3" ht="15" x14ac:dyDescent="0.25">
      <c r="A2927" s="95"/>
      <c r="B2927" s="95"/>
      <c r="C2927" s="95"/>
    </row>
    <row r="2928" spans="1:3" ht="15" x14ac:dyDescent="0.25">
      <c r="A2928" s="95"/>
      <c r="B2928" s="95"/>
      <c r="C2928" s="95"/>
    </row>
    <row r="2929" spans="1:3" ht="15" x14ac:dyDescent="0.25">
      <c r="A2929" s="95"/>
      <c r="B2929" s="95"/>
      <c r="C2929" s="95"/>
    </row>
    <row r="2930" spans="1:3" ht="15" x14ac:dyDescent="0.25">
      <c r="A2930" s="95"/>
      <c r="B2930" s="95"/>
      <c r="C2930" s="95"/>
    </row>
    <row r="2931" spans="1:3" ht="15" x14ac:dyDescent="0.25">
      <c r="A2931" s="95"/>
      <c r="B2931" s="95"/>
      <c r="C2931" s="95"/>
    </row>
    <row r="2932" spans="1:3" ht="15" x14ac:dyDescent="0.25">
      <c r="A2932" s="95"/>
      <c r="B2932" s="95"/>
      <c r="C2932" s="95"/>
    </row>
    <row r="2933" spans="1:3" ht="15" x14ac:dyDescent="0.25">
      <c r="A2933" s="95"/>
      <c r="B2933" s="95"/>
      <c r="C2933" s="95"/>
    </row>
    <row r="2934" spans="1:3" ht="15" x14ac:dyDescent="0.25">
      <c r="A2934" s="95"/>
      <c r="B2934" s="95"/>
      <c r="C2934" s="95"/>
    </row>
    <row r="2935" spans="1:3" ht="15" x14ac:dyDescent="0.25">
      <c r="A2935" s="95"/>
      <c r="B2935" s="95"/>
      <c r="C2935" s="95"/>
    </row>
    <row r="2936" spans="1:3" ht="15" x14ac:dyDescent="0.25">
      <c r="A2936" s="95"/>
      <c r="B2936" s="95"/>
      <c r="C2936" s="95"/>
    </row>
    <row r="2937" spans="1:3" ht="15" x14ac:dyDescent="0.25">
      <c r="A2937" s="95"/>
      <c r="B2937" s="95"/>
      <c r="C2937" s="95"/>
    </row>
    <row r="2938" spans="1:3" ht="15" x14ac:dyDescent="0.25">
      <c r="A2938" s="95"/>
      <c r="B2938" s="95"/>
      <c r="C2938" s="95"/>
    </row>
    <row r="2939" spans="1:3" ht="15" x14ac:dyDescent="0.25">
      <c r="A2939" s="95"/>
      <c r="B2939" s="95"/>
      <c r="C2939" s="95"/>
    </row>
    <row r="2940" spans="1:3" ht="15" x14ac:dyDescent="0.25">
      <c r="A2940" s="95"/>
      <c r="B2940" s="95"/>
      <c r="C2940" s="95"/>
    </row>
    <row r="2941" spans="1:3" ht="15" x14ac:dyDescent="0.25">
      <c r="A2941" s="95"/>
      <c r="B2941" s="95"/>
      <c r="C2941" s="95"/>
    </row>
    <row r="2942" spans="1:3" ht="15" x14ac:dyDescent="0.25">
      <c r="A2942" s="95"/>
      <c r="B2942" s="95"/>
      <c r="C2942" s="95"/>
    </row>
    <row r="2943" spans="1:3" ht="15" x14ac:dyDescent="0.25">
      <c r="A2943" s="95"/>
      <c r="B2943" s="95"/>
      <c r="C2943" s="95"/>
    </row>
    <row r="2944" spans="1:3" ht="15" x14ac:dyDescent="0.25">
      <c r="A2944" s="95"/>
      <c r="B2944" s="95"/>
      <c r="C2944" s="95"/>
    </row>
    <row r="2945" spans="1:3" ht="15" x14ac:dyDescent="0.25">
      <c r="A2945" s="95"/>
      <c r="B2945" s="95"/>
      <c r="C2945" s="95"/>
    </row>
    <row r="2946" spans="1:3" ht="15" x14ac:dyDescent="0.25">
      <c r="A2946" s="95"/>
      <c r="B2946" s="95"/>
      <c r="C2946" s="95"/>
    </row>
    <row r="2947" spans="1:3" ht="15" x14ac:dyDescent="0.25">
      <c r="A2947" s="95"/>
      <c r="B2947" s="95"/>
      <c r="C2947" s="95"/>
    </row>
    <row r="2948" spans="1:3" ht="15" x14ac:dyDescent="0.25">
      <c r="A2948" s="95"/>
      <c r="B2948" s="95"/>
      <c r="C2948" s="95"/>
    </row>
    <row r="2949" spans="1:3" ht="15" x14ac:dyDescent="0.25">
      <c r="A2949" s="95"/>
      <c r="B2949" s="95"/>
      <c r="C2949" s="95"/>
    </row>
    <row r="2950" spans="1:3" ht="15" x14ac:dyDescent="0.25">
      <c r="A2950" s="95"/>
      <c r="B2950" s="95"/>
      <c r="C2950" s="95"/>
    </row>
    <row r="2951" spans="1:3" ht="15" x14ac:dyDescent="0.25">
      <c r="A2951" s="95"/>
      <c r="B2951" s="95"/>
      <c r="C2951" s="95"/>
    </row>
    <row r="2952" spans="1:3" ht="15" x14ac:dyDescent="0.25">
      <c r="A2952" s="95"/>
      <c r="B2952" s="95"/>
      <c r="C2952" s="95"/>
    </row>
    <row r="2953" spans="1:3" ht="15" x14ac:dyDescent="0.25">
      <c r="A2953" s="95"/>
      <c r="B2953" s="95"/>
      <c r="C2953" s="95"/>
    </row>
    <row r="2954" spans="1:3" ht="15" x14ac:dyDescent="0.25">
      <c r="A2954" s="95"/>
      <c r="B2954" s="95"/>
      <c r="C2954" s="95"/>
    </row>
    <row r="2955" spans="1:3" ht="15" x14ac:dyDescent="0.25">
      <c r="A2955" s="95"/>
      <c r="B2955" s="95"/>
      <c r="C2955" s="95"/>
    </row>
    <row r="2956" spans="1:3" ht="15" x14ac:dyDescent="0.25">
      <c r="A2956" s="95"/>
      <c r="B2956" s="95"/>
      <c r="C2956" s="95"/>
    </row>
    <row r="2957" spans="1:3" ht="15" x14ac:dyDescent="0.25">
      <c r="A2957" s="95"/>
      <c r="B2957" s="95"/>
      <c r="C2957" s="95"/>
    </row>
    <row r="2958" spans="1:3" ht="15" x14ac:dyDescent="0.25">
      <c r="A2958" s="95"/>
      <c r="B2958" s="95"/>
      <c r="C2958" s="95"/>
    </row>
    <row r="2959" spans="1:3" ht="15" x14ac:dyDescent="0.25">
      <c r="A2959" s="95"/>
      <c r="B2959" s="95"/>
      <c r="C2959" s="95"/>
    </row>
    <row r="2960" spans="1:3" ht="15" x14ac:dyDescent="0.25">
      <c r="A2960" s="95"/>
      <c r="B2960" s="95"/>
      <c r="C2960" s="95"/>
    </row>
    <row r="2961" spans="1:3" ht="15" x14ac:dyDescent="0.25">
      <c r="A2961" s="95"/>
      <c r="B2961" s="95"/>
      <c r="C2961" s="95"/>
    </row>
    <row r="2962" spans="1:3" ht="15" x14ac:dyDescent="0.25">
      <c r="A2962" s="95"/>
      <c r="B2962" s="95"/>
      <c r="C2962" s="95"/>
    </row>
    <row r="2963" spans="1:3" ht="15" x14ac:dyDescent="0.25">
      <c r="A2963" s="95"/>
      <c r="B2963" s="95"/>
      <c r="C2963" s="95"/>
    </row>
    <row r="2964" spans="1:3" ht="15" x14ac:dyDescent="0.25">
      <c r="A2964" s="95"/>
      <c r="B2964" s="95"/>
      <c r="C2964" s="95"/>
    </row>
    <row r="2965" spans="1:3" ht="15" x14ac:dyDescent="0.25">
      <c r="A2965" s="95"/>
      <c r="B2965" s="95"/>
      <c r="C2965" s="95"/>
    </row>
    <row r="2966" spans="1:3" ht="15" x14ac:dyDescent="0.25">
      <c r="A2966" s="95"/>
      <c r="B2966" s="95"/>
      <c r="C2966" s="95"/>
    </row>
    <row r="2967" spans="1:3" ht="15" x14ac:dyDescent="0.25">
      <c r="A2967" s="95"/>
      <c r="B2967" s="95"/>
      <c r="C2967" s="95"/>
    </row>
    <row r="2968" spans="1:3" ht="15" x14ac:dyDescent="0.25">
      <c r="A2968" s="95"/>
      <c r="B2968" s="95"/>
      <c r="C2968" s="95"/>
    </row>
    <row r="2969" spans="1:3" ht="15" x14ac:dyDescent="0.25">
      <c r="A2969" s="95"/>
      <c r="B2969" s="95"/>
      <c r="C2969" s="95"/>
    </row>
    <row r="2970" spans="1:3" ht="15" x14ac:dyDescent="0.25">
      <c r="A2970" s="95"/>
      <c r="B2970" s="95"/>
      <c r="C2970" s="95"/>
    </row>
    <row r="2971" spans="1:3" ht="15" x14ac:dyDescent="0.25">
      <c r="A2971" s="95"/>
      <c r="B2971" s="95"/>
      <c r="C2971" s="95"/>
    </row>
    <row r="2972" spans="1:3" ht="15" x14ac:dyDescent="0.25">
      <c r="A2972" s="95"/>
      <c r="B2972" s="95"/>
      <c r="C2972" s="95"/>
    </row>
    <row r="2973" spans="1:3" ht="15" x14ac:dyDescent="0.25">
      <c r="A2973" s="95"/>
      <c r="B2973" s="95"/>
      <c r="C2973" s="95"/>
    </row>
    <row r="2974" spans="1:3" ht="15" x14ac:dyDescent="0.25">
      <c r="A2974" s="95"/>
      <c r="B2974" s="95"/>
      <c r="C2974" s="95"/>
    </row>
    <row r="2975" spans="1:3" ht="15" x14ac:dyDescent="0.25">
      <c r="A2975" s="95"/>
      <c r="B2975" s="95"/>
      <c r="C2975" s="95"/>
    </row>
    <row r="2976" spans="1:3" ht="15" x14ac:dyDescent="0.25">
      <c r="A2976" s="95"/>
      <c r="B2976" s="95"/>
      <c r="C2976" s="95"/>
    </row>
    <row r="2977" spans="1:3" ht="15" x14ac:dyDescent="0.25">
      <c r="A2977" s="95"/>
      <c r="B2977" s="95"/>
      <c r="C2977" s="95"/>
    </row>
    <row r="2978" spans="1:3" ht="15" x14ac:dyDescent="0.25">
      <c r="A2978" s="95"/>
      <c r="B2978" s="95"/>
      <c r="C2978" s="95"/>
    </row>
    <row r="2979" spans="1:3" ht="15" x14ac:dyDescent="0.25">
      <c r="A2979" s="95"/>
      <c r="B2979" s="95"/>
      <c r="C2979" s="95"/>
    </row>
    <row r="2980" spans="1:3" ht="15" x14ac:dyDescent="0.25">
      <c r="A2980" s="95"/>
      <c r="B2980" s="95"/>
      <c r="C2980" s="95"/>
    </row>
    <row r="2981" spans="1:3" ht="15" x14ac:dyDescent="0.25">
      <c r="A2981" s="95"/>
      <c r="B2981" s="95"/>
      <c r="C2981" s="95"/>
    </row>
    <row r="2982" spans="1:3" ht="15" x14ac:dyDescent="0.25">
      <c r="A2982" s="95"/>
      <c r="B2982" s="95"/>
      <c r="C2982" s="95"/>
    </row>
    <row r="2983" spans="1:3" ht="15" x14ac:dyDescent="0.25">
      <c r="A2983" s="95"/>
      <c r="B2983" s="95"/>
      <c r="C2983" s="95"/>
    </row>
    <row r="2984" spans="1:3" ht="15" x14ac:dyDescent="0.25">
      <c r="A2984" s="95"/>
      <c r="B2984" s="95"/>
      <c r="C2984" s="95"/>
    </row>
    <row r="2985" spans="1:3" ht="15" x14ac:dyDescent="0.25">
      <c r="A2985" s="95"/>
      <c r="B2985" s="95"/>
      <c r="C2985" s="95"/>
    </row>
    <row r="2986" spans="1:3" ht="15" x14ac:dyDescent="0.25">
      <c r="A2986" s="95"/>
      <c r="B2986" s="95"/>
      <c r="C2986" s="95"/>
    </row>
    <row r="2987" spans="1:3" ht="15" x14ac:dyDescent="0.25">
      <c r="A2987" s="95"/>
      <c r="B2987" s="95"/>
      <c r="C2987" s="95"/>
    </row>
    <row r="2988" spans="1:3" ht="15" x14ac:dyDescent="0.25">
      <c r="A2988" s="95"/>
      <c r="B2988" s="95"/>
      <c r="C2988" s="95"/>
    </row>
    <row r="2989" spans="1:3" ht="15" x14ac:dyDescent="0.25">
      <c r="A2989" s="95"/>
      <c r="B2989" s="95"/>
      <c r="C2989" s="95"/>
    </row>
    <row r="2990" spans="1:3" ht="15" x14ac:dyDescent="0.25">
      <c r="A2990" s="95"/>
      <c r="B2990" s="95"/>
      <c r="C2990" s="95"/>
    </row>
    <row r="2991" spans="1:3" ht="15" x14ac:dyDescent="0.25">
      <c r="A2991" s="95"/>
      <c r="B2991" s="95"/>
      <c r="C2991" s="95"/>
    </row>
    <row r="2992" spans="1:3" ht="15" x14ac:dyDescent="0.25">
      <c r="A2992" s="95"/>
      <c r="B2992" s="95"/>
      <c r="C2992" s="95"/>
    </row>
    <row r="2993" spans="1:3" ht="15" x14ac:dyDescent="0.25">
      <c r="A2993" s="95"/>
      <c r="B2993" s="95"/>
      <c r="C2993" s="95"/>
    </row>
    <row r="2994" spans="1:3" ht="15" x14ac:dyDescent="0.25">
      <c r="A2994" s="95"/>
      <c r="B2994" s="95"/>
      <c r="C2994" s="95"/>
    </row>
    <row r="2995" spans="1:3" ht="15" x14ac:dyDescent="0.25">
      <c r="A2995" s="95"/>
      <c r="B2995" s="95"/>
      <c r="C2995" s="95"/>
    </row>
    <row r="2996" spans="1:3" ht="15" x14ac:dyDescent="0.25">
      <c r="A2996" s="95"/>
      <c r="B2996" s="95"/>
      <c r="C2996" s="95"/>
    </row>
    <row r="2997" spans="1:3" ht="15" x14ac:dyDescent="0.25">
      <c r="A2997" s="95"/>
      <c r="B2997" s="95"/>
      <c r="C2997" s="95"/>
    </row>
    <row r="2998" spans="1:3" ht="15" x14ac:dyDescent="0.25">
      <c r="A2998" s="95"/>
      <c r="B2998" s="95"/>
      <c r="C2998" s="95"/>
    </row>
    <row r="2999" spans="1:3" ht="15" x14ac:dyDescent="0.25">
      <c r="A2999" s="95"/>
      <c r="B2999" s="95"/>
      <c r="C2999" s="95"/>
    </row>
    <row r="3000" spans="1:3" ht="15" x14ac:dyDescent="0.25">
      <c r="A3000" s="95"/>
      <c r="B3000" s="95"/>
      <c r="C3000" s="95"/>
    </row>
    <row r="3001" spans="1:3" ht="15" x14ac:dyDescent="0.25">
      <c r="A3001" s="95"/>
      <c r="B3001" s="95"/>
      <c r="C3001" s="95"/>
    </row>
    <row r="3002" spans="1:3" ht="15" x14ac:dyDescent="0.25">
      <c r="A3002" s="95"/>
      <c r="B3002" s="95"/>
      <c r="C3002" s="95"/>
    </row>
    <row r="3003" spans="1:3" ht="15" x14ac:dyDescent="0.25">
      <c r="A3003" s="95"/>
      <c r="B3003" s="95"/>
      <c r="C3003" s="95"/>
    </row>
    <row r="3004" spans="1:3" ht="15" x14ac:dyDescent="0.25">
      <c r="A3004" s="95"/>
      <c r="B3004" s="95"/>
      <c r="C3004" s="95"/>
    </row>
    <row r="3005" spans="1:3" ht="15" x14ac:dyDescent="0.25">
      <c r="A3005" s="95"/>
      <c r="B3005" s="95"/>
      <c r="C3005" s="95"/>
    </row>
    <row r="3006" spans="1:3" ht="15" x14ac:dyDescent="0.25">
      <c r="A3006" s="95"/>
      <c r="B3006" s="95"/>
      <c r="C3006" s="95"/>
    </row>
    <row r="3007" spans="1:3" ht="15" x14ac:dyDescent="0.25">
      <c r="A3007" s="95"/>
      <c r="B3007" s="95"/>
      <c r="C3007" s="95"/>
    </row>
    <row r="3008" spans="1:3" ht="15" x14ac:dyDescent="0.25">
      <c r="A3008" s="95"/>
      <c r="B3008" s="95"/>
      <c r="C3008" s="95"/>
    </row>
    <row r="3009" spans="1:3" ht="15" x14ac:dyDescent="0.25">
      <c r="A3009" s="95"/>
      <c r="B3009" s="95"/>
      <c r="C3009" s="95"/>
    </row>
    <row r="3010" spans="1:3" ht="15" x14ac:dyDescent="0.25">
      <c r="A3010" s="95"/>
      <c r="B3010" s="95"/>
      <c r="C3010" s="95"/>
    </row>
    <row r="3011" spans="1:3" ht="15" x14ac:dyDescent="0.25">
      <c r="A3011" s="95"/>
      <c r="B3011" s="95"/>
      <c r="C3011" s="95"/>
    </row>
    <row r="3012" spans="1:3" ht="15" x14ac:dyDescent="0.25">
      <c r="A3012" s="95"/>
      <c r="B3012" s="95"/>
      <c r="C3012" s="95"/>
    </row>
    <row r="3013" spans="1:3" ht="15" x14ac:dyDescent="0.25">
      <c r="A3013" s="95"/>
      <c r="B3013" s="95"/>
      <c r="C3013" s="95"/>
    </row>
    <row r="3014" spans="1:3" ht="15" x14ac:dyDescent="0.25">
      <c r="A3014" s="95"/>
      <c r="B3014" s="95"/>
      <c r="C3014" s="95"/>
    </row>
    <row r="3015" spans="1:3" ht="15" x14ac:dyDescent="0.25">
      <c r="A3015" s="95"/>
      <c r="B3015" s="95"/>
      <c r="C3015" s="95"/>
    </row>
    <row r="3016" spans="1:3" ht="15" x14ac:dyDescent="0.25">
      <c r="A3016" s="95"/>
      <c r="B3016" s="95"/>
      <c r="C3016" s="95"/>
    </row>
    <row r="3017" spans="1:3" ht="15" x14ac:dyDescent="0.25">
      <c r="A3017" s="95"/>
      <c r="B3017" s="95"/>
      <c r="C3017" s="95"/>
    </row>
    <row r="3018" spans="1:3" ht="15" x14ac:dyDescent="0.25">
      <c r="A3018" s="95"/>
      <c r="B3018" s="95"/>
      <c r="C3018" s="95"/>
    </row>
    <row r="3019" spans="1:3" ht="15" x14ac:dyDescent="0.25">
      <c r="A3019" s="95"/>
      <c r="B3019" s="95"/>
      <c r="C3019" s="95"/>
    </row>
    <row r="3020" spans="1:3" ht="15" x14ac:dyDescent="0.25">
      <c r="A3020" s="95"/>
      <c r="B3020" s="95"/>
      <c r="C3020" s="95"/>
    </row>
    <row r="3021" spans="1:3" ht="15" x14ac:dyDescent="0.25">
      <c r="A3021" s="95"/>
      <c r="B3021" s="95"/>
      <c r="C3021" s="95"/>
    </row>
    <row r="3022" spans="1:3" ht="15" x14ac:dyDescent="0.25">
      <c r="A3022" s="95"/>
      <c r="B3022" s="95"/>
      <c r="C3022" s="95"/>
    </row>
    <row r="3023" spans="1:3" ht="15" x14ac:dyDescent="0.25">
      <c r="A3023" s="95"/>
      <c r="B3023" s="95"/>
      <c r="C3023" s="95"/>
    </row>
    <row r="3024" spans="1:3" ht="15" x14ac:dyDescent="0.25">
      <c r="A3024" s="95"/>
      <c r="B3024" s="95"/>
      <c r="C3024" s="95"/>
    </row>
    <row r="3025" spans="1:3" ht="15" x14ac:dyDescent="0.25">
      <c r="A3025" s="95"/>
      <c r="B3025" s="95"/>
      <c r="C3025" s="95"/>
    </row>
    <row r="3026" spans="1:3" ht="15" x14ac:dyDescent="0.25">
      <c r="A3026" s="95"/>
      <c r="B3026" s="95"/>
      <c r="C3026" s="95"/>
    </row>
    <row r="3027" spans="1:3" ht="15" x14ac:dyDescent="0.25">
      <c r="A3027" s="95"/>
      <c r="B3027" s="95"/>
      <c r="C3027" s="95"/>
    </row>
    <row r="3028" spans="1:3" ht="15" x14ac:dyDescent="0.25">
      <c r="A3028" s="95"/>
      <c r="B3028" s="95"/>
      <c r="C3028" s="95"/>
    </row>
    <row r="3029" spans="1:3" ht="15" x14ac:dyDescent="0.25">
      <c r="A3029" s="95"/>
      <c r="B3029" s="95"/>
      <c r="C3029" s="95"/>
    </row>
    <row r="3030" spans="1:3" ht="15" x14ac:dyDescent="0.25">
      <c r="A3030" s="95"/>
      <c r="B3030" s="95"/>
      <c r="C3030" s="95"/>
    </row>
    <row r="3031" spans="1:3" ht="15" x14ac:dyDescent="0.25">
      <c r="A3031" s="95"/>
      <c r="B3031" s="95"/>
      <c r="C3031" s="95"/>
    </row>
    <row r="3032" spans="1:3" ht="15" x14ac:dyDescent="0.25">
      <c r="A3032" s="95"/>
      <c r="B3032" s="95"/>
      <c r="C3032" s="95"/>
    </row>
    <row r="3033" spans="1:3" ht="15" x14ac:dyDescent="0.25">
      <c r="A3033" s="95"/>
      <c r="B3033" s="95"/>
      <c r="C3033" s="95"/>
    </row>
    <row r="3034" spans="1:3" ht="15" x14ac:dyDescent="0.25">
      <c r="A3034" s="95"/>
      <c r="B3034" s="95"/>
      <c r="C3034" s="95"/>
    </row>
    <row r="3035" spans="1:3" ht="15" x14ac:dyDescent="0.25">
      <c r="A3035" s="95"/>
      <c r="B3035" s="95"/>
      <c r="C3035" s="95"/>
    </row>
    <row r="3036" spans="1:3" ht="15" x14ac:dyDescent="0.25">
      <c r="A3036" s="95"/>
      <c r="B3036" s="95"/>
      <c r="C3036" s="95"/>
    </row>
    <row r="3037" spans="1:3" ht="15" x14ac:dyDescent="0.25">
      <c r="A3037" s="95"/>
      <c r="B3037" s="95"/>
      <c r="C3037" s="95"/>
    </row>
    <row r="3038" spans="1:3" ht="15" x14ac:dyDescent="0.25">
      <c r="A3038" s="95"/>
      <c r="B3038" s="95"/>
      <c r="C3038" s="95"/>
    </row>
    <row r="3039" spans="1:3" ht="15" x14ac:dyDescent="0.25">
      <c r="A3039" s="95"/>
      <c r="B3039" s="95"/>
      <c r="C3039" s="95"/>
    </row>
    <row r="3040" spans="1:3" ht="15" x14ac:dyDescent="0.25">
      <c r="A3040" s="95"/>
      <c r="B3040" s="95"/>
      <c r="C3040" s="95"/>
    </row>
    <row r="3041" spans="1:3" ht="15" x14ac:dyDescent="0.25">
      <c r="A3041" s="95"/>
      <c r="B3041" s="95"/>
      <c r="C3041" s="95"/>
    </row>
    <row r="3042" spans="1:3" ht="15" x14ac:dyDescent="0.25">
      <c r="A3042" s="95"/>
      <c r="B3042" s="95"/>
      <c r="C3042" s="95"/>
    </row>
    <row r="3043" spans="1:3" ht="15" x14ac:dyDescent="0.25">
      <c r="A3043" s="95"/>
      <c r="B3043" s="95"/>
      <c r="C3043" s="95"/>
    </row>
    <row r="3044" spans="1:3" ht="15" x14ac:dyDescent="0.25">
      <c r="A3044" s="95"/>
      <c r="B3044" s="95"/>
      <c r="C3044" s="95"/>
    </row>
    <row r="3045" spans="1:3" ht="15" x14ac:dyDescent="0.25">
      <c r="A3045" s="95"/>
      <c r="B3045" s="95"/>
      <c r="C3045" s="95"/>
    </row>
    <row r="3046" spans="1:3" thickBot="1" x14ac:dyDescent="0.3">
      <c r="A3046" s="95"/>
      <c r="B3046" s="95"/>
      <c r="C3046" s="95"/>
    </row>
    <row r="3047" spans="1:3" thickBot="1" x14ac:dyDescent="0.3">
      <c r="A3047" s="9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A11DD-C3EE-473C-B945-F191202D2A5E}">
  <sheetPr>
    <pageSetUpPr fitToPage="1"/>
  </sheetPr>
  <dimension ref="A1:H3048"/>
  <sheetViews>
    <sheetView showGridLines="0" zoomScale="80" zoomScaleNormal="80" zoomScaleSheetLayoutView="90" zoomScalePageLayoutView="70" workbookViewId="0">
      <selection activeCell="C2" sqref="C2"/>
    </sheetView>
  </sheetViews>
  <sheetFormatPr defaultColWidth="9.140625" defaultRowHeight="15.75" thickBottom="1" x14ac:dyDescent="0.3"/>
  <cols>
    <col min="1" max="1" width="23.7109375" style="98" customWidth="1"/>
    <col min="2" max="3" width="28.5703125" style="98" customWidth="1"/>
    <col min="4" max="4" width="10" style="99" customWidth="1"/>
    <col min="5" max="5" width="78.7109375" style="100" customWidth="1"/>
    <col min="6" max="6" width="28.5703125" style="101" customWidth="1"/>
    <col min="7" max="7" width="19.5703125" style="102" customWidth="1"/>
    <col min="8" max="8" width="102" style="100" customWidth="1"/>
    <col min="9" max="16384" width="9.140625" style="72"/>
  </cols>
  <sheetData>
    <row r="1" spans="1:8" s="65" customFormat="1" ht="75" thickBot="1" x14ac:dyDescent="0.3">
      <c r="A1" s="63" t="s">
        <v>0</v>
      </c>
      <c r="B1" s="63" t="s">
        <v>863</v>
      </c>
      <c r="C1" s="63"/>
      <c r="D1" s="63" t="s">
        <v>864</v>
      </c>
      <c r="E1" s="63" t="s">
        <v>865</v>
      </c>
      <c r="F1" s="64" t="s">
        <v>866</v>
      </c>
      <c r="G1" s="63" t="s">
        <v>867</v>
      </c>
      <c r="H1" s="63" t="s">
        <v>868</v>
      </c>
    </row>
    <row r="2" spans="1:8" ht="114" customHeight="1" x14ac:dyDescent="0.25">
      <c r="A2" s="66" t="s">
        <v>869</v>
      </c>
      <c r="B2" s="67" t="s">
        <v>1</v>
      </c>
      <c r="C2" s="67" t="s">
        <v>1249</v>
      </c>
      <c r="D2" s="67" t="s">
        <v>531</v>
      </c>
      <c r="E2" s="68" t="s">
        <v>870</v>
      </c>
      <c r="F2" s="69" t="s">
        <v>871</v>
      </c>
      <c r="G2" s="70">
        <v>5</v>
      </c>
      <c r="H2" s="71" t="s">
        <v>872</v>
      </c>
    </row>
    <row r="3" spans="1:8" ht="114" customHeight="1" x14ac:dyDescent="0.25">
      <c r="A3" s="73" t="s">
        <v>869</v>
      </c>
      <c r="B3" s="1" t="s">
        <v>1</v>
      </c>
      <c r="C3" s="67" t="s">
        <v>1250</v>
      </c>
      <c r="D3" s="1" t="s">
        <v>740</v>
      </c>
      <c r="E3" s="74" t="s">
        <v>873</v>
      </c>
      <c r="F3" s="2" t="s">
        <v>871</v>
      </c>
      <c r="G3" s="3">
        <v>5</v>
      </c>
      <c r="H3" s="75" t="s">
        <v>874</v>
      </c>
    </row>
    <row r="4" spans="1:8" ht="114" customHeight="1" x14ac:dyDescent="0.25">
      <c r="A4" s="73" t="s">
        <v>869</v>
      </c>
      <c r="B4" s="1" t="s">
        <v>1</v>
      </c>
      <c r="C4" s="67" t="s">
        <v>1251</v>
      </c>
      <c r="D4" s="1" t="s">
        <v>114</v>
      </c>
      <c r="E4" s="74" t="s">
        <v>875</v>
      </c>
      <c r="F4" s="2" t="s">
        <v>871</v>
      </c>
      <c r="G4" s="3">
        <v>5</v>
      </c>
      <c r="H4" s="75" t="s">
        <v>876</v>
      </c>
    </row>
    <row r="5" spans="1:8" ht="114" customHeight="1" x14ac:dyDescent="0.25">
      <c r="A5" s="73" t="s">
        <v>869</v>
      </c>
      <c r="B5" s="1" t="s">
        <v>1</v>
      </c>
      <c r="C5" s="67" t="s">
        <v>1252</v>
      </c>
      <c r="D5" s="1" t="s">
        <v>532</v>
      </c>
      <c r="E5" s="76" t="s">
        <v>877</v>
      </c>
      <c r="F5" s="2" t="s">
        <v>878</v>
      </c>
      <c r="G5" s="3">
        <v>4</v>
      </c>
      <c r="H5" s="75" t="s">
        <v>879</v>
      </c>
    </row>
    <row r="6" spans="1:8" ht="114" customHeight="1" x14ac:dyDescent="0.25">
      <c r="A6" s="73" t="s">
        <v>869</v>
      </c>
      <c r="B6" s="1" t="s">
        <v>1</v>
      </c>
      <c r="C6" s="67" t="s">
        <v>1253</v>
      </c>
      <c r="D6" s="4" t="s">
        <v>120</v>
      </c>
      <c r="E6" s="76" t="s">
        <v>880</v>
      </c>
      <c r="F6" s="3" t="s">
        <v>881</v>
      </c>
      <c r="G6" s="5" t="s">
        <v>2</v>
      </c>
      <c r="H6" s="75" t="s">
        <v>879</v>
      </c>
    </row>
    <row r="7" spans="1:8" ht="114" customHeight="1" x14ac:dyDescent="0.25">
      <c r="A7" s="73" t="s">
        <v>869</v>
      </c>
      <c r="B7" s="1" t="s">
        <v>882</v>
      </c>
      <c r="C7" s="67" t="s">
        <v>1254</v>
      </c>
      <c r="D7" s="4" t="s">
        <v>385</v>
      </c>
      <c r="E7" s="76" t="s">
        <v>883</v>
      </c>
      <c r="F7" s="2" t="s">
        <v>871</v>
      </c>
      <c r="G7" s="2">
        <v>5</v>
      </c>
      <c r="H7" s="75" t="s">
        <v>884</v>
      </c>
    </row>
    <row r="8" spans="1:8" ht="114" customHeight="1" x14ac:dyDescent="0.25">
      <c r="A8" s="73" t="s">
        <v>869</v>
      </c>
      <c r="B8" s="1" t="s">
        <v>882</v>
      </c>
      <c r="C8" s="67" t="s">
        <v>1255</v>
      </c>
      <c r="D8" s="4" t="s">
        <v>386</v>
      </c>
      <c r="E8" s="76" t="s">
        <v>885</v>
      </c>
      <c r="F8" s="2" t="s">
        <v>878</v>
      </c>
      <c r="G8" s="2">
        <v>4</v>
      </c>
      <c r="H8" s="75" t="s">
        <v>886</v>
      </c>
    </row>
    <row r="9" spans="1:8" ht="114" customHeight="1" x14ac:dyDescent="0.25">
      <c r="A9" s="73" t="s">
        <v>869</v>
      </c>
      <c r="B9" s="1" t="s">
        <v>887</v>
      </c>
      <c r="C9" s="67" t="s">
        <v>1256</v>
      </c>
      <c r="D9" s="4" t="s">
        <v>387</v>
      </c>
      <c r="E9" s="76" t="s">
        <v>888</v>
      </c>
      <c r="F9" s="2" t="s">
        <v>871</v>
      </c>
      <c r="G9" s="2">
        <v>5</v>
      </c>
      <c r="H9" s="75" t="s">
        <v>889</v>
      </c>
    </row>
    <row r="10" spans="1:8" ht="114" customHeight="1" x14ac:dyDescent="0.25">
      <c r="A10" s="73" t="s">
        <v>869</v>
      </c>
      <c r="B10" s="1" t="s">
        <v>887</v>
      </c>
      <c r="C10" s="67" t="s">
        <v>1257</v>
      </c>
      <c r="D10" s="4" t="s">
        <v>388</v>
      </c>
      <c r="E10" s="76" t="s">
        <v>890</v>
      </c>
      <c r="F10" s="2" t="s">
        <v>878</v>
      </c>
      <c r="G10" s="2">
        <v>4</v>
      </c>
      <c r="H10" s="75" t="s">
        <v>886</v>
      </c>
    </row>
    <row r="11" spans="1:8" ht="114" customHeight="1" x14ac:dyDescent="0.25">
      <c r="A11" s="73" t="s">
        <v>869</v>
      </c>
      <c r="B11" s="1" t="s">
        <v>887</v>
      </c>
      <c r="C11" s="67" t="s">
        <v>1258</v>
      </c>
      <c r="D11" s="4" t="s">
        <v>389</v>
      </c>
      <c r="E11" s="74" t="s">
        <v>891</v>
      </c>
      <c r="F11" s="2" t="s">
        <v>871</v>
      </c>
      <c r="G11" s="2">
        <v>5</v>
      </c>
      <c r="H11" s="75" t="s">
        <v>889</v>
      </c>
    </row>
    <row r="12" spans="1:8" ht="114" customHeight="1" x14ac:dyDescent="0.25">
      <c r="A12" s="73" t="s">
        <v>869</v>
      </c>
      <c r="B12" s="1" t="s">
        <v>887</v>
      </c>
      <c r="C12" s="67" t="s">
        <v>1259</v>
      </c>
      <c r="D12" s="4" t="s">
        <v>390</v>
      </c>
      <c r="E12" s="76" t="s">
        <v>892</v>
      </c>
      <c r="F12" s="2" t="s">
        <v>878</v>
      </c>
      <c r="G12" s="2">
        <v>4</v>
      </c>
      <c r="H12" s="75" t="s">
        <v>886</v>
      </c>
    </row>
    <row r="13" spans="1:8" ht="114" customHeight="1" x14ac:dyDescent="0.25">
      <c r="A13" s="73" t="s">
        <v>869</v>
      </c>
      <c r="B13" s="1" t="s">
        <v>887</v>
      </c>
      <c r="C13" s="67" t="s">
        <v>1260</v>
      </c>
      <c r="D13" s="4" t="s">
        <v>391</v>
      </c>
      <c r="E13" s="76" t="s">
        <v>893</v>
      </c>
      <c r="F13" s="2" t="s">
        <v>871</v>
      </c>
      <c r="G13" s="2">
        <v>5</v>
      </c>
      <c r="H13" s="75" t="s">
        <v>889</v>
      </c>
    </row>
    <row r="14" spans="1:8" ht="114" customHeight="1" x14ac:dyDescent="0.25">
      <c r="A14" s="73" t="s">
        <v>869</v>
      </c>
      <c r="B14" s="1" t="s">
        <v>887</v>
      </c>
      <c r="C14" s="67" t="s">
        <v>1261</v>
      </c>
      <c r="D14" s="4" t="s">
        <v>392</v>
      </c>
      <c r="E14" s="76" t="s">
        <v>894</v>
      </c>
      <c r="F14" s="2" t="s">
        <v>878</v>
      </c>
      <c r="G14" s="2">
        <v>4</v>
      </c>
      <c r="H14" s="75" t="s">
        <v>886</v>
      </c>
    </row>
    <row r="15" spans="1:8" ht="114" customHeight="1" x14ac:dyDescent="0.25">
      <c r="A15" s="73" t="s">
        <v>869</v>
      </c>
      <c r="B15" s="1" t="s">
        <v>882</v>
      </c>
      <c r="C15" s="67" t="s">
        <v>1262</v>
      </c>
      <c r="D15" s="4" t="s">
        <v>393</v>
      </c>
      <c r="E15" s="74" t="s">
        <v>895</v>
      </c>
      <c r="F15" s="2" t="s">
        <v>871</v>
      </c>
      <c r="G15" s="2">
        <v>5</v>
      </c>
      <c r="H15" s="75" t="s">
        <v>896</v>
      </c>
    </row>
    <row r="16" spans="1:8" ht="114" customHeight="1" x14ac:dyDescent="0.25">
      <c r="A16" s="73" t="s">
        <v>869</v>
      </c>
      <c r="B16" s="1" t="s">
        <v>882</v>
      </c>
      <c r="C16" s="67" t="s">
        <v>1263</v>
      </c>
      <c r="D16" s="4" t="s">
        <v>394</v>
      </c>
      <c r="E16" s="74" t="s">
        <v>897</v>
      </c>
      <c r="F16" s="2" t="s">
        <v>878</v>
      </c>
      <c r="G16" s="2">
        <v>4</v>
      </c>
      <c r="H16" s="75" t="s">
        <v>898</v>
      </c>
    </row>
    <row r="17" spans="1:8" ht="114" customHeight="1" x14ac:dyDescent="0.25">
      <c r="A17" s="73" t="s">
        <v>869</v>
      </c>
      <c r="B17" s="1" t="s">
        <v>887</v>
      </c>
      <c r="C17" s="67" t="s">
        <v>1264</v>
      </c>
      <c r="D17" s="4" t="s">
        <v>395</v>
      </c>
      <c r="E17" s="76" t="s">
        <v>899</v>
      </c>
      <c r="F17" s="2" t="s">
        <v>871</v>
      </c>
      <c r="G17" s="2">
        <v>5</v>
      </c>
      <c r="H17" s="75" t="s">
        <v>896</v>
      </c>
    </row>
    <row r="18" spans="1:8" ht="114" customHeight="1" x14ac:dyDescent="0.25">
      <c r="A18" s="77" t="s">
        <v>869</v>
      </c>
      <c r="B18" s="1" t="s">
        <v>887</v>
      </c>
      <c r="C18" s="67" t="s">
        <v>1265</v>
      </c>
      <c r="D18" s="4" t="s">
        <v>397</v>
      </c>
      <c r="E18" s="76" t="s">
        <v>900</v>
      </c>
      <c r="F18" s="2" t="s">
        <v>878</v>
      </c>
      <c r="G18" s="2">
        <v>4</v>
      </c>
      <c r="H18" s="75" t="s">
        <v>901</v>
      </c>
    </row>
    <row r="19" spans="1:8" ht="148.5" customHeight="1" x14ac:dyDescent="0.25">
      <c r="A19" s="77" t="s">
        <v>869</v>
      </c>
      <c r="B19" s="6" t="s">
        <v>902</v>
      </c>
      <c r="C19" s="67" t="s">
        <v>1266</v>
      </c>
      <c r="D19" s="54" t="s">
        <v>398</v>
      </c>
      <c r="E19" s="76" t="s">
        <v>903</v>
      </c>
      <c r="F19" s="2" t="s">
        <v>878</v>
      </c>
      <c r="G19" s="2">
        <v>4</v>
      </c>
      <c r="H19" s="78" t="s">
        <v>904</v>
      </c>
    </row>
    <row r="20" spans="1:8" ht="114" customHeight="1" x14ac:dyDescent="0.25">
      <c r="A20" s="77" t="s">
        <v>869</v>
      </c>
      <c r="B20" s="6" t="s">
        <v>1</v>
      </c>
      <c r="C20" s="67" t="s">
        <v>1267</v>
      </c>
      <c r="D20" s="54" t="s">
        <v>400</v>
      </c>
      <c r="E20" s="76" t="s">
        <v>905</v>
      </c>
      <c r="F20" s="3" t="s">
        <v>881</v>
      </c>
      <c r="G20" s="5" t="s">
        <v>2</v>
      </c>
      <c r="H20" s="78" t="s">
        <v>906</v>
      </c>
    </row>
    <row r="21" spans="1:8" ht="114" customHeight="1" x14ac:dyDescent="0.25">
      <c r="A21" s="77" t="s">
        <v>869</v>
      </c>
      <c r="B21" s="6" t="s">
        <v>1</v>
      </c>
      <c r="C21" s="67" t="s">
        <v>1268</v>
      </c>
      <c r="D21" s="54" t="s">
        <v>126</v>
      </c>
      <c r="E21" s="76" t="s">
        <v>3</v>
      </c>
      <c r="F21" s="2" t="s">
        <v>907</v>
      </c>
      <c r="G21" s="2">
        <v>5</v>
      </c>
      <c r="H21" s="78" t="s">
        <v>908</v>
      </c>
    </row>
    <row r="22" spans="1:8" ht="114" customHeight="1" x14ac:dyDescent="0.25">
      <c r="A22" s="77" t="s">
        <v>869</v>
      </c>
      <c r="B22" s="6" t="s">
        <v>1</v>
      </c>
      <c r="C22" s="67" t="s">
        <v>1269</v>
      </c>
      <c r="D22" s="54" t="s">
        <v>130</v>
      </c>
      <c r="E22" s="76" t="s">
        <v>4</v>
      </c>
      <c r="F22" s="2" t="s">
        <v>909</v>
      </c>
      <c r="G22" s="2">
        <v>5</v>
      </c>
      <c r="H22" s="78" t="s">
        <v>910</v>
      </c>
    </row>
    <row r="23" spans="1:8" ht="114" customHeight="1" x14ac:dyDescent="0.25">
      <c r="A23" s="77" t="s">
        <v>869</v>
      </c>
      <c r="B23" s="6" t="s">
        <v>1</v>
      </c>
      <c r="C23" s="67" t="s">
        <v>1270</v>
      </c>
      <c r="D23" s="54" t="s">
        <v>133</v>
      </c>
      <c r="E23" s="76" t="s">
        <v>5</v>
      </c>
      <c r="F23" s="2" t="s">
        <v>911</v>
      </c>
      <c r="G23" s="2">
        <v>4</v>
      </c>
      <c r="H23" s="78" t="s">
        <v>912</v>
      </c>
    </row>
    <row r="24" spans="1:8" ht="114" customHeight="1" x14ac:dyDescent="0.25">
      <c r="A24" s="77" t="s">
        <v>869</v>
      </c>
      <c r="B24" s="6" t="s">
        <v>1</v>
      </c>
      <c r="C24" s="67" t="s">
        <v>1271</v>
      </c>
      <c r="D24" s="54" t="s">
        <v>134</v>
      </c>
      <c r="E24" s="76" t="s">
        <v>6</v>
      </c>
      <c r="F24" s="2" t="s">
        <v>881</v>
      </c>
      <c r="G24" s="5" t="s">
        <v>2</v>
      </c>
      <c r="H24" s="78" t="s">
        <v>913</v>
      </c>
    </row>
    <row r="25" spans="1:8" ht="114" customHeight="1" x14ac:dyDescent="0.25">
      <c r="A25" s="73" t="s">
        <v>914</v>
      </c>
      <c r="B25" s="1" t="s">
        <v>7</v>
      </c>
      <c r="C25" s="67" t="s">
        <v>1272</v>
      </c>
      <c r="D25" s="1" t="s">
        <v>8</v>
      </c>
      <c r="E25" s="74" t="s">
        <v>915</v>
      </c>
      <c r="F25" s="2" t="s">
        <v>878</v>
      </c>
      <c r="G25" s="3">
        <v>4</v>
      </c>
      <c r="H25" s="75" t="s">
        <v>916</v>
      </c>
    </row>
    <row r="26" spans="1:8" ht="114" customHeight="1" x14ac:dyDescent="0.25">
      <c r="A26" s="73" t="s">
        <v>914</v>
      </c>
      <c r="B26" s="1" t="s">
        <v>9</v>
      </c>
      <c r="C26" s="67" t="s">
        <v>1273</v>
      </c>
      <c r="D26" s="1" t="s">
        <v>741</v>
      </c>
      <c r="E26" s="74" t="s">
        <v>917</v>
      </c>
      <c r="F26" s="2" t="s">
        <v>878</v>
      </c>
      <c r="G26" s="3">
        <v>4</v>
      </c>
      <c r="H26" s="75" t="s">
        <v>918</v>
      </c>
    </row>
    <row r="27" spans="1:8" ht="114" customHeight="1" x14ac:dyDescent="0.25">
      <c r="A27" s="73" t="s">
        <v>914</v>
      </c>
      <c r="B27" s="1" t="s">
        <v>9</v>
      </c>
      <c r="C27" s="67" t="s">
        <v>1274</v>
      </c>
      <c r="D27" s="6" t="s">
        <v>141</v>
      </c>
      <c r="E27" s="74" t="s">
        <v>919</v>
      </c>
      <c r="F27" s="3" t="s">
        <v>881</v>
      </c>
      <c r="G27" s="5" t="s">
        <v>2</v>
      </c>
      <c r="H27" s="75" t="s">
        <v>920</v>
      </c>
    </row>
    <row r="28" spans="1:8" ht="114" customHeight="1" x14ac:dyDescent="0.25">
      <c r="A28" s="73" t="s">
        <v>914</v>
      </c>
      <c r="B28" s="1" t="s">
        <v>9</v>
      </c>
      <c r="C28" s="67" t="s">
        <v>1275</v>
      </c>
      <c r="D28" s="1" t="s">
        <v>742</v>
      </c>
      <c r="E28" s="74" t="s">
        <v>921</v>
      </c>
      <c r="F28" s="3" t="s">
        <v>881</v>
      </c>
      <c r="G28" s="5" t="s">
        <v>2</v>
      </c>
      <c r="H28" s="75" t="s">
        <v>922</v>
      </c>
    </row>
    <row r="29" spans="1:8" ht="114" customHeight="1" x14ac:dyDescent="0.25">
      <c r="A29" s="73" t="s">
        <v>914</v>
      </c>
      <c r="B29" s="1" t="s">
        <v>9</v>
      </c>
      <c r="C29" s="67" t="s">
        <v>1276</v>
      </c>
      <c r="D29" s="1" t="s">
        <v>743</v>
      </c>
      <c r="E29" s="74" t="s">
        <v>923</v>
      </c>
      <c r="F29" s="3" t="s">
        <v>881</v>
      </c>
      <c r="G29" s="5" t="s">
        <v>2</v>
      </c>
      <c r="H29" s="75" t="s">
        <v>924</v>
      </c>
    </row>
    <row r="30" spans="1:8" ht="114" customHeight="1" x14ac:dyDescent="0.25">
      <c r="A30" s="73" t="s">
        <v>914</v>
      </c>
      <c r="B30" s="1" t="s">
        <v>9</v>
      </c>
      <c r="C30" s="67" t="s">
        <v>1277</v>
      </c>
      <c r="D30" s="1" t="s">
        <v>533</v>
      </c>
      <c r="E30" s="74" t="s">
        <v>925</v>
      </c>
      <c r="F30" s="3" t="s">
        <v>881</v>
      </c>
      <c r="G30" s="5" t="s">
        <v>2</v>
      </c>
      <c r="H30" s="75" t="s">
        <v>926</v>
      </c>
    </row>
    <row r="31" spans="1:8" ht="114" customHeight="1" x14ac:dyDescent="0.25">
      <c r="A31" s="73" t="s">
        <v>914</v>
      </c>
      <c r="B31" s="1" t="s">
        <v>9</v>
      </c>
      <c r="C31" s="67" t="s">
        <v>1278</v>
      </c>
      <c r="D31" s="1" t="s">
        <v>744</v>
      </c>
      <c r="E31" s="74" t="s">
        <v>927</v>
      </c>
      <c r="F31" s="3" t="s">
        <v>881</v>
      </c>
      <c r="G31" s="5" t="s">
        <v>2</v>
      </c>
      <c r="H31" s="75" t="s">
        <v>928</v>
      </c>
    </row>
    <row r="32" spans="1:8" ht="114" customHeight="1" x14ac:dyDescent="0.25">
      <c r="A32" s="73" t="s">
        <v>914</v>
      </c>
      <c r="B32" s="1" t="s">
        <v>9</v>
      </c>
      <c r="C32" s="67" t="s">
        <v>1279</v>
      </c>
      <c r="D32" s="1" t="s">
        <v>145</v>
      </c>
      <c r="E32" s="79" t="s">
        <v>10</v>
      </c>
      <c r="F32" s="3" t="s">
        <v>881</v>
      </c>
      <c r="G32" s="5" t="s">
        <v>2</v>
      </c>
      <c r="H32" s="75" t="s">
        <v>929</v>
      </c>
    </row>
    <row r="33" spans="1:8" ht="114" customHeight="1" x14ac:dyDescent="0.25">
      <c r="A33" s="73" t="s">
        <v>914</v>
      </c>
      <c r="B33" s="1" t="s">
        <v>9</v>
      </c>
      <c r="C33" s="67" t="s">
        <v>1280</v>
      </c>
      <c r="D33" s="1" t="s">
        <v>745</v>
      </c>
      <c r="E33" s="74" t="s">
        <v>930</v>
      </c>
      <c r="F33" s="3" t="s">
        <v>881</v>
      </c>
      <c r="G33" s="5" t="s">
        <v>2</v>
      </c>
      <c r="H33" s="75" t="s">
        <v>931</v>
      </c>
    </row>
    <row r="34" spans="1:8" ht="114" customHeight="1" x14ac:dyDescent="0.25">
      <c r="A34" s="73" t="s">
        <v>914</v>
      </c>
      <c r="B34" s="1" t="s">
        <v>9</v>
      </c>
      <c r="C34" s="67" t="s">
        <v>1281</v>
      </c>
      <c r="D34" s="1" t="s">
        <v>415</v>
      </c>
      <c r="E34" s="79" t="s">
        <v>932</v>
      </c>
      <c r="F34" s="3" t="s">
        <v>881</v>
      </c>
      <c r="G34" s="5" t="s">
        <v>2</v>
      </c>
      <c r="H34" s="75" t="s">
        <v>933</v>
      </c>
    </row>
    <row r="35" spans="1:8" ht="114" customHeight="1" x14ac:dyDescent="0.25">
      <c r="A35" s="73" t="s">
        <v>914</v>
      </c>
      <c r="B35" s="1" t="s">
        <v>9</v>
      </c>
      <c r="C35" s="67" t="s">
        <v>1282</v>
      </c>
      <c r="D35" s="1" t="s">
        <v>147</v>
      </c>
      <c r="E35" s="74" t="s">
        <v>11</v>
      </c>
      <c r="F35" s="3" t="s">
        <v>881</v>
      </c>
      <c r="G35" s="5" t="s">
        <v>2</v>
      </c>
      <c r="H35" s="75" t="s">
        <v>934</v>
      </c>
    </row>
    <row r="36" spans="1:8" ht="114" customHeight="1" x14ac:dyDescent="0.25">
      <c r="A36" s="73" t="s">
        <v>914</v>
      </c>
      <c r="B36" s="1" t="s">
        <v>9</v>
      </c>
      <c r="C36" s="67" t="s">
        <v>1283</v>
      </c>
      <c r="D36" s="1" t="s">
        <v>416</v>
      </c>
      <c r="E36" s="74" t="s">
        <v>935</v>
      </c>
      <c r="F36" s="3" t="s">
        <v>881</v>
      </c>
      <c r="G36" s="5" t="s">
        <v>2</v>
      </c>
      <c r="H36" s="75" t="s">
        <v>936</v>
      </c>
    </row>
    <row r="37" spans="1:8" ht="114" customHeight="1" x14ac:dyDescent="0.25">
      <c r="A37" s="73" t="s">
        <v>914</v>
      </c>
      <c r="B37" s="1" t="s">
        <v>9</v>
      </c>
      <c r="C37" s="67" t="s">
        <v>1284</v>
      </c>
      <c r="D37" s="1" t="s">
        <v>417</v>
      </c>
      <c r="E37" s="74" t="s">
        <v>937</v>
      </c>
      <c r="F37" s="3" t="s">
        <v>881</v>
      </c>
      <c r="G37" s="5" t="s">
        <v>2</v>
      </c>
      <c r="H37" s="75" t="s">
        <v>938</v>
      </c>
    </row>
    <row r="38" spans="1:8" ht="114" customHeight="1" x14ac:dyDescent="0.25">
      <c r="A38" s="73" t="s">
        <v>914</v>
      </c>
      <c r="B38" s="1" t="s">
        <v>9</v>
      </c>
      <c r="C38" s="67" t="s">
        <v>1285</v>
      </c>
      <c r="D38" s="1" t="s">
        <v>418</v>
      </c>
      <c r="E38" s="74" t="s">
        <v>939</v>
      </c>
      <c r="F38" s="3" t="s">
        <v>881</v>
      </c>
      <c r="G38" s="5" t="s">
        <v>2</v>
      </c>
      <c r="H38" s="75" t="s">
        <v>940</v>
      </c>
    </row>
    <row r="39" spans="1:8" ht="114" customHeight="1" x14ac:dyDescent="0.25">
      <c r="A39" s="73" t="s">
        <v>914</v>
      </c>
      <c r="B39" s="1" t="s">
        <v>9</v>
      </c>
      <c r="C39" s="67" t="s">
        <v>1286</v>
      </c>
      <c r="D39" s="1" t="s">
        <v>420</v>
      </c>
      <c r="E39" s="74" t="s">
        <v>941</v>
      </c>
      <c r="F39" s="3" t="s">
        <v>881</v>
      </c>
      <c r="G39" s="5" t="s">
        <v>2</v>
      </c>
      <c r="H39" s="75" t="s">
        <v>942</v>
      </c>
    </row>
    <row r="40" spans="1:8" ht="114" customHeight="1" x14ac:dyDescent="0.25">
      <c r="A40" s="73" t="s">
        <v>914</v>
      </c>
      <c r="B40" s="1" t="s">
        <v>9</v>
      </c>
      <c r="C40" s="67" t="s">
        <v>1287</v>
      </c>
      <c r="D40" s="1" t="s">
        <v>422</v>
      </c>
      <c r="E40" s="79" t="s">
        <v>943</v>
      </c>
      <c r="F40" s="3" t="s">
        <v>881</v>
      </c>
      <c r="G40" s="5" t="s">
        <v>2</v>
      </c>
      <c r="H40" s="75" t="s">
        <v>944</v>
      </c>
    </row>
    <row r="41" spans="1:8" ht="114" customHeight="1" x14ac:dyDescent="0.25">
      <c r="A41" s="73" t="s">
        <v>914</v>
      </c>
      <c r="B41" s="1" t="s">
        <v>9</v>
      </c>
      <c r="C41" s="67" t="s">
        <v>1288</v>
      </c>
      <c r="D41" s="1" t="s">
        <v>150</v>
      </c>
      <c r="E41" s="79" t="s">
        <v>12</v>
      </c>
      <c r="F41" s="3" t="s">
        <v>881</v>
      </c>
      <c r="G41" s="5" t="s">
        <v>2</v>
      </c>
      <c r="H41" s="75" t="s">
        <v>945</v>
      </c>
    </row>
    <row r="42" spans="1:8" ht="114" customHeight="1" x14ac:dyDescent="0.25">
      <c r="A42" s="73" t="s">
        <v>914</v>
      </c>
      <c r="B42" s="1" t="s">
        <v>13</v>
      </c>
      <c r="C42" s="67" t="s">
        <v>1289</v>
      </c>
      <c r="D42" s="1" t="s">
        <v>154</v>
      </c>
      <c r="E42" s="74" t="s">
        <v>14</v>
      </c>
      <c r="F42" s="3" t="s">
        <v>881</v>
      </c>
      <c r="G42" s="5" t="s">
        <v>2</v>
      </c>
      <c r="H42" s="80" t="s">
        <v>946</v>
      </c>
    </row>
    <row r="43" spans="1:8" ht="114" customHeight="1" x14ac:dyDescent="0.25">
      <c r="A43" s="73" t="s">
        <v>914</v>
      </c>
      <c r="B43" s="1" t="s">
        <v>13</v>
      </c>
      <c r="C43" s="67" t="s">
        <v>1290</v>
      </c>
      <c r="D43" s="1" t="s">
        <v>426</v>
      </c>
      <c r="E43" s="79" t="s">
        <v>947</v>
      </c>
      <c r="F43" s="3" t="s">
        <v>881</v>
      </c>
      <c r="G43" s="5" t="s">
        <v>2</v>
      </c>
      <c r="H43" s="80" t="s">
        <v>946</v>
      </c>
    </row>
    <row r="44" spans="1:8" ht="114" customHeight="1" x14ac:dyDescent="0.25">
      <c r="A44" s="73" t="s">
        <v>914</v>
      </c>
      <c r="B44" s="1" t="s">
        <v>13</v>
      </c>
      <c r="C44" s="67" t="s">
        <v>1291</v>
      </c>
      <c r="D44" s="1" t="s">
        <v>427</v>
      </c>
      <c r="E44" s="79" t="s">
        <v>948</v>
      </c>
      <c r="F44" s="3" t="s">
        <v>881</v>
      </c>
      <c r="G44" s="5" t="s">
        <v>2</v>
      </c>
      <c r="H44" s="80" t="s">
        <v>946</v>
      </c>
    </row>
    <row r="45" spans="1:8" ht="114" customHeight="1" x14ac:dyDescent="0.25">
      <c r="A45" s="73" t="s">
        <v>914</v>
      </c>
      <c r="B45" s="1" t="s">
        <v>13</v>
      </c>
      <c r="C45" s="67" t="s">
        <v>1292</v>
      </c>
      <c r="D45" s="1" t="s">
        <v>428</v>
      </c>
      <c r="E45" s="79" t="s">
        <v>949</v>
      </c>
      <c r="F45" s="3" t="s">
        <v>881</v>
      </c>
      <c r="G45" s="5" t="s">
        <v>2</v>
      </c>
      <c r="H45" s="80" t="s">
        <v>946</v>
      </c>
    </row>
    <row r="46" spans="1:8" ht="114" customHeight="1" x14ac:dyDescent="0.25">
      <c r="A46" s="73" t="s">
        <v>914</v>
      </c>
      <c r="B46" s="1" t="s">
        <v>13</v>
      </c>
      <c r="C46" s="67" t="s">
        <v>1293</v>
      </c>
      <c r="D46" s="1" t="s">
        <v>156</v>
      </c>
      <c r="E46" s="79" t="s">
        <v>15</v>
      </c>
      <c r="F46" s="3" t="s">
        <v>881</v>
      </c>
      <c r="G46" s="5" t="s">
        <v>2</v>
      </c>
      <c r="H46" s="80" t="s">
        <v>950</v>
      </c>
    </row>
    <row r="47" spans="1:8" ht="114" customHeight="1" x14ac:dyDescent="0.25">
      <c r="A47" s="73" t="s">
        <v>914</v>
      </c>
      <c r="B47" s="1" t="s">
        <v>13</v>
      </c>
      <c r="C47" s="67" t="s">
        <v>1294</v>
      </c>
      <c r="D47" s="1" t="s">
        <v>159</v>
      </c>
      <c r="E47" s="79" t="s">
        <v>16</v>
      </c>
      <c r="F47" s="3" t="s">
        <v>881</v>
      </c>
      <c r="G47" s="5" t="s">
        <v>2</v>
      </c>
      <c r="H47" s="75" t="s">
        <v>951</v>
      </c>
    </row>
    <row r="48" spans="1:8" ht="114" customHeight="1" x14ac:dyDescent="0.25">
      <c r="A48" s="73" t="s">
        <v>914</v>
      </c>
      <c r="B48" s="1" t="s">
        <v>13</v>
      </c>
      <c r="C48" s="67" t="s">
        <v>1295</v>
      </c>
      <c r="D48" s="1" t="s">
        <v>430</v>
      </c>
      <c r="E48" s="76" t="s">
        <v>952</v>
      </c>
      <c r="F48" s="3" t="s">
        <v>881</v>
      </c>
      <c r="G48" s="5" t="s">
        <v>2</v>
      </c>
      <c r="H48" s="80" t="s">
        <v>946</v>
      </c>
    </row>
    <row r="49" spans="1:8" ht="114" customHeight="1" x14ac:dyDescent="0.25">
      <c r="A49" s="73" t="s">
        <v>914</v>
      </c>
      <c r="B49" s="1" t="s">
        <v>13</v>
      </c>
      <c r="C49" s="67" t="s">
        <v>1296</v>
      </c>
      <c r="D49" s="1" t="s">
        <v>431</v>
      </c>
      <c r="E49" s="74" t="s">
        <v>953</v>
      </c>
      <c r="F49" s="3" t="s">
        <v>881</v>
      </c>
      <c r="G49" s="5" t="s">
        <v>2</v>
      </c>
      <c r="H49" s="80" t="s">
        <v>954</v>
      </c>
    </row>
    <row r="50" spans="1:8" ht="114" customHeight="1" x14ac:dyDescent="0.25">
      <c r="A50" s="73" t="s">
        <v>914</v>
      </c>
      <c r="B50" s="1" t="s">
        <v>13</v>
      </c>
      <c r="C50" s="67" t="s">
        <v>1297</v>
      </c>
      <c r="D50" s="1" t="s">
        <v>432</v>
      </c>
      <c r="E50" s="74" t="s">
        <v>955</v>
      </c>
      <c r="F50" s="3" t="s">
        <v>881</v>
      </c>
      <c r="G50" s="5" t="s">
        <v>2</v>
      </c>
      <c r="H50" s="80" t="s">
        <v>946</v>
      </c>
    </row>
    <row r="51" spans="1:8" ht="114" customHeight="1" x14ac:dyDescent="0.25">
      <c r="A51" s="73" t="s">
        <v>914</v>
      </c>
      <c r="B51" s="1" t="s">
        <v>13</v>
      </c>
      <c r="C51" s="67" t="s">
        <v>1298</v>
      </c>
      <c r="D51" s="1" t="s">
        <v>161</v>
      </c>
      <c r="E51" s="74" t="s">
        <v>17</v>
      </c>
      <c r="F51" s="3" t="s">
        <v>881</v>
      </c>
      <c r="G51" s="5" t="s">
        <v>2</v>
      </c>
      <c r="H51" s="80" t="s">
        <v>946</v>
      </c>
    </row>
    <row r="52" spans="1:8" ht="114" customHeight="1" x14ac:dyDescent="0.25">
      <c r="A52" s="73" t="s">
        <v>914</v>
      </c>
      <c r="B52" s="1" t="s">
        <v>13</v>
      </c>
      <c r="C52" s="67" t="s">
        <v>1299</v>
      </c>
      <c r="D52" s="1" t="s">
        <v>163</v>
      </c>
      <c r="E52" s="74" t="s">
        <v>18</v>
      </c>
      <c r="F52" s="3" t="s">
        <v>881</v>
      </c>
      <c r="G52" s="5" t="s">
        <v>2</v>
      </c>
      <c r="H52" s="75" t="s">
        <v>956</v>
      </c>
    </row>
    <row r="53" spans="1:8" ht="114" customHeight="1" x14ac:dyDescent="0.25">
      <c r="A53" s="73" t="s">
        <v>914</v>
      </c>
      <c r="B53" s="1" t="s">
        <v>13</v>
      </c>
      <c r="C53" s="67" t="s">
        <v>1300</v>
      </c>
      <c r="D53" s="1" t="s">
        <v>166</v>
      </c>
      <c r="E53" s="74" t="s">
        <v>19</v>
      </c>
      <c r="F53" s="3" t="s">
        <v>881</v>
      </c>
      <c r="G53" s="5" t="s">
        <v>2</v>
      </c>
      <c r="H53" s="75" t="s">
        <v>957</v>
      </c>
    </row>
    <row r="54" spans="1:8" ht="114" customHeight="1" x14ac:dyDescent="0.25">
      <c r="A54" s="73" t="s">
        <v>914</v>
      </c>
      <c r="B54" s="1" t="s">
        <v>13</v>
      </c>
      <c r="C54" s="67" t="s">
        <v>1301</v>
      </c>
      <c r="D54" s="1" t="s">
        <v>423</v>
      </c>
      <c r="E54" s="74" t="s">
        <v>958</v>
      </c>
      <c r="F54" s="3" t="s">
        <v>881</v>
      </c>
      <c r="G54" s="5" t="s">
        <v>2</v>
      </c>
      <c r="H54" s="80" t="s">
        <v>946</v>
      </c>
    </row>
    <row r="55" spans="1:8" ht="114" customHeight="1" x14ac:dyDescent="0.25">
      <c r="A55" s="73" t="s">
        <v>914</v>
      </c>
      <c r="B55" s="1" t="s">
        <v>13</v>
      </c>
      <c r="C55" s="67" t="s">
        <v>1302</v>
      </c>
      <c r="D55" s="1" t="s">
        <v>168</v>
      </c>
      <c r="E55" s="74" t="s">
        <v>20</v>
      </c>
      <c r="F55" s="3" t="s">
        <v>881</v>
      </c>
      <c r="G55" s="5" t="s">
        <v>2</v>
      </c>
      <c r="H55" s="80" t="s">
        <v>946</v>
      </c>
    </row>
    <row r="56" spans="1:8" ht="114" customHeight="1" x14ac:dyDescent="0.25">
      <c r="A56" s="73" t="s">
        <v>914</v>
      </c>
      <c r="B56" s="1" t="s">
        <v>13</v>
      </c>
      <c r="C56" s="67" t="s">
        <v>1303</v>
      </c>
      <c r="D56" s="1" t="s">
        <v>170</v>
      </c>
      <c r="E56" s="74" t="s">
        <v>21</v>
      </c>
      <c r="F56" s="3" t="s">
        <v>881</v>
      </c>
      <c r="G56" s="5" t="s">
        <v>2</v>
      </c>
      <c r="H56" s="80" t="s">
        <v>946</v>
      </c>
    </row>
    <row r="57" spans="1:8" ht="114" customHeight="1" x14ac:dyDescent="0.25">
      <c r="A57" s="73" t="s">
        <v>914</v>
      </c>
      <c r="B57" s="1" t="s">
        <v>13</v>
      </c>
      <c r="C57" s="67" t="s">
        <v>1304</v>
      </c>
      <c r="D57" s="1" t="s">
        <v>172</v>
      </c>
      <c r="E57" s="74" t="s">
        <v>22</v>
      </c>
      <c r="F57" s="3" t="s">
        <v>881</v>
      </c>
      <c r="G57" s="5" t="s">
        <v>2</v>
      </c>
      <c r="H57" s="80" t="s">
        <v>946</v>
      </c>
    </row>
    <row r="58" spans="1:8" ht="114" customHeight="1" x14ac:dyDescent="0.25">
      <c r="A58" s="73" t="s">
        <v>914</v>
      </c>
      <c r="B58" s="1" t="s">
        <v>13</v>
      </c>
      <c r="C58" s="67" t="s">
        <v>1305</v>
      </c>
      <c r="D58" s="1" t="s">
        <v>434</v>
      </c>
      <c r="E58" s="74" t="s">
        <v>959</v>
      </c>
      <c r="F58" s="3" t="s">
        <v>881</v>
      </c>
      <c r="G58" s="5" t="s">
        <v>2</v>
      </c>
      <c r="H58" s="80" t="s">
        <v>946</v>
      </c>
    </row>
    <row r="59" spans="1:8" ht="114" customHeight="1" x14ac:dyDescent="0.25">
      <c r="A59" s="73" t="s">
        <v>914</v>
      </c>
      <c r="B59" s="1" t="s">
        <v>13</v>
      </c>
      <c r="C59" s="67" t="s">
        <v>1306</v>
      </c>
      <c r="D59" s="1" t="s">
        <v>174</v>
      </c>
      <c r="E59" s="74" t="s">
        <v>23</v>
      </c>
      <c r="F59" s="3" t="s">
        <v>881</v>
      </c>
      <c r="G59" s="5" t="s">
        <v>2</v>
      </c>
      <c r="H59" s="80" t="s">
        <v>946</v>
      </c>
    </row>
    <row r="60" spans="1:8" ht="114" customHeight="1" x14ac:dyDescent="0.25">
      <c r="A60" s="73" t="s">
        <v>914</v>
      </c>
      <c r="B60" s="1" t="s">
        <v>13</v>
      </c>
      <c r="C60" s="67" t="s">
        <v>1307</v>
      </c>
      <c r="D60" s="1" t="s">
        <v>176</v>
      </c>
      <c r="E60" s="74" t="s">
        <v>24</v>
      </c>
      <c r="F60" s="3" t="s">
        <v>881</v>
      </c>
      <c r="G60" s="5" t="s">
        <v>2</v>
      </c>
      <c r="H60" s="80" t="s">
        <v>946</v>
      </c>
    </row>
    <row r="61" spans="1:8" ht="114" customHeight="1" x14ac:dyDescent="0.25">
      <c r="A61" s="73" t="s">
        <v>914</v>
      </c>
      <c r="B61" s="1" t="s">
        <v>13</v>
      </c>
      <c r="C61" s="67" t="s">
        <v>1308</v>
      </c>
      <c r="D61" s="1" t="s">
        <v>178</v>
      </c>
      <c r="E61" s="74" t="s">
        <v>25</v>
      </c>
      <c r="F61" s="3" t="s">
        <v>881</v>
      </c>
      <c r="G61" s="5" t="s">
        <v>2</v>
      </c>
      <c r="H61" s="80" t="s">
        <v>946</v>
      </c>
    </row>
    <row r="62" spans="1:8" ht="114" customHeight="1" x14ac:dyDescent="0.25">
      <c r="A62" s="73" t="s">
        <v>914</v>
      </c>
      <c r="B62" s="1" t="s">
        <v>13</v>
      </c>
      <c r="C62" s="67" t="s">
        <v>1309</v>
      </c>
      <c r="D62" s="1" t="s">
        <v>180</v>
      </c>
      <c r="E62" s="74" t="s">
        <v>26</v>
      </c>
      <c r="F62" s="3" t="s">
        <v>881</v>
      </c>
      <c r="G62" s="5" t="s">
        <v>2</v>
      </c>
      <c r="H62" s="75" t="s">
        <v>960</v>
      </c>
    </row>
    <row r="63" spans="1:8" ht="114" customHeight="1" x14ac:dyDescent="0.25">
      <c r="A63" s="73" t="s">
        <v>914</v>
      </c>
      <c r="B63" s="81" t="s">
        <v>27</v>
      </c>
      <c r="C63" s="67" t="s">
        <v>1310</v>
      </c>
      <c r="D63" s="1" t="s">
        <v>28</v>
      </c>
      <c r="E63" s="74" t="s">
        <v>29</v>
      </c>
      <c r="F63" s="3" t="s">
        <v>881</v>
      </c>
      <c r="G63" s="5" t="s">
        <v>2</v>
      </c>
      <c r="H63" s="75" t="s">
        <v>961</v>
      </c>
    </row>
    <row r="64" spans="1:8" ht="114" customHeight="1" x14ac:dyDescent="0.25">
      <c r="A64" s="73" t="s">
        <v>914</v>
      </c>
      <c r="B64" s="81" t="s">
        <v>9</v>
      </c>
      <c r="C64" s="67" t="s">
        <v>1311</v>
      </c>
      <c r="D64" s="1" t="s">
        <v>436</v>
      </c>
      <c r="E64" s="74" t="s">
        <v>962</v>
      </c>
      <c r="F64" s="3" t="s">
        <v>881</v>
      </c>
      <c r="G64" s="5" t="s">
        <v>2</v>
      </c>
      <c r="H64" s="75" t="s">
        <v>963</v>
      </c>
    </row>
    <row r="65" spans="1:8" ht="114" customHeight="1" x14ac:dyDescent="0.25">
      <c r="A65" s="73" t="s">
        <v>914</v>
      </c>
      <c r="B65" s="81" t="s">
        <v>964</v>
      </c>
      <c r="C65" s="67" t="s">
        <v>1312</v>
      </c>
      <c r="D65" s="1" t="s">
        <v>437</v>
      </c>
      <c r="E65" s="82" t="s">
        <v>965</v>
      </c>
      <c r="F65" s="3" t="s">
        <v>881</v>
      </c>
      <c r="G65" s="5" t="s">
        <v>2</v>
      </c>
      <c r="H65" s="75" t="s">
        <v>966</v>
      </c>
    </row>
    <row r="66" spans="1:8" ht="114" customHeight="1" x14ac:dyDescent="0.25">
      <c r="A66" s="73" t="s">
        <v>914</v>
      </c>
      <c r="B66" s="81" t="s">
        <v>964</v>
      </c>
      <c r="C66" s="67" t="s">
        <v>1313</v>
      </c>
      <c r="D66" s="1" t="s">
        <v>438</v>
      </c>
      <c r="E66" s="74" t="s">
        <v>967</v>
      </c>
      <c r="F66" s="3" t="s">
        <v>881</v>
      </c>
      <c r="G66" s="5" t="s">
        <v>2</v>
      </c>
      <c r="H66" s="75" t="s">
        <v>968</v>
      </c>
    </row>
    <row r="67" spans="1:8" ht="114" customHeight="1" x14ac:dyDescent="0.25">
      <c r="A67" s="73" t="s">
        <v>914</v>
      </c>
      <c r="B67" s="81" t="s">
        <v>964</v>
      </c>
      <c r="C67" s="67" t="s">
        <v>1314</v>
      </c>
      <c r="D67" s="1" t="s">
        <v>439</v>
      </c>
      <c r="E67" s="74" t="s">
        <v>969</v>
      </c>
      <c r="F67" s="3" t="s">
        <v>881</v>
      </c>
      <c r="G67" s="5" t="s">
        <v>2</v>
      </c>
      <c r="H67" s="75" t="s">
        <v>968</v>
      </c>
    </row>
    <row r="68" spans="1:8" ht="114" customHeight="1" x14ac:dyDescent="0.25">
      <c r="A68" s="73" t="s">
        <v>914</v>
      </c>
      <c r="B68" s="81" t="s">
        <v>964</v>
      </c>
      <c r="C68" s="67" t="s">
        <v>1315</v>
      </c>
      <c r="D68" s="1" t="s">
        <v>440</v>
      </c>
      <c r="E68" s="74" t="s">
        <v>970</v>
      </c>
      <c r="F68" s="3" t="s">
        <v>881</v>
      </c>
      <c r="G68" s="5" t="s">
        <v>2</v>
      </c>
      <c r="H68" s="75" t="s">
        <v>971</v>
      </c>
    </row>
    <row r="69" spans="1:8" ht="114" customHeight="1" x14ac:dyDescent="0.25">
      <c r="A69" s="73" t="s">
        <v>914</v>
      </c>
      <c r="B69" s="81" t="s">
        <v>964</v>
      </c>
      <c r="C69" s="67" t="s">
        <v>1316</v>
      </c>
      <c r="D69" s="1" t="s">
        <v>442</v>
      </c>
      <c r="E69" s="74" t="s">
        <v>972</v>
      </c>
      <c r="F69" s="3" t="s">
        <v>881</v>
      </c>
      <c r="G69" s="5" t="s">
        <v>2</v>
      </c>
      <c r="H69" s="75" t="s">
        <v>973</v>
      </c>
    </row>
    <row r="70" spans="1:8" ht="114" customHeight="1" x14ac:dyDescent="0.25">
      <c r="A70" s="73" t="s">
        <v>914</v>
      </c>
      <c r="B70" s="81" t="s">
        <v>974</v>
      </c>
      <c r="C70" s="67" t="s">
        <v>1317</v>
      </c>
      <c r="D70" s="1" t="s">
        <v>443</v>
      </c>
      <c r="E70" s="74" t="s">
        <v>975</v>
      </c>
      <c r="F70" s="3" t="s">
        <v>881</v>
      </c>
      <c r="G70" s="5" t="s">
        <v>2</v>
      </c>
      <c r="H70" s="75" t="s">
        <v>976</v>
      </c>
    </row>
    <row r="71" spans="1:8" ht="114" customHeight="1" x14ac:dyDescent="0.25">
      <c r="A71" s="73" t="s">
        <v>914</v>
      </c>
      <c r="B71" s="81" t="s">
        <v>977</v>
      </c>
      <c r="C71" s="67" t="s">
        <v>1318</v>
      </c>
      <c r="D71" s="1" t="s">
        <v>444</v>
      </c>
      <c r="E71" s="76" t="s">
        <v>978</v>
      </c>
      <c r="F71" s="3" t="s">
        <v>881</v>
      </c>
      <c r="G71" s="5" t="s">
        <v>2</v>
      </c>
      <c r="H71" s="75" t="s">
        <v>979</v>
      </c>
    </row>
    <row r="72" spans="1:8" ht="114" customHeight="1" x14ac:dyDescent="0.25">
      <c r="A72" s="73" t="s">
        <v>914</v>
      </c>
      <c r="B72" s="81" t="s">
        <v>977</v>
      </c>
      <c r="C72" s="67" t="s">
        <v>1319</v>
      </c>
      <c r="D72" s="1" t="s">
        <v>445</v>
      </c>
      <c r="E72" s="74" t="s">
        <v>980</v>
      </c>
      <c r="F72" s="3" t="s">
        <v>881</v>
      </c>
      <c r="G72" s="5" t="s">
        <v>2</v>
      </c>
      <c r="H72" s="75" t="s">
        <v>973</v>
      </c>
    </row>
    <row r="73" spans="1:8" ht="114" customHeight="1" x14ac:dyDescent="0.25">
      <c r="A73" s="73" t="s">
        <v>914</v>
      </c>
      <c r="B73" s="1" t="s">
        <v>981</v>
      </c>
      <c r="C73" s="67" t="s">
        <v>1320</v>
      </c>
      <c r="D73" s="1" t="s">
        <v>446</v>
      </c>
      <c r="E73" s="74" t="s">
        <v>982</v>
      </c>
      <c r="F73" s="3" t="s">
        <v>881</v>
      </c>
      <c r="G73" s="5" t="s">
        <v>2</v>
      </c>
      <c r="H73" s="75" t="s">
        <v>983</v>
      </c>
    </row>
    <row r="74" spans="1:8" ht="114" customHeight="1" x14ac:dyDescent="0.25">
      <c r="A74" s="73" t="s">
        <v>914</v>
      </c>
      <c r="B74" s="1" t="s">
        <v>984</v>
      </c>
      <c r="C74" s="67" t="s">
        <v>1321</v>
      </c>
      <c r="D74" s="1" t="s">
        <v>447</v>
      </c>
      <c r="E74" s="74" t="s">
        <v>985</v>
      </c>
      <c r="F74" s="3" t="s">
        <v>881</v>
      </c>
      <c r="G74" s="5" t="s">
        <v>2</v>
      </c>
      <c r="H74" s="75" t="s">
        <v>983</v>
      </c>
    </row>
    <row r="75" spans="1:8" ht="114" customHeight="1" x14ac:dyDescent="0.25">
      <c r="A75" s="73" t="s">
        <v>914</v>
      </c>
      <c r="B75" s="1" t="s">
        <v>986</v>
      </c>
      <c r="C75" s="67" t="s">
        <v>1322</v>
      </c>
      <c r="D75" s="1" t="s">
        <v>448</v>
      </c>
      <c r="E75" s="74" t="s">
        <v>987</v>
      </c>
      <c r="F75" s="3" t="s">
        <v>881</v>
      </c>
      <c r="G75" s="5" t="s">
        <v>2</v>
      </c>
      <c r="H75" s="75" t="s">
        <v>983</v>
      </c>
    </row>
    <row r="76" spans="1:8" ht="114" customHeight="1" x14ac:dyDescent="0.25">
      <c r="A76" s="73" t="s">
        <v>914</v>
      </c>
      <c r="B76" s="1" t="s">
        <v>986</v>
      </c>
      <c r="C76" s="67" t="s">
        <v>1323</v>
      </c>
      <c r="D76" s="1" t="s">
        <v>449</v>
      </c>
      <c r="E76" s="74" t="s">
        <v>988</v>
      </c>
      <c r="F76" s="2" t="s">
        <v>871</v>
      </c>
      <c r="G76" s="2">
        <v>5</v>
      </c>
      <c r="H76" s="75" t="s">
        <v>884</v>
      </c>
    </row>
    <row r="77" spans="1:8" ht="114" customHeight="1" x14ac:dyDescent="0.25">
      <c r="A77" s="73" t="s">
        <v>914</v>
      </c>
      <c r="B77" s="1" t="s">
        <v>986</v>
      </c>
      <c r="C77" s="67" t="s">
        <v>1324</v>
      </c>
      <c r="D77" s="1" t="s">
        <v>450</v>
      </c>
      <c r="E77" s="74" t="s">
        <v>989</v>
      </c>
      <c r="F77" s="2" t="s">
        <v>878</v>
      </c>
      <c r="G77" s="2">
        <v>4</v>
      </c>
      <c r="H77" s="75" t="s">
        <v>990</v>
      </c>
    </row>
    <row r="78" spans="1:8" ht="114" customHeight="1" x14ac:dyDescent="0.25">
      <c r="A78" s="73" t="s">
        <v>914</v>
      </c>
      <c r="B78" s="1" t="s">
        <v>991</v>
      </c>
      <c r="C78" s="67" t="s">
        <v>1325</v>
      </c>
      <c r="D78" s="1" t="s">
        <v>451</v>
      </c>
      <c r="E78" s="74" t="s">
        <v>992</v>
      </c>
      <c r="F78" s="3" t="s">
        <v>881</v>
      </c>
      <c r="G78" s="5" t="s">
        <v>2</v>
      </c>
      <c r="H78" s="75" t="s">
        <v>983</v>
      </c>
    </row>
    <row r="79" spans="1:8" ht="114" customHeight="1" x14ac:dyDescent="0.25">
      <c r="A79" s="73" t="s">
        <v>914</v>
      </c>
      <c r="B79" s="1" t="s">
        <v>993</v>
      </c>
      <c r="C79" s="67" t="s">
        <v>1326</v>
      </c>
      <c r="D79" s="1" t="s">
        <v>452</v>
      </c>
      <c r="E79" s="74" t="s">
        <v>994</v>
      </c>
      <c r="F79" s="3" t="s">
        <v>881</v>
      </c>
      <c r="G79" s="5" t="s">
        <v>2</v>
      </c>
      <c r="H79" s="75" t="s">
        <v>983</v>
      </c>
    </row>
    <row r="80" spans="1:8" ht="114" customHeight="1" x14ac:dyDescent="0.25">
      <c r="A80" s="73" t="s">
        <v>914</v>
      </c>
      <c r="B80" s="1" t="s">
        <v>993</v>
      </c>
      <c r="C80" s="67" t="s">
        <v>1327</v>
      </c>
      <c r="D80" s="1" t="s">
        <v>454</v>
      </c>
      <c r="E80" s="74" t="s">
        <v>995</v>
      </c>
      <c r="F80" s="2" t="s">
        <v>871</v>
      </c>
      <c r="G80" s="2">
        <v>5</v>
      </c>
      <c r="H80" s="75" t="s">
        <v>884</v>
      </c>
    </row>
    <row r="81" spans="1:8" ht="114" customHeight="1" x14ac:dyDescent="0.25">
      <c r="A81" s="73" t="s">
        <v>914</v>
      </c>
      <c r="B81" s="1" t="s">
        <v>993</v>
      </c>
      <c r="C81" s="67" t="s">
        <v>1328</v>
      </c>
      <c r="D81" s="1" t="s">
        <v>455</v>
      </c>
      <c r="E81" s="74" t="s">
        <v>996</v>
      </c>
      <c r="F81" s="2" t="s">
        <v>878</v>
      </c>
      <c r="G81" s="2">
        <v>4</v>
      </c>
      <c r="H81" s="75" t="s">
        <v>990</v>
      </c>
    </row>
    <row r="82" spans="1:8" ht="114" customHeight="1" x14ac:dyDescent="0.25">
      <c r="A82" s="73" t="s">
        <v>914</v>
      </c>
      <c r="B82" s="1" t="s">
        <v>997</v>
      </c>
      <c r="C82" s="67" t="s">
        <v>1329</v>
      </c>
      <c r="D82" s="1" t="s">
        <v>456</v>
      </c>
      <c r="E82" s="74" t="s">
        <v>998</v>
      </c>
      <c r="F82" s="3" t="s">
        <v>881</v>
      </c>
      <c r="G82" s="5" t="s">
        <v>2</v>
      </c>
      <c r="H82" s="75" t="s">
        <v>999</v>
      </c>
    </row>
    <row r="83" spans="1:8" ht="114" customHeight="1" x14ac:dyDescent="0.25">
      <c r="A83" s="73" t="s">
        <v>914</v>
      </c>
      <c r="B83" s="1" t="s">
        <v>1000</v>
      </c>
      <c r="C83" s="67" t="s">
        <v>1330</v>
      </c>
      <c r="D83" s="1" t="s">
        <v>457</v>
      </c>
      <c r="E83" s="74" t="s">
        <v>1001</v>
      </c>
      <c r="F83" s="3" t="s">
        <v>881</v>
      </c>
      <c r="G83" s="5" t="s">
        <v>2</v>
      </c>
      <c r="H83" s="75" t="s">
        <v>999</v>
      </c>
    </row>
    <row r="84" spans="1:8" ht="114" customHeight="1" x14ac:dyDescent="0.25">
      <c r="A84" s="73" t="s">
        <v>914</v>
      </c>
      <c r="B84" s="1" t="s">
        <v>1000</v>
      </c>
      <c r="C84" s="67" t="s">
        <v>1331</v>
      </c>
      <c r="D84" s="1" t="s">
        <v>458</v>
      </c>
      <c r="E84" s="74" t="s">
        <v>1002</v>
      </c>
      <c r="F84" s="3" t="s">
        <v>881</v>
      </c>
      <c r="G84" s="5" t="s">
        <v>2</v>
      </c>
      <c r="H84" s="75" t="s">
        <v>1003</v>
      </c>
    </row>
    <row r="85" spans="1:8" ht="114" customHeight="1" x14ac:dyDescent="0.25">
      <c r="A85" s="73" t="s">
        <v>914</v>
      </c>
      <c r="B85" s="6" t="s">
        <v>1004</v>
      </c>
      <c r="C85" s="67" t="s">
        <v>1332</v>
      </c>
      <c r="D85" s="6" t="s">
        <v>459</v>
      </c>
      <c r="E85" s="76" t="s">
        <v>1005</v>
      </c>
      <c r="F85" s="2" t="s">
        <v>881</v>
      </c>
      <c r="G85" s="5" t="s">
        <v>2</v>
      </c>
      <c r="H85" s="78" t="s">
        <v>1006</v>
      </c>
    </row>
    <row r="86" spans="1:8" ht="114" customHeight="1" x14ac:dyDescent="0.25">
      <c r="A86" s="73" t="s">
        <v>914</v>
      </c>
      <c r="B86" s="6" t="s">
        <v>1007</v>
      </c>
      <c r="C86" s="67" t="s">
        <v>1333</v>
      </c>
      <c r="D86" s="6" t="s">
        <v>460</v>
      </c>
      <c r="E86" s="76" t="s">
        <v>1008</v>
      </c>
      <c r="F86" s="2" t="s">
        <v>881</v>
      </c>
      <c r="G86" s="5" t="s">
        <v>2</v>
      </c>
      <c r="H86" s="78" t="s">
        <v>1009</v>
      </c>
    </row>
    <row r="87" spans="1:8" ht="114" customHeight="1" x14ac:dyDescent="0.25">
      <c r="A87" s="73" t="s">
        <v>914</v>
      </c>
      <c r="B87" s="6" t="s">
        <v>9</v>
      </c>
      <c r="C87" s="67" t="s">
        <v>1334</v>
      </c>
      <c r="D87" s="6" t="s">
        <v>184</v>
      </c>
      <c r="E87" s="76" t="s">
        <v>30</v>
      </c>
      <c r="F87" s="2" t="s">
        <v>881</v>
      </c>
      <c r="G87" s="5" t="s">
        <v>2</v>
      </c>
      <c r="H87" s="78" t="s">
        <v>1010</v>
      </c>
    </row>
    <row r="88" spans="1:8" ht="105.75" customHeight="1" x14ac:dyDescent="0.25">
      <c r="A88" s="73" t="s">
        <v>914</v>
      </c>
      <c r="B88" s="6" t="s">
        <v>1011</v>
      </c>
      <c r="C88" s="67" t="s">
        <v>1335</v>
      </c>
      <c r="D88" s="6" t="s">
        <v>461</v>
      </c>
      <c r="E88" s="76" t="s">
        <v>1012</v>
      </c>
      <c r="F88" s="2" t="s">
        <v>907</v>
      </c>
      <c r="G88" s="2">
        <v>5</v>
      </c>
      <c r="H88" s="78" t="s">
        <v>1013</v>
      </c>
    </row>
    <row r="89" spans="1:8" ht="105.75" customHeight="1" x14ac:dyDescent="0.25">
      <c r="A89" s="73" t="s">
        <v>914</v>
      </c>
      <c r="B89" s="6" t="s">
        <v>13</v>
      </c>
      <c r="C89" s="67" t="s">
        <v>1336</v>
      </c>
      <c r="D89" s="6" t="s">
        <v>187</v>
      </c>
      <c r="E89" s="76" t="s">
        <v>31</v>
      </c>
      <c r="F89" s="2" t="s">
        <v>881</v>
      </c>
      <c r="G89" s="5" t="s">
        <v>2</v>
      </c>
      <c r="H89" s="75" t="s">
        <v>1014</v>
      </c>
    </row>
    <row r="90" spans="1:8" ht="105.75" customHeight="1" x14ac:dyDescent="0.25">
      <c r="A90" s="73" t="s">
        <v>914</v>
      </c>
      <c r="B90" s="6" t="s">
        <v>13</v>
      </c>
      <c r="C90" s="67" t="s">
        <v>1337</v>
      </c>
      <c r="D90" s="6" t="s">
        <v>189</v>
      </c>
      <c r="E90" s="76" t="s">
        <v>32</v>
      </c>
      <c r="F90" s="2" t="s">
        <v>881</v>
      </c>
      <c r="G90" s="5" t="s">
        <v>2</v>
      </c>
      <c r="H90" s="75" t="s">
        <v>1014</v>
      </c>
    </row>
    <row r="91" spans="1:8" ht="114" customHeight="1" x14ac:dyDescent="0.25">
      <c r="A91" s="73" t="s">
        <v>1015</v>
      </c>
      <c r="B91" s="1" t="s">
        <v>33</v>
      </c>
      <c r="C91" s="67" t="s">
        <v>1338</v>
      </c>
      <c r="D91" s="1" t="s">
        <v>200</v>
      </c>
      <c r="E91" s="74" t="s">
        <v>34</v>
      </c>
      <c r="F91" s="3" t="s">
        <v>881</v>
      </c>
      <c r="G91" s="5" t="s">
        <v>2</v>
      </c>
      <c r="H91" s="75" t="s">
        <v>1016</v>
      </c>
    </row>
    <row r="92" spans="1:8" ht="114" customHeight="1" x14ac:dyDescent="0.25">
      <c r="A92" s="73" t="s">
        <v>1015</v>
      </c>
      <c r="B92" s="1" t="s">
        <v>33</v>
      </c>
      <c r="C92" s="67" t="s">
        <v>1339</v>
      </c>
      <c r="D92" s="1" t="s">
        <v>203</v>
      </c>
      <c r="E92" s="74" t="s">
        <v>35</v>
      </c>
      <c r="F92" s="3" t="s">
        <v>881</v>
      </c>
      <c r="G92" s="5" t="s">
        <v>2</v>
      </c>
      <c r="H92" s="75" t="s">
        <v>1017</v>
      </c>
    </row>
    <row r="93" spans="1:8" ht="114" customHeight="1" x14ac:dyDescent="0.25">
      <c r="A93" s="73" t="s">
        <v>1015</v>
      </c>
      <c r="B93" s="1" t="s">
        <v>33</v>
      </c>
      <c r="C93" s="67" t="s">
        <v>1340</v>
      </c>
      <c r="D93" s="1" t="s">
        <v>204</v>
      </c>
      <c r="E93" s="74" t="s">
        <v>36</v>
      </c>
      <c r="F93" s="3" t="s">
        <v>881</v>
      </c>
      <c r="G93" s="5" t="s">
        <v>2</v>
      </c>
      <c r="H93" s="75" t="s">
        <v>1018</v>
      </c>
    </row>
    <row r="94" spans="1:8" ht="114" customHeight="1" x14ac:dyDescent="0.25">
      <c r="A94" s="73" t="s">
        <v>1015</v>
      </c>
      <c r="B94" s="1" t="s">
        <v>37</v>
      </c>
      <c r="C94" s="67" t="s">
        <v>1341</v>
      </c>
      <c r="D94" s="1" t="s">
        <v>38</v>
      </c>
      <c r="E94" s="74" t="s">
        <v>39</v>
      </c>
      <c r="F94" s="3" t="s">
        <v>881</v>
      </c>
      <c r="G94" s="5" t="s">
        <v>2</v>
      </c>
      <c r="H94" s="75" t="s">
        <v>1019</v>
      </c>
    </row>
    <row r="95" spans="1:8" ht="114" customHeight="1" x14ac:dyDescent="0.25">
      <c r="A95" s="73" t="s">
        <v>1015</v>
      </c>
      <c r="B95" s="1" t="s">
        <v>1020</v>
      </c>
      <c r="C95" s="67" t="s">
        <v>1342</v>
      </c>
      <c r="D95" s="1" t="s">
        <v>464</v>
      </c>
      <c r="E95" s="74" t="s">
        <v>1021</v>
      </c>
      <c r="F95" s="3" t="s">
        <v>881</v>
      </c>
      <c r="G95" s="5" t="s">
        <v>2</v>
      </c>
      <c r="H95" s="75" t="s">
        <v>1022</v>
      </c>
    </row>
    <row r="96" spans="1:8" ht="114" customHeight="1" x14ac:dyDescent="0.25">
      <c r="A96" s="73" t="s">
        <v>1015</v>
      </c>
      <c r="B96" s="1" t="s">
        <v>1020</v>
      </c>
      <c r="C96" s="67" t="s">
        <v>1343</v>
      </c>
      <c r="D96" s="1" t="s">
        <v>410</v>
      </c>
      <c r="E96" s="74" t="s">
        <v>1023</v>
      </c>
      <c r="F96" s="3" t="s">
        <v>881</v>
      </c>
      <c r="G96" s="5" t="s">
        <v>2</v>
      </c>
      <c r="H96" s="75" t="s">
        <v>1024</v>
      </c>
    </row>
    <row r="97" spans="1:8" ht="114" customHeight="1" x14ac:dyDescent="0.25">
      <c r="A97" s="73" t="s">
        <v>1015</v>
      </c>
      <c r="B97" s="1" t="s">
        <v>1020</v>
      </c>
      <c r="C97" s="67" t="s">
        <v>1344</v>
      </c>
      <c r="D97" s="1" t="s">
        <v>433</v>
      </c>
      <c r="E97" s="74" t="s">
        <v>1025</v>
      </c>
      <c r="F97" s="3" t="str">
        <f>F98</f>
        <v>No Impact to Health and Safety</v>
      </c>
      <c r="G97" s="5" t="s">
        <v>2</v>
      </c>
      <c r="H97" s="75" t="s">
        <v>1026</v>
      </c>
    </row>
    <row r="98" spans="1:8" ht="114" customHeight="1" x14ac:dyDescent="0.25">
      <c r="A98" s="73" t="s">
        <v>1015</v>
      </c>
      <c r="B98" s="1" t="s">
        <v>1027</v>
      </c>
      <c r="C98" s="67" t="s">
        <v>1345</v>
      </c>
      <c r="D98" s="1" t="s">
        <v>465</v>
      </c>
      <c r="E98" s="74" t="s">
        <v>1028</v>
      </c>
      <c r="F98" s="3" t="s">
        <v>881</v>
      </c>
      <c r="G98" s="5" t="s">
        <v>2</v>
      </c>
      <c r="H98" s="75" t="s">
        <v>1029</v>
      </c>
    </row>
    <row r="99" spans="1:8" ht="114" customHeight="1" x14ac:dyDescent="0.25">
      <c r="A99" s="73" t="s">
        <v>1015</v>
      </c>
      <c r="B99" s="1" t="s">
        <v>1030</v>
      </c>
      <c r="C99" s="67" t="s">
        <v>1346</v>
      </c>
      <c r="D99" s="1" t="s">
        <v>466</v>
      </c>
      <c r="E99" s="76" t="s">
        <v>1031</v>
      </c>
      <c r="F99" s="3" t="s">
        <v>1032</v>
      </c>
      <c r="G99" s="3">
        <v>4</v>
      </c>
      <c r="H99" s="75" t="s">
        <v>1033</v>
      </c>
    </row>
    <row r="100" spans="1:8" ht="114" customHeight="1" x14ac:dyDescent="0.25">
      <c r="A100" s="73" t="s">
        <v>1015</v>
      </c>
      <c r="B100" s="1" t="s">
        <v>1030</v>
      </c>
      <c r="C100" s="67" t="s">
        <v>1347</v>
      </c>
      <c r="D100" s="1" t="s">
        <v>467</v>
      </c>
      <c r="E100" s="74" t="s">
        <v>1034</v>
      </c>
      <c r="F100" s="3" t="s">
        <v>881</v>
      </c>
      <c r="G100" s="5" t="s">
        <v>2</v>
      </c>
      <c r="H100" s="75" t="s">
        <v>1035</v>
      </c>
    </row>
    <row r="101" spans="1:8" ht="114" customHeight="1" x14ac:dyDescent="0.25">
      <c r="A101" s="73" t="s">
        <v>1015</v>
      </c>
      <c r="B101" s="1" t="s">
        <v>1030</v>
      </c>
      <c r="C101" s="67" t="s">
        <v>1348</v>
      </c>
      <c r="D101" s="1" t="s">
        <v>468</v>
      </c>
      <c r="E101" s="74" t="s">
        <v>1036</v>
      </c>
      <c r="F101" s="3" t="s">
        <v>881</v>
      </c>
      <c r="G101" s="5" t="s">
        <v>2</v>
      </c>
      <c r="H101" s="75" t="s">
        <v>1037</v>
      </c>
    </row>
    <row r="102" spans="1:8" ht="114" customHeight="1" x14ac:dyDescent="0.25">
      <c r="A102" s="73" t="s">
        <v>1015</v>
      </c>
      <c r="B102" s="1" t="s">
        <v>1038</v>
      </c>
      <c r="C102" s="67" t="s">
        <v>1349</v>
      </c>
      <c r="D102" s="1" t="s">
        <v>40</v>
      </c>
      <c r="E102" s="74" t="s">
        <v>1039</v>
      </c>
      <c r="F102" s="3" t="s">
        <v>881</v>
      </c>
      <c r="G102" s="5" t="s">
        <v>2</v>
      </c>
      <c r="H102" s="78" t="s">
        <v>1040</v>
      </c>
    </row>
    <row r="103" spans="1:8" ht="114" customHeight="1" x14ac:dyDescent="0.25">
      <c r="A103" s="73" t="s">
        <v>1015</v>
      </c>
      <c r="B103" s="1" t="s">
        <v>33</v>
      </c>
      <c r="C103" s="67" t="s">
        <v>1350</v>
      </c>
      <c r="D103" s="1" t="s">
        <v>205</v>
      </c>
      <c r="E103" s="74" t="s">
        <v>41</v>
      </c>
      <c r="F103" s="3" t="s">
        <v>881</v>
      </c>
      <c r="G103" s="5" t="s">
        <v>2</v>
      </c>
      <c r="H103" s="78" t="s">
        <v>1041</v>
      </c>
    </row>
    <row r="104" spans="1:8" ht="114" customHeight="1" x14ac:dyDescent="0.25">
      <c r="A104" s="73" t="s">
        <v>1015</v>
      </c>
      <c r="B104" s="6" t="s">
        <v>42</v>
      </c>
      <c r="C104" s="67" t="s">
        <v>1351</v>
      </c>
      <c r="D104" s="1" t="s">
        <v>208</v>
      </c>
      <c r="E104" s="74" t="s">
        <v>43</v>
      </c>
      <c r="F104" s="3" t="s">
        <v>881</v>
      </c>
      <c r="G104" s="5" t="s">
        <v>2</v>
      </c>
      <c r="H104" s="78" t="s">
        <v>1042</v>
      </c>
    </row>
    <row r="105" spans="1:8" ht="114" customHeight="1" x14ac:dyDescent="0.25">
      <c r="A105" s="73" t="s">
        <v>1015</v>
      </c>
      <c r="B105" s="6" t="s">
        <v>42</v>
      </c>
      <c r="C105" s="67" t="s">
        <v>1352</v>
      </c>
      <c r="D105" s="1" t="s">
        <v>209</v>
      </c>
      <c r="E105" s="74" t="s">
        <v>44</v>
      </c>
      <c r="F105" s="3" t="s">
        <v>881</v>
      </c>
      <c r="G105" s="5" t="s">
        <v>2</v>
      </c>
      <c r="H105" s="78" t="s">
        <v>1043</v>
      </c>
    </row>
    <row r="106" spans="1:8" ht="114" customHeight="1" x14ac:dyDescent="0.25">
      <c r="A106" s="73" t="s">
        <v>1015</v>
      </c>
      <c r="B106" s="6" t="s">
        <v>42</v>
      </c>
      <c r="C106" s="67" t="s">
        <v>1353</v>
      </c>
      <c r="D106" s="1" t="s">
        <v>469</v>
      </c>
      <c r="E106" s="74" t="s">
        <v>1044</v>
      </c>
      <c r="F106" s="3" t="s">
        <v>881</v>
      </c>
      <c r="G106" s="5" t="s">
        <v>2</v>
      </c>
      <c r="H106" s="78" t="s">
        <v>1045</v>
      </c>
    </row>
    <row r="107" spans="1:8" ht="114" customHeight="1" x14ac:dyDescent="0.25">
      <c r="A107" s="73" t="s">
        <v>1015</v>
      </c>
      <c r="B107" s="6" t="s">
        <v>42</v>
      </c>
      <c r="C107" s="67" t="s">
        <v>1354</v>
      </c>
      <c r="D107" s="1" t="s">
        <v>210</v>
      </c>
      <c r="E107" s="74" t="s">
        <v>45</v>
      </c>
      <c r="F107" s="3" t="s">
        <v>881</v>
      </c>
      <c r="G107" s="5" t="s">
        <v>2</v>
      </c>
      <c r="H107" s="75" t="s">
        <v>1046</v>
      </c>
    </row>
    <row r="108" spans="1:8" ht="114" customHeight="1" x14ac:dyDescent="0.25">
      <c r="A108" s="73" t="s">
        <v>1015</v>
      </c>
      <c r="B108" s="1" t="s">
        <v>33</v>
      </c>
      <c r="C108" s="67" t="s">
        <v>1355</v>
      </c>
      <c r="D108" s="1" t="s">
        <v>213</v>
      </c>
      <c r="E108" s="74" t="s">
        <v>1047</v>
      </c>
      <c r="F108" s="3" t="s">
        <v>881</v>
      </c>
      <c r="G108" s="5" t="s">
        <v>2</v>
      </c>
      <c r="H108" s="75" t="s">
        <v>1048</v>
      </c>
    </row>
    <row r="109" spans="1:8" ht="114" customHeight="1" x14ac:dyDescent="0.25">
      <c r="A109" s="73" t="s">
        <v>1015</v>
      </c>
      <c r="B109" s="4" t="s">
        <v>1049</v>
      </c>
      <c r="C109" s="67" t="s">
        <v>1356</v>
      </c>
      <c r="D109" s="1" t="s">
        <v>470</v>
      </c>
      <c r="E109" s="74" t="s">
        <v>1050</v>
      </c>
      <c r="F109" s="3" t="s">
        <v>881</v>
      </c>
      <c r="G109" s="5" t="s">
        <v>2</v>
      </c>
      <c r="H109" s="75" t="s">
        <v>1051</v>
      </c>
    </row>
    <row r="110" spans="1:8" ht="114" customHeight="1" x14ac:dyDescent="0.25">
      <c r="A110" s="73" t="s">
        <v>1015</v>
      </c>
      <c r="B110" s="4" t="s">
        <v>1049</v>
      </c>
      <c r="C110" s="67" t="s">
        <v>1357</v>
      </c>
      <c r="D110" s="1" t="s">
        <v>471</v>
      </c>
      <c r="E110" s="74" t="s">
        <v>1052</v>
      </c>
      <c r="F110" s="3" t="s">
        <v>881</v>
      </c>
      <c r="G110" s="5" t="s">
        <v>2</v>
      </c>
      <c r="H110" s="75" t="s">
        <v>1053</v>
      </c>
    </row>
    <row r="111" spans="1:8" ht="114" customHeight="1" x14ac:dyDescent="0.25">
      <c r="A111" s="73" t="s">
        <v>1015</v>
      </c>
      <c r="B111" s="4" t="s">
        <v>1049</v>
      </c>
      <c r="C111" s="67" t="s">
        <v>1358</v>
      </c>
      <c r="D111" s="1" t="s">
        <v>472</v>
      </c>
      <c r="E111" s="74" t="s">
        <v>1054</v>
      </c>
      <c r="F111" s="3" t="s">
        <v>881</v>
      </c>
      <c r="G111" s="5" t="s">
        <v>2</v>
      </c>
      <c r="H111" s="75" t="s">
        <v>1055</v>
      </c>
    </row>
    <row r="112" spans="1:8" ht="114" customHeight="1" x14ac:dyDescent="0.25">
      <c r="A112" s="73" t="s">
        <v>1015</v>
      </c>
      <c r="B112" s="1" t="s">
        <v>1020</v>
      </c>
      <c r="C112" s="67" t="s">
        <v>1359</v>
      </c>
      <c r="D112" s="1" t="s">
        <v>217</v>
      </c>
      <c r="E112" s="74" t="s">
        <v>47</v>
      </c>
      <c r="F112" s="3" t="s">
        <v>881</v>
      </c>
      <c r="G112" s="5" t="s">
        <v>2</v>
      </c>
      <c r="H112" s="75" t="s">
        <v>1056</v>
      </c>
    </row>
    <row r="113" spans="1:8" ht="114" customHeight="1" x14ac:dyDescent="0.25">
      <c r="A113" s="73" t="s">
        <v>1015</v>
      </c>
      <c r="B113" s="1" t="s">
        <v>1020</v>
      </c>
      <c r="C113" s="67" t="s">
        <v>1360</v>
      </c>
      <c r="D113" s="1" t="s">
        <v>473</v>
      </c>
      <c r="E113" s="74" t="s">
        <v>1057</v>
      </c>
      <c r="F113" s="3" t="s">
        <v>881</v>
      </c>
      <c r="G113" s="5" t="s">
        <v>2</v>
      </c>
      <c r="H113" s="75" t="s">
        <v>1058</v>
      </c>
    </row>
    <row r="114" spans="1:8" ht="114" customHeight="1" x14ac:dyDescent="0.25">
      <c r="A114" s="73" t="s">
        <v>1015</v>
      </c>
      <c r="B114" s="1" t="s">
        <v>1020</v>
      </c>
      <c r="C114" s="67" t="s">
        <v>1361</v>
      </c>
      <c r="D114" s="1" t="s">
        <v>474</v>
      </c>
      <c r="E114" s="74" t="s">
        <v>1059</v>
      </c>
      <c r="F114" s="3" t="s">
        <v>881</v>
      </c>
      <c r="G114" s="5" t="s">
        <v>2</v>
      </c>
      <c r="H114" s="75" t="s">
        <v>1060</v>
      </c>
    </row>
    <row r="115" spans="1:8" ht="114" customHeight="1" x14ac:dyDescent="0.25">
      <c r="A115" s="73" t="s">
        <v>1015</v>
      </c>
      <c r="B115" s="1" t="s">
        <v>1020</v>
      </c>
      <c r="C115" s="67" t="s">
        <v>1362</v>
      </c>
      <c r="D115" s="1" t="s">
        <v>453</v>
      </c>
      <c r="E115" s="74" t="s">
        <v>1061</v>
      </c>
      <c r="F115" s="3" t="s">
        <v>881</v>
      </c>
      <c r="G115" s="5" t="s">
        <v>2</v>
      </c>
      <c r="H115" s="75" t="s">
        <v>1062</v>
      </c>
    </row>
    <row r="116" spans="1:8" ht="114" customHeight="1" x14ac:dyDescent="0.25">
      <c r="A116" s="73" t="s">
        <v>1015</v>
      </c>
      <c r="B116" s="1" t="s">
        <v>1020</v>
      </c>
      <c r="C116" s="67" t="s">
        <v>1363</v>
      </c>
      <c r="D116" s="1" t="s">
        <v>219</v>
      </c>
      <c r="E116" s="74" t="s">
        <v>1063</v>
      </c>
      <c r="F116" s="3" t="s">
        <v>881</v>
      </c>
      <c r="G116" s="5" t="s">
        <v>2</v>
      </c>
      <c r="H116" s="75" t="s">
        <v>1064</v>
      </c>
    </row>
    <row r="117" spans="1:8" ht="114" customHeight="1" x14ac:dyDescent="0.25">
      <c r="A117" s="73" t="s">
        <v>1015</v>
      </c>
      <c r="B117" s="1" t="s">
        <v>1065</v>
      </c>
      <c r="C117" s="67" t="s">
        <v>1364</v>
      </c>
      <c r="D117" s="1" t="s">
        <v>475</v>
      </c>
      <c r="E117" s="76" t="s">
        <v>1066</v>
      </c>
      <c r="F117" s="3" t="s">
        <v>1032</v>
      </c>
      <c r="G117" s="2">
        <v>4</v>
      </c>
      <c r="H117" s="75" t="s">
        <v>1067</v>
      </c>
    </row>
    <row r="118" spans="1:8" ht="114" customHeight="1" x14ac:dyDescent="0.25">
      <c r="A118" s="73" t="s">
        <v>1015</v>
      </c>
      <c r="B118" s="1" t="s">
        <v>1065</v>
      </c>
      <c r="C118" s="67" t="s">
        <v>1365</v>
      </c>
      <c r="D118" s="1" t="s">
        <v>476</v>
      </c>
      <c r="E118" s="76" t="s">
        <v>1068</v>
      </c>
      <c r="F118" s="3" t="s">
        <v>881</v>
      </c>
      <c r="G118" s="5" t="s">
        <v>2</v>
      </c>
      <c r="H118" s="75" t="s">
        <v>1069</v>
      </c>
    </row>
    <row r="119" spans="1:8" ht="114" customHeight="1" x14ac:dyDescent="0.25">
      <c r="A119" s="73" t="s">
        <v>1015</v>
      </c>
      <c r="B119" s="1" t="s">
        <v>1070</v>
      </c>
      <c r="C119" s="67" t="s">
        <v>1366</v>
      </c>
      <c r="D119" s="1" t="s">
        <v>477</v>
      </c>
      <c r="E119" s="74" t="s">
        <v>1071</v>
      </c>
      <c r="F119" s="3" t="s">
        <v>881</v>
      </c>
      <c r="G119" s="5" t="s">
        <v>2</v>
      </c>
      <c r="H119" s="75" t="s">
        <v>999</v>
      </c>
    </row>
    <row r="120" spans="1:8" ht="114" customHeight="1" x14ac:dyDescent="0.25">
      <c r="A120" s="73" t="s">
        <v>1015</v>
      </c>
      <c r="B120" s="1" t="s">
        <v>1072</v>
      </c>
      <c r="C120" s="67" t="s">
        <v>1367</v>
      </c>
      <c r="D120" s="1" t="s">
        <v>478</v>
      </c>
      <c r="E120" s="76" t="s">
        <v>1073</v>
      </c>
      <c r="F120" s="3" t="s">
        <v>1032</v>
      </c>
      <c r="G120" s="2">
        <v>4</v>
      </c>
      <c r="H120" s="75" t="s">
        <v>1074</v>
      </c>
    </row>
    <row r="121" spans="1:8" ht="114" customHeight="1" x14ac:dyDescent="0.25">
      <c r="A121" s="73" t="s">
        <v>1015</v>
      </c>
      <c r="B121" s="1" t="s">
        <v>1072</v>
      </c>
      <c r="C121" s="67" t="s">
        <v>1368</v>
      </c>
      <c r="D121" s="1" t="s">
        <v>479</v>
      </c>
      <c r="E121" s="76" t="s">
        <v>1075</v>
      </c>
      <c r="F121" s="3" t="s">
        <v>881</v>
      </c>
      <c r="G121" s="5" t="s">
        <v>2</v>
      </c>
      <c r="H121" s="75" t="s">
        <v>999</v>
      </c>
    </row>
    <row r="122" spans="1:8" ht="114" customHeight="1" x14ac:dyDescent="0.25">
      <c r="A122" s="73" t="s">
        <v>1015</v>
      </c>
      <c r="B122" s="4" t="s">
        <v>1049</v>
      </c>
      <c r="C122" s="67" t="s">
        <v>1369</v>
      </c>
      <c r="D122" s="1" t="s">
        <v>480</v>
      </c>
      <c r="E122" s="76" t="s">
        <v>1076</v>
      </c>
      <c r="F122" s="3" t="s">
        <v>1032</v>
      </c>
      <c r="G122" s="2">
        <v>4</v>
      </c>
      <c r="H122" s="75" t="s">
        <v>1074</v>
      </c>
    </row>
    <row r="123" spans="1:8" ht="114" customHeight="1" x14ac:dyDescent="0.25">
      <c r="A123" s="73" t="s">
        <v>1015</v>
      </c>
      <c r="B123" s="4" t="s">
        <v>1049</v>
      </c>
      <c r="C123" s="67" t="s">
        <v>1370</v>
      </c>
      <c r="D123" s="1" t="s">
        <v>481</v>
      </c>
      <c r="E123" s="76" t="s">
        <v>1077</v>
      </c>
      <c r="F123" s="3" t="s">
        <v>881</v>
      </c>
      <c r="G123" s="5" t="s">
        <v>2</v>
      </c>
      <c r="H123" s="75" t="s">
        <v>999</v>
      </c>
    </row>
    <row r="124" spans="1:8" ht="114" customHeight="1" x14ac:dyDescent="0.25">
      <c r="A124" s="73" t="s">
        <v>1015</v>
      </c>
      <c r="B124" s="1" t="s">
        <v>1020</v>
      </c>
      <c r="C124" s="67" t="s">
        <v>1371</v>
      </c>
      <c r="D124" s="1" t="s">
        <v>482</v>
      </c>
      <c r="E124" s="74" t="s">
        <v>1078</v>
      </c>
      <c r="F124" s="3" t="s">
        <v>881</v>
      </c>
      <c r="G124" s="5" t="s">
        <v>2</v>
      </c>
      <c r="H124" s="75" t="s">
        <v>1079</v>
      </c>
    </row>
    <row r="125" spans="1:8" ht="114" customHeight="1" x14ac:dyDescent="0.25">
      <c r="A125" s="73" t="s">
        <v>1015</v>
      </c>
      <c r="B125" s="6" t="s">
        <v>1080</v>
      </c>
      <c r="C125" s="67" t="s">
        <v>1372</v>
      </c>
      <c r="D125" s="6" t="s">
        <v>441</v>
      </c>
      <c r="E125" s="76" t="s">
        <v>1081</v>
      </c>
      <c r="F125" s="2" t="s">
        <v>881</v>
      </c>
      <c r="G125" s="5" t="s">
        <v>2</v>
      </c>
      <c r="H125" s="78" t="s">
        <v>1082</v>
      </c>
    </row>
    <row r="126" spans="1:8" ht="114" customHeight="1" x14ac:dyDescent="0.25">
      <c r="A126" s="73" t="s">
        <v>1015</v>
      </c>
      <c r="B126" s="6" t="s">
        <v>1083</v>
      </c>
      <c r="C126" s="67" t="s">
        <v>1373</v>
      </c>
      <c r="D126" s="6" t="s">
        <v>421</v>
      </c>
      <c r="E126" s="76" t="s">
        <v>1084</v>
      </c>
      <c r="F126" s="2" t="s">
        <v>881</v>
      </c>
      <c r="G126" s="5" t="s">
        <v>2</v>
      </c>
      <c r="H126" s="78" t="s">
        <v>1085</v>
      </c>
    </row>
    <row r="127" spans="1:8" ht="114" customHeight="1" x14ac:dyDescent="0.25">
      <c r="A127" s="73" t="s">
        <v>1015</v>
      </c>
      <c r="B127" s="6" t="s">
        <v>48</v>
      </c>
      <c r="C127" s="67" t="s">
        <v>1374</v>
      </c>
      <c r="D127" s="6" t="s">
        <v>223</v>
      </c>
      <c r="E127" s="76" t="s">
        <v>49</v>
      </c>
      <c r="F127" s="2" t="s">
        <v>881</v>
      </c>
      <c r="G127" s="5" t="s">
        <v>2</v>
      </c>
      <c r="H127" s="78" t="s">
        <v>1085</v>
      </c>
    </row>
    <row r="128" spans="1:8" ht="114" customHeight="1" x14ac:dyDescent="0.25">
      <c r="A128" s="73" t="s">
        <v>1015</v>
      </c>
      <c r="B128" s="6" t="s">
        <v>1086</v>
      </c>
      <c r="C128" s="67" t="s">
        <v>1375</v>
      </c>
      <c r="D128" s="6" t="s">
        <v>483</v>
      </c>
      <c r="E128" s="76" t="s">
        <v>1087</v>
      </c>
      <c r="F128" s="2" t="s">
        <v>881</v>
      </c>
      <c r="G128" s="5" t="s">
        <v>2</v>
      </c>
      <c r="H128" s="78" t="s">
        <v>1088</v>
      </c>
    </row>
    <row r="129" spans="1:8" ht="114" customHeight="1" x14ac:dyDescent="0.25">
      <c r="A129" s="73" t="s">
        <v>1015</v>
      </c>
      <c r="B129" s="6" t="s">
        <v>1007</v>
      </c>
      <c r="C129" s="67" t="s">
        <v>1376</v>
      </c>
      <c r="D129" s="6" t="s">
        <v>484</v>
      </c>
      <c r="E129" s="76" t="s">
        <v>1089</v>
      </c>
      <c r="F129" s="2" t="s">
        <v>881</v>
      </c>
      <c r="G129" s="5" t="s">
        <v>2</v>
      </c>
      <c r="H129" s="78" t="s">
        <v>1090</v>
      </c>
    </row>
    <row r="130" spans="1:8" ht="114" customHeight="1" x14ac:dyDescent="0.25">
      <c r="A130" s="73" t="s">
        <v>1015</v>
      </c>
      <c r="B130" s="6" t="s">
        <v>1091</v>
      </c>
      <c r="C130" s="67" t="s">
        <v>1377</v>
      </c>
      <c r="D130" s="6" t="s">
        <v>485</v>
      </c>
      <c r="E130" s="76" t="s">
        <v>1092</v>
      </c>
      <c r="F130" s="2" t="s">
        <v>881</v>
      </c>
      <c r="G130" s="5" t="s">
        <v>2</v>
      </c>
      <c r="H130" s="78" t="s">
        <v>1093</v>
      </c>
    </row>
    <row r="131" spans="1:8" ht="114" customHeight="1" x14ac:dyDescent="0.25">
      <c r="A131" s="73" t="s">
        <v>1015</v>
      </c>
      <c r="B131" s="6" t="s">
        <v>1094</v>
      </c>
      <c r="C131" s="67" t="s">
        <v>1378</v>
      </c>
      <c r="D131" s="6" t="s">
        <v>486</v>
      </c>
      <c r="E131" s="76" t="s">
        <v>1095</v>
      </c>
      <c r="F131" s="3" t="s">
        <v>1096</v>
      </c>
      <c r="G131" s="2">
        <v>4</v>
      </c>
      <c r="H131" s="78" t="s">
        <v>1097</v>
      </c>
    </row>
    <row r="132" spans="1:8" ht="114" customHeight="1" x14ac:dyDescent="0.25">
      <c r="A132" s="73" t="s">
        <v>1015</v>
      </c>
      <c r="B132" s="6" t="s">
        <v>1098</v>
      </c>
      <c r="C132" s="67" t="s">
        <v>1379</v>
      </c>
      <c r="D132" s="6" t="s">
        <v>487</v>
      </c>
      <c r="E132" s="76" t="s">
        <v>1099</v>
      </c>
      <c r="F132" s="3" t="s">
        <v>1032</v>
      </c>
      <c r="G132" s="2">
        <v>4</v>
      </c>
      <c r="H132" s="78" t="s">
        <v>1100</v>
      </c>
    </row>
    <row r="133" spans="1:8" ht="114" customHeight="1" x14ac:dyDescent="0.25">
      <c r="A133" s="73" t="s">
        <v>1015</v>
      </c>
      <c r="B133" s="6" t="s">
        <v>1098</v>
      </c>
      <c r="C133" s="67" t="s">
        <v>1380</v>
      </c>
      <c r="D133" s="6" t="s">
        <v>488</v>
      </c>
      <c r="E133" s="76" t="s">
        <v>1101</v>
      </c>
      <c r="F133" s="3" t="s">
        <v>881</v>
      </c>
      <c r="G133" s="5" t="s">
        <v>2</v>
      </c>
      <c r="H133" s="78" t="s">
        <v>1102</v>
      </c>
    </row>
    <row r="134" spans="1:8" ht="114" customHeight="1" x14ac:dyDescent="0.25">
      <c r="A134" s="73" t="s">
        <v>1015</v>
      </c>
      <c r="B134" s="6" t="s">
        <v>1103</v>
      </c>
      <c r="C134" s="67" t="s">
        <v>1381</v>
      </c>
      <c r="D134" s="6" t="s">
        <v>489</v>
      </c>
      <c r="E134" s="76" t="s">
        <v>1104</v>
      </c>
      <c r="F134" s="3" t="s">
        <v>1032</v>
      </c>
      <c r="G134" s="2">
        <v>4</v>
      </c>
      <c r="H134" s="78" t="s">
        <v>1105</v>
      </c>
    </row>
    <row r="135" spans="1:8" ht="114" customHeight="1" x14ac:dyDescent="0.25">
      <c r="A135" s="73" t="s">
        <v>1015</v>
      </c>
      <c r="B135" s="6" t="s">
        <v>1106</v>
      </c>
      <c r="C135" s="67" t="s">
        <v>1382</v>
      </c>
      <c r="D135" s="6" t="s">
        <v>490</v>
      </c>
      <c r="E135" s="76" t="s">
        <v>1107</v>
      </c>
      <c r="F135" s="3" t="s">
        <v>881</v>
      </c>
      <c r="G135" s="5" t="s">
        <v>2</v>
      </c>
      <c r="H135" s="78" t="s">
        <v>1108</v>
      </c>
    </row>
    <row r="136" spans="1:8" ht="114" customHeight="1" x14ac:dyDescent="0.25">
      <c r="A136" s="73" t="s">
        <v>1015</v>
      </c>
      <c r="B136" s="6" t="s">
        <v>1106</v>
      </c>
      <c r="C136" s="67" t="s">
        <v>1383</v>
      </c>
      <c r="D136" s="6" t="s">
        <v>491</v>
      </c>
      <c r="E136" s="76" t="s">
        <v>1109</v>
      </c>
      <c r="F136" s="3" t="s">
        <v>881</v>
      </c>
      <c r="G136" s="5" t="s">
        <v>2</v>
      </c>
      <c r="H136" s="78" t="s">
        <v>1110</v>
      </c>
    </row>
    <row r="137" spans="1:8" ht="114" customHeight="1" x14ac:dyDescent="0.25">
      <c r="A137" s="73" t="s">
        <v>1015</v>
      </c>
      <c r="B137" s="6" t="s">
        <v>1111</v>
      </c>
      <c r="C137" s="67" t="s">
        <v>1384</v>
      </c>
      <c r="D137" s="6" t="s">
        <v>492</v>
      </c>
      <c r="E137" s="76" t="s">
        <v>1112</v>
      </c>
      <c r="F137" s="3" t="s">
        <v>881</v>
      </c>
      <c r="G137" s="5" t="s">
        <v>2</v>
      </c>
      <c r="H137" s="78" t="s">
        <v>1113</v>
      </c>
    </row>
    <row r="138" spans="1:8" ht="114" customHeight="1" x14ac:dyDescent="0.25">
      <c r="A138" s="73" t="s">
        <v>1015</v>
      </c>
      <c r="B138" s="6" t="s">
        <v>1106</v>
      </c>
      <c r="C138" s="67" t="s">
        <v>1385</v>
      </c>
      <c r="D138" s="6" t="s">
        <v>493</v>
      </c>
      <c r="E138" s="76" t="s">
        <v>1114</v>
      </c>
      <c r="F138" s="3" t="s">
        <v>881</v>
      </c>
      <c r="G138" s="5" t="s">
        <v>2</v>
      </c>
      <c r="H138" s="78" t="s">
        <v>1115</v>
      </c>
    </row>
    <row r="139" spans="1:8" ht="114" customHeight="1" x14ac:dyDescent="0.25">
      <c r="A139" s="73" t="s">
        <v>1015</v>
      </c>
      <c r="B139" s="6" t="s">
        <v>1106</v>
      </c>
      <c r="C139" s="67" t="s">
        <v>1386</v>
      </c>
      <c r="D139" s="6" t="s">
        <v>494</v>
      </c>
      <c r="E139" s="76" t="s">
        <v>1116</v>
      </c>
      <c r="F139" s="3" t="s">
        <v>881</v>
      </c>
      <c r="G139" s="5" t="s">
        <v>2</v>
      </c>
      <c r="H139" s="78" t="s">
        <v>1117</v>
      </c>
    </row>
    <row r="140" spans="1:8" ht="114" customHeight="1" x14ac:dyDescent="0.25">
      <c r="A140" s="73" t="s">
        <v>1015</v>
      </c>
      <c r="B140" s="6" t="s">
        <v>1118</v>
      </c>
      <c r="C140" s="67" t="s">
        <v>1387</v>
      </c>
      <c r="D140" s="6" t="s">
        <v>495</v>
      </c>
      <c r="E140" s="76" t="s">
        <v>1119</v>
      </c>
      <c r="F140" s="3" t="s">
        <v>881</v>
      </c>
      <c r="G140" s="5" t="s">
        <v>2</v>
      </c>
      <c r="H140" s="78" t="s">
        <v>1120</v>
      </c>
    </row>
    <row r="141" spans="1:8" ht="114" customHeight="1" x14ac:dyDescent="0.25">
      <c r="A141" s="73" t="s">
        <v>1015</v>
      </c>
      <c r="B141" s="6" t="s">
        <v>1118</v>
      </c>
      <c r="C141" s="67" t="s">
        <v>1388</v>
      </c>
      <c r="D141" s="6" t="s">
        <v>496</v>
      </c>
      <c r="E141" s="76" t="s">
        <v>1121</v>
      </c>
      <c r="F141" s="3" t="s">
        <v>881</v>
      </c>
      <c r="G141" s="5" t="s">
        <v>2</v>
      </c>
      <c r="H141" s="78" t="s">
        <v>1122</v>
      </c>
    </row>
    <row r="142" spans="1:8" ht="114" customHeight="1" x14ac:dyDescent="0.25">
      <c r="A142" s="73" t="s">
        <v>1015</v>
      </c>
      <c r="B142" s="6" t="s">
        <v>42</v>
      </c>
      <c r="C142" s="67" t="s">
        <v>1389</v>
      </c>
      <c r="D142" s="6" t="s">
        <v>497</v>
      </c>
      <c r="E142" s="76" t="s">
        <v>1123</v>
      </c>
      <c r="F142" s="3" t="s">
        <v>881</v>
      </c>
      <c r="G142" s="5" t="s">
        <v>2</v>
      </c>
      <c r="H142" s="78" t="s">
        <v>1124</v>
      </c>
    </row>
    <row r="143" spans="1:8" ht="114" customHeight="1" x14ac:dyDescent="0.25">
      <c r="A143" s="73" t="s">
        <v>1015</v>
      </c>
      <c r="B143" s="6" t="s">
        <v>42</v>
      </c>
      <c r="C143" s="67" t="s">
        <v>1390</v>
      </c>
      <c r="D143" s="6" t="s">
        <v>226</v>
      </c>
      <c r="E143" s="76" t="s">
        <v>51</v>
      </c>
      <c r="F143" s="3" t="s">
        <v>881</v>
      </c>
      <c r="G143" s="5" t="s">
        <v>2</v>
      </c>
      <c r="H143" s="78" t="s">
        <v>1125</v>
      </c>
    </row>
    <row r="144" spans="1:8" ht="114" customHeight="1" x14ac:dyDescent="0.25">
      <c r="A144" s="73" t="s">
        <v>1015</v>
      </c>
      <c r="B144" s="6" t="s">
        <v>42</v>
      </c>
      <c r="C144" s="67" t="s">
        <v>1391</v>
      </c>
      <c r="D144" s="6" t="s">
        <v>498</v>
      </c>
      <c r="E144" s="74" t="s">
        <v>1126</v>
      </c>
      <c r="F144" s="3" t="s">
        <v>881</v>
      </c>
      <c r="G144" s="5" t="s">
        <v>2</v>
      </c>
      <c r="H144" s="78" t="s">
        <v>1127</v>
      </c>
    </row>
    <row r="145" spans="1:8" ht="114" customHeight="1" x14ac:dyDescent="0.25">
      <c r="A145" s="73" t="s">
        <v>1015</v>
      </c>
      <c r="B145" s="6" t="s">
        <v>42</v>
      </c>
      <c r="C145" s="67" t="s">
        <v>1392</v>
      </c>
      <c r="D145" s="6" t="s">
        <v>499</v>
      </c>
      <c r="E145" s="74" t="s">
        <v>1128</v>
      </c>
      <c r="F145" s="3" t="s">
        <v>881</v>
      </c>
      <c r="G145" s="5" t="s">
        <v>2</v>
      </c>
      <c r="H145" s="78" t="s">
        <v>1129</v>
      </c>
    </row>
    <row r="146" spans="1:8" ht="114" customHeight="1" x14ac:dyDescent="0.25">
      <c r="A146" s="73" t="s">
        <v>1015</v>
      </c>
      <c r="B146" s="6" t="s">
        <v>1130</v>
      </c>
      <c r="C146" s="67" t="s">
        <v>1393</v>
      </c>
      <c r="D146" s="6" t="s">
        <v>500</v>
      </c>
      <c r="E146" s="74" t="s">
        <v>1131</v>
      </c>
      <c r="F146" s="3" t="s">
        <v>881</v>
      </c>
      <c r="G146" s="5" t="s">
        <v>2</v>
      </c>
      <c r="H146" s="78" t="s">
        <v>1132</v>
      </c>
    </row>
    <row r="147" spans="1:8" ht="114" customHeight="1" x14ac:dyDescent="0.25">
      <c r="A147" s="73" t="s">
        <v>1133</v>
      </c>
      <c r="B147" s="1" t="s">
        <v>1134</v>
      </c>
      <c r="C147" s="67" t="s">
        <v>1394</v>
      </c>
      <c r="D147" s="1" t="s">
        <v>746</v>
      </c>
      <c r="E147" s="74" t="s">
        <v>1135</v>
      </c>
      <c r="F147" s="3" t="s">
        <v>881</v>
      </c>
      <c r="G147" s="5" t="s">
        <v>2</v>
      </c>
      <c r="H147" s="75" t="s">
        <v>1136</v>
      </c>
    </row>
    <row r="148" spans="1:8" ht="114" customHeight="1" x14ac:dyDescent="0.25">
      <c r="A148" s="73" t="s">
        <v>1133</v>
      </c>
      <c r="B148" s="1" t="s">
        <v>52</v>
      </c>
      <c r="C148" s="67" t="s">
        <v>1395</v>
      </c>
      <c r="D148" s="1" t="s">
        <v>53</v>
      </c>
      <c r="E148" s="74" t="s">
        <v>1137</v>
      </c>
      <c r="F148" s="3" t="s">
        <v>881</v>
      </c>
      <c r="G148" s="5" t="s">
        <v>2</v>
      </c>
      <c r="H148" s="78" t="s">
        <v>1138</v>
      </c>
    </row>
    <row r="149" spans="1:8" s="83" customFormat="1" ht="114" customHeight="1" x14ac:dyDescent="0.25">
      <c r="A149" s="73" t="s">
        <v>1133</v>
      </c>
      <c r="B149" s="4" t="s">
        <v>54</v>
      </c>
      <c r="C149" s="67" t="s">
        <v>1396</v>
      </c>
      <c r="D149" s="1" t="s">
        <v>55</v>
      </c>
      <c r="E149" s="76" t="s">
        <v>56</v>
      </c>
      <c r="F149" s="3" t="s">
        <v>881</v>
      </c>
      <c r="G149" s="5" t="s">
        <v>2</v>
      </c>
      <c r="H149" s="78" t="s">
        <v>1139</v>
      </c>
    </row>
    <row r="150" spans="1:8" ht="114" customHeight="1" x14ac:dyDescent="0.25">
      <c r="A150" s="73" t="s">
        <v>1133</v>
      </c>
      <c r="B150" s="1" t="s">
        <v>57</v>
      </c>
      <c r="C150" s="67" t="s">
        <v>1397</v>
      </c>
      <c r="D150" s="6" t="s">
        <v>233</v>
      </c>
      <c r="E150" s="76" t="s">
        <v>58</v>
      </c>
      <c r="F150" s="3" t="s">
        <v>881</v>
      </c>
      <c r="G150" s="5" t="s">
        <v>2</v>
      </c>
      <c r="H150" s="75" t="s">
        <v>1140</v>
      </c>
    </row>
    <row r="151" spans="1:8" ht="114" customHeight="1" x14ac:dyDescent="0.25">
      <c r="A151" s="73" t="s">
        <v>1133</v>
      </c>
      <c r="B151" s="1" t="s">
        <v>57</v>
      </c>
      <c r="C151" s="67" t="s">
        <v>1398</v>
      </c>
      <c r="D151" s="1" t="s">
        <v>235</v>
      </c>
      <c r="E151" s="76" t="s">
        <v>59</v>
      </c>
      <c r="F151" s="2" t="s">
        <v>871</v>
      </c>
      <c r="G151" s="2">
        <v>5</v>
      </c>
      <c r="H151" s="78" t="s">
        <v>1141</v>
      </c>
    </row>
    <row r="152" spans="1:8" ht="114" customHeight="1" x14ac:dyDescent="0.25">
      <c r="A152" s="73" t="s">
        <v>1133</v>
      </c>
      <c r="B152" s="1" t="s">
        <v>57</v>
      </c>
      <c r="C152" s="67" t="s">
        <v>1399</v>
      </c>
      <c r="D152" s="6" t="s">
        <v>236</v>
      </c>
      <c r="E152" s="74" t="s">
        <v>60</v>
      </c>
      <c r="F152" s="3" t="s">
        <v>878</v>
      </c>
      <c r="G152" s="2">
        <v>4</v>
      </c>
      <c r="H152" s="78" t="s">
        <v>1142</v>
      </c>
    </row>
    <row r="153" spans="1:8" ht="114" customHeight="1" x14ac:dyDescent="0.25">
      <c r="A153" s="73" t="s">
        <v>1133</v>
      </c>
      <c r="B153" s="1" t="s">
        <v>57</v>
      </c>
      <c r="C153" s="67" t="s">
        <v>1400</v>
      </c>
      <c r="D153" s="6" t="s">
        <v>501</v>
      </c>
      <c r="E153" s="76" t="s">
        <v>1143</v>
      </c>
      <c r="F153" s="3" t="s">
        <v>881</v>
      </c>
      <c r="G153" s="5" t="s">
        <v>2</v>
      </c>
      <c r="H153" s="78" t="s">
        <v>1144</v>
      </c>
    </row>
    <row r="154" spans="1:8" ht="114" customHeight="1" x14ac:dyDescent="0.25">
      <c r="A154" s="73" t="s">
        <v>1133</v>
      </c>
      <c r="B154" s="1" t="s">
        <v>57</v>
      </c>
      <c r="C154" s="67" t="s">
        <v>1401</v>
      </c>
      <c r="D154" s="6" t="s">
        <v>238</v>
      </c>
      <c r="E154" s="76" t="s">
        <v>61</v>
      </c>
      <c r="F154" s="3" t="s">
        <v>881</v>
      </c>
      <c r="G154" s="5" t="s">
        <v>2</v>
      </c>
      <c r="H154" s="78" t="s">
        <v>1145</v>
      </c>
    </row>
    <row r="155" spans="1:8" ht="114" customHeight="1" x14ac:dyDescent="0.25">
      <c r="A155" s="73" t="s">
        <v>1133</v>
      </c>
      <c r="B155" s="1" t="s">
        <v>57</v>
      </c>
      <c r="C155" s="67" t="s">
        <v>1402</v>
      </c>
      <c r="D155" s="1" t="s">
        <v>240</v>
      </c>
      <c r="E155" s="74" t="s">
        <v>62</v>
      </c>
      <c r="F155" s="2" t="s">
        <v>871</v>
      </c>
      <c r="G155" s="3">
        <v>5</v>
      </c>
      <c r="H155" s="75" t="s">
        <v>1146</v>
      </c>
    </row>
    <row r="156" spans="1:8" ht="114" customHeight="1" x14ac:dyDescent="0.25">
      <c r="A156" s="73" t="s">
        <v>1133</v>
      </c>
      <c r="B156" s="1" t="s">
        <v>57</v>
      </c>
      <c r="C156" s="67" t="s">
        <v>1403</v>
      </c>
      <c r="D156" s="1" t="s">
        <v>502</v>
      </c>
      <c r="E156" s="74" t="s">
        <v>1147</v>
      </c>
      <c r="F156" s="3" t="s">
        <v>881</v>
      </c>
      <c r="G156" s="5" t="s">
        <v>2</v>
      </c>
      <c r="H156" s="78" t="s">
        <v>1148</v>
      </c>
    </row>
    <row r="157" spans="1:8" ht="114" customHeight="1" x14ac:dyDescent="0.25">
      <c r="A157" s="73" t="s">
        <v>1133</v>
      </c>
      <c r="B157" s="1" t="s">
        <v>57</v>
      </c>
      <c r="C157" s="67" t="s">
        <v>1404</v>
      </c>
      <c r="D157" s="1" t="s">
        <v>503</v>
      </c>
      <c r="E157" s="74" t="s">
        <v>1149</v>
      </c>
      <c r="F157" s="3" t="s">
        <v>881</v>
      </c>
      <c r="G157" s="5" t="s">
        <v>2</v>
      </c>
      <c r="H157" s="78" t="s">
        <v>1150</v>
      </c>
    </row>
    <row r="158" spans="1:8" ht="114" customHeight="1" x14ac:dyDescent="0.25">
      <c r="A158" s="73" t="s">
        <v>1133</v>
      </c>
      <c r="B158" s="1" t="s">
        <v>57</v>
      </c>
      <c r="C158" s="67" t="s">
        <v>1405</v>
      </c>
      <c r="D158" s="1" t="s">
        <v>242</v>
      </c>
      <c r="E158" s="74" t="s">
        <v>63</v>
      </c>
      <c r="F158" s="3" t="s">
        <v>881</v>
      </c>
      <c r="G158" s="5" t="s">
        <v>2</v>
      </c>
      <c r="H158" s="78" t="s">
        <v>1151</v>
      </c>
    </row>
    <row r="159" spans="1:8" ht="114" customHeight="1" x14ac:dyDescent="0.25">
      <c r="A159" s="73" t="s">
        <v>1152</v>
      </c>
      <c r="B159" s="1" t="s">
        <v>57</v>
      </c>
      <c r="C159" s="67" t="s">
        <v>1406</v>
      </c>
      <c r="D159" s="1" t="s">
        <v>244</v>
      </c>
      <c r="E159" s="76" t="s">
        <v>64</v>
      </c>
      <c r="F159" s="3" t="s">
        <v>881</v>
      </c>
      <c r="G159" s="5" t="s">
        <v>2</v>
      </c>
      <c r="H159" s="78" t="s">
        <v>1153</v>
      </c>
    </row>
    <row r="160" spans="1:8" ht="114" customHeight="1" x14ac:dyDescent="0.25">
      <c r="A160" s="73" t="s">
        <v>1152</v>
      </c>
      <c r="B160" s="1" t="s">
        <v>57</v>
      </c>
      <c r="C160" s="67" t="s">
        <v>1407</v>
      </c>
      <c r="D160" s="1" t="s">
        <v>245</v>
      </c>
      <c r="E160" s="76" t="s">
        <v>65</v>
      </c>
      <c r="F160" s="3" t="s">
        <v>881</v>
      </c>
      <c r="G160" s="5" t="s">
        <v>2</v>
      </c>
      <c r="H160" s="78" t="s">
        <v>1154</v>
      </c>
    </row>
    <row r="161" spans="1:8" ht="114" customHeight="1" x14ac:dyDescent="0.25">
      <c r="A161" s="73" t="s">
        <v>1152</v>
      </c>
      <c r="B161" s="4" t="s">
        <v>66</v>
      </c>
      <c r="C161" s="67" t="s">
        <v>1408</v>
      </c>
      <c r="D161" s="1" t="s">
        <v>67</v>
      </c>
      <c r="E161" s="74" t="s">
        <v>68</v>
      </c>
      <c r="F161" s="3" t="s">
        <v>1096</v>
      </c>
      <c r="G161" s="2">
        <v>4</v>
      </c>
      <c r="H161" s="78" t="s">
        <v>1155</v>
      </c>
    </row>
    <row r="162" spans="1:8" ht="114" customHeight="1" x14ac:dyDescent="0.25">
      <c r="A162" s="73" t="s">
        <v>1152</v>
      </c>
      <c r="B162" s="1" t="s">
        <v>1156</v>
      </c>
      <c r="C162" s="67" t="s">
        <v>1409</v>
      </c>
      <c r="D162" s="1" t="s">
        <v>504</v>
      </c>
      <c r="E162" s="74" t="s">
        <v>1157</v>
      </c>
      <c r="F162" s="3" t="s">
        <v>881</v>
      </c>
      <c r="G162" s="5" t="s">
        <v>2</v>
      </c>
      <c r="H162" s="75" t="s">
        <v>1158</v>
      </c>
    </row>
    <row r="163" spans="1:8" s="83" customFormat="1" ht="114" customHeight="1" x14ac:dyDescent="0.25">
      <c r="A163" s="73" t="s">
        <v>1152</v>
      </c>
      <c r="B163" s="1" t="s">
        <v>1159</v>
      </c>
      <c r="C163" s="67" t="s">
        <v>1410</v>
      </c>
      <c r="D163" s="1" t="s">
        <v>505</v>
      </c>
      <c r="E163" s="74" t="s">
        <v>1160</v>
      </c>
      <c r="F163" s="3" t="s">
        <v>881</v>
      </c>
      <c r="G163" s="5" t="s">
        <v>2</v>
      </c>
      <c r="H163" s="80" t="s">
        <v>1161</v>
      </c>
    </row>
    <row r="164" spans="1:8" s="83" customFormat="1" ht="114" customHeight="1" x14ac:dyDescent="0.25">
      <c r="A164" s="73" t="s">
        <v>1152</v>
      </c>
      <c r="B164" s="81" t="s">
        <v>69</v>
      </c>
      <c r="C164" s="67" t="s">
        <v>1411</v>
      </c>
      <c r="D164" s="1" t="s">
        <v>70</v>
      </c>
      <c r="E164" s="76" t="s">
        <v>71</v>
      </c>
      <c r="F164" s="2" t="s">
        <v>881</v>
      </c>
      <c r="G164" s="5" t="s">
        <v>2</v>
      </c>
      <c r="H164" s="78" t="s">
        <v>1162</v>
      </c>
    </row>
    <row r="165" spans="1:8" s="83" customFormat="1" ht="114" customHeight="1" x14ac:dyDescent="0.25">
      <c r="A165" s="73" t="s">
        <v>1152</v>
      </c>
      <c r="B165" s="1" t="s">
        <v>72</v>
      </c>
      <c r="C165" s="67" t="s">
        <v>1412</v>
      </c>
      <c r="D165" s="1" t="s">
        <v>73</v>
      </c>
      <c r="E165" s="76" t="s">
        <v>74</v>
      </c>
      <c r="F165" s="3" t="s">
        <v>878</v>
      </c>
      <c r="G165" s="2">
        <v>4</v>
      </c>
      <c r="H165" s="78" t="s">
        <v>1163</v>
      </c>
    </row>
    <row r="166" spans="1:8" ht="114" customHeight="1" x14ac:dyDescent="0.25">
      <c r="A166" s="73" t="s">
        <v>1152</v>
      </c>
      <c r="B166" s="1" t="s">
        <v>1164</v>
      </c>
      <c r="C166" s="67" t="s">
        <v>1413</v>
      </c>
      <c r="D166" s="1" t="s">
        <v>506</v>
      </c>
      <c r="E166" s="76" t="s">
        <v>1165</v>
      </c>
      <c r="F166" s="2" t="s">
        <v>881</v>
      </c>
      <c r="G166" s="5" t="s">
        <v>2</v>
      </c>
      <c r="H166" s="78" t="s">
        <v>1166</v>
      </c>
    </row>
    <row r="167" spans="1:8" s="83" customFormat="1" ht="114" customHeight="1" x14ac:dyDescent="0.25">
      <c r="A167" s="73" t="s">
        <v>1152</v>
      </c>
      <c r="B167" s="81" t="s">
        <v>1167</v>
      </c>
      <c r="C167" s="67" t="s">
        <v>1414</v>
      </c>
      <c r="D167" s="1" t="s">
        <v>507</v>
      </c>
      <c r="E167" s="76" t="s">
        <v>1168</v>
      </c>
      <c r="F167" s="2" t="s">
        <v>881</v>
      </c>
      <c r="G167" s="5" t="s">
        <v>2</v>
      </c>
      <c r="H167" s="78" t="s">
        <v>1169</v>
      </c>
    </row>
    <row r="168" spans="1:8" s="83" customFormat="1" ht="114" customHeight="1" x14ac:dyDescent="0.25">
      <c r="A168" s="73" t="s">
        <v>1152</v>
      </c>
      <c r="B168" s="81" t="s">
        <v>1167</v>
      </c>
      <c r="C168" s="67" t="s">
        <v>1415</v>
      </c>
      <c r="D168" s="1" t="s">
        <v>508</v>
      </c>
      <c r="E168" s="76" t="s">
        <v>1170</v>
      </c>
      <c r="F168" s="2" t="s">
        <v>881</v>
      </c>
      <c r="G168" s="5" t="s">
        <v>2</v>
      </c>
      <c r="H168" s="78" t="s">
        <v>1171</v>
      </c>
    </row>
    <row r="169" spans="1:8" s="83" customFormat="1" ht="114" customHeight="1" x14ac:dyDescent="0.25">
      <c r="A169" s="73" t="s">
        <v>1152</v>
      </c>
      <c r="B169" s="81" t="s">
        <v>1167</v>
      </c>
      <c r="C169" s="67" t="s">
        <v>1416</v>
      </c>
      <c r="D169" s="1" t="s">
        <v>509</v>
      </c>
      <c r="E169" s="76" t="s">
        <v>1172</v>
      </c>
      <c r="F169" s="2" t="s">
        <v>871</v>
      </c>
      <c r="G169" s="2">
        <v>5</v>
      </c>
      <c r="H169" s="78" t="s">
        <v>1173</v>
      </c>
    </row>
    <row r="170" spans="1:8" s="83" customFormat="1" ht="114" customHeight="1" x14ac:dyDescent="0.25">
      <c r="A170" s="73" t="s">
        <v>1152</v>
      </c>
      <c r="B170" s="81" t="s">
        <v>1174</v>
      </c>
      <c r="C170" s="67" t="s">
        <v>1417</v>
      </c>
      <c r="D170" s="1" t="s">
        <v>510</v>
      </c>
      <c r="E170" s="76" t="s">
        <v>1175</v>
      </c>
      <c r="F170" s="2" t="s">
        <v>881</v>
      </c>
      <c r="G170" s="5" t="s">
        <v>2</v>
      </c>
      <c r="H170" s="78" t="s">
        <v>1176</v>
      </c>
    </row>
    <row r="171" spans="1:8" s="83" customFormat="1" ht="114" customHeight="1" x14ac:dyDescent="0.25">
      <c r="A171" s="73" t="s">
        <v>1152</v>
      </c>
      <c r="B171" s="81" t="s">
        <v>1174</v>
      </c>
      <c r="C171" s="67" t="s">
        <v>1418</v>
      </c>
      <c r="D171" s="1" t="s">
        <v>511</v>
      </c>
      <c r="E171" s="76" t="s">
        <v>1177</v>
      </c>
      <c r="F171" s="3" t="s">
        <v>878</v>
      </c>
      <c r="G171" s="3">
        <v>4</v>
      </c>
      <c r="H171" s="78" t="s">
        <v>1178</v>
      </c>
    </row>
    <row r="172" spans="1:8" s="83" customFormat="1" ht="114" customHeight="1" x14ac:dyDescent="0.25">
      <c r="A172" s="77" t="s">
        <v>1179</v>
      </c>
      <c r="B172" s="81" t="s">
        <v>1167</v>
      </c>
      <c r="C172" s="67" t="s">
        <v>1419</v>
      </c>
      <c r="D172" s="1" t="s">
        <v>512</v>
      </c>
      <c r="E172" s="76" t="s">
        <v>1180</v>
      </c>
      <c r="F172" s="2" t="s">
        <v>881</v>
      </c>
      <c r="G172" s="5" t="s">
        <v>2</v>
      </c>
      <c r="H172" s="78" t="s">
        <v>1181</v>
      </c>
    </row>
    <row r="173" spans="1:8" s="83" customFormat="1" ht="114" customHeight="1" x14ac:dyDescent="0.25">
      <c r="A173" s="77" t="s">
        <v>1179</v>
      </c>
      <c r="B173" s="81" t="s">
        <v>1182</v>
      </c>
      <c r="C173" s="67" t="s">
        <v>1420</v>
      </c>
      <c r="D173" s="1" t="s">
        <v>513</v>
      </c>
      <c r="E173" s="76" t="s">
        <v>1183</v>
      </c>
      <c r="F173" s="2" t="s">
        <v>881</v>
      </c>
      <c r="G173" s="5" t="s">
        <v>2</v>
      </c>
      <c r="H173" s="75" t="s">
        <v>1184</v>
      </c>
    </row>
    <row r="174" spans="1:8" s="83" customFormat="1" ht="114" customHeight="1" x14ac:dyDescent="0.25">
      <c r="A174" s="77" t="s">
        <v>1179</v>
      </c>
      <c r="B174" s="81" t="s">
        <v>1185</v>
      </c>
      <c r="C174" s="67" t="s">
        <v>1421</v>
      </c>
      <c r="D174" s="1" t="s">
        <v>514</v>
      </c>
      <c r="E174" s="76" t="s">
        <v>1186</v>
      </c>
      <c r="F174" s="2" t="s">
        <v>881</v>
      </c>
      <c r="G174" s="5" t="s">
        <v>2</v>
      </c>
      <c r="H174" s="75" t="s">
        <v>1184</v>
      </c>
    </row>
    <row r="175" spans="1:8" s="83" customFormat="1" ht="114" customHeight="1" x14ac:dyDescent="0.25">
      <c r="A175" s="77" t="s">
        <v>1179</v>
      </c>
      <c r="B175" s="81" t="s">
        <v>1187</v>
      </c>
      <c r="C175" s="67" t="s">
        <v>1422</v>
      </c>
      <c r="D175" s="1" t="s">
        <v>515</v>
      </c>
      <c r="E175" s="76" t="s">
        <v>1188</v>
      </c>
      <c r="F175" s="2" t="s">
        <v>1189</v>
      </c>
      <c r="G175" s="2">
        <v>5</v>
      </c>
      <c r="H175" s="75" t="s">
        <v>884</v>
      </c>
    </row>
    <row r="176" spans="1:8" s="83" customFormat="1" ht="114" customHeight="1" x14ac:dyDescent="0.25">
      <c r="A176" s="77" t="s">
        <v>1179</v>
      </c>
      <c r="B176" s="81" t="s">
        <v>1190</v>
      </c>
      <c r="C176" s="67" t="s">
        <v>1423</v>
      </c>
      <c r="D176" s="1" t="s">
        <v>435</v>
      </c>
      <c r="E176" s="76" t="s">
        <v>1191</v>
      </c>
      <c r="F176" s="2" t="s">
        <v>881</v>
      </c>
      <c r="G176" s="5" t="s">
        <v>2</v>
      </c>
      <c r="H176" s="75" t="s">
        <v>1192</v>
      </c>
    </row>
    <row r="177" spans="1:8" s="83" customFormat="1" ht="114" customHeight="1" x14ac:dyDescent="0.25">
      <c r="A177" s="77" t="s">
        <v>1179</v>
      </c>
      <c r="B177" s="81" t="s">
        <v>1193</v>
      </c>
      <c r="C177" s="67" t="s">
        <v>1424</v>
      </c>
      <c r="D177" s="1" t="s">
        <v>516</v>
      </c>
      <c r="E177" s="76" t="s">
        <v>1194</v>
      </c>
      <c r="F177" s="2" t="s">
        <v>881</v>
      </c>
      <c r="G177" s="5" t="s">
        <v>2</v>
      </c>
      <c r="H177" s="75" t="s">
        <v>1195</v>
      </c>
    </row>
    <row r="178" spans="1:8" s="83" customFormat="1" ht="114" customHeight="1" x14ac:dyDescent="0.25">
      <c r="A178" s="77" t="s">
        <v>1179</v>
      </c>
      <c r="B178" s="6" t="s">
        <v>1196</v>
      </c>
      <c r="C178" s="67" t="s">
        <v>1425</v>
      </c>
      <c r="D178" s="6" t="s">
        <v>517</v>
      </c>
      <c r="E178" s="76" t="s">
        <v>1197</v>
      </c>
      <c r="F178" s="2" t="s">
        <v>881</v>
      </c>
      <c r="G178" s="5" t="s">
        <v>2</v>
      </c>
      <c r="H178" s="78" t="s">
        <v>1198</v>
      </c>
    </row>
    <row r="179" spans="1:8" s="83" customFormat="1" ht="114" customHeight="1" x14ac:dyDescent="0.25">
      <c r="A179" s="77" t="s">
        <v>1179</v>
      </c>
      <c r="B179" s="6" t="s">
        <v>75</v>
      </c>
      <c r="C179" s="67" t="s">
        <v>1426</v>
      </c>
      <c r="D179" s="6" t="s">
        <v>518</v>
      </c>
      <c r="E179" s="76" t="s">
        <v>1199</v>
      </c>
      <c r="F179" s="2" t="s">
        <v>871</v>
      </c>
      <c r="G179" s="2">
        <v>5</v>
      </c>
      <c r="H179" s="78" t="s">
        <v>1200</v>
      </c>
    </row>
    <row r="180" spans="1:8" s="83" customFormat="1" ht="114" customHeight="1" x14ac:dyDescent="0.25">
      <c r="A180" s="77" t="s">
        <v>1179</v>
      </c>
      <c r="B180" s="6" t="s">
        <v>76</v>
      </c>
      <c r="C180" s="67" t="s">
        <v>1427</v>
      </c>
      <c r="D180" s="6" t="s">
        <v>249</v>
      </c>
      <c r="E180" s="76" t="s">
        <v>77</v>
      </c>
      <c r="F180" s="2" t="s">
        <v>871</v>
      </c>
      <c r="G180" s="2">
        <v>5</v>
      </c>
      <c r="H180" s="78" t="s">
        <v>1201</v>
      </c>
    </row>
    <row r="181" spans="1:8" s="83" customFormat="1" ht="114" customHeight="1" x14ac:dyDescent="0.25">
      <c r="A181" s="77" t="s">
        <v>1179</v>
      </c>
      <c r="B181" s="6" t="s">
        <v>76</v>
      </c>
      <c r="C181" s="67" t="s">
        <v>1428</v>
      </c>
      <c r="D181" s="6" t="s">
        <v>252</v>
      </c>
      <c r="E181" s="76" t="s">
        <v>78</v>
      </c>
      <c r="F181" s="3" t="s">
        <v>878</v>
      </c>
      <c r="G181" s="3">
        <v>4</v>
      </c>
      <c r="H181" s="78" t="s">
        <v>1202</v>
      </c>
    </row>
    <row r="182" spans="1:8" s="83" customFormat="1" ht="114" customHeight="1" x14ac:dyDescent="0.25">
      <c r="A182" s="77" t="s">
        <v>1179</v>
      </c>
      <c r="B182" s="6" t="s">
        <v>76</v>
      </c>
      <c r="C182" s="67" t="s">
        <v>1429</v>
      </c>
      <c r="D182" s="6" t="s">
        <v>253</v>
      </c>
      <c r="E182" s="76" t="s">
        <v>79</v>
      </c>
      <c r="F182" s="3" t="s">
        <v>881</v>
      </c>
      <c r="G182" s="5" t="s">
        <v>2</v>
      </c>
      <c r="H182" s="78" t="s">
        <v>1203</v>
      </c>
    </row>
    <row r="183" spans="1:8" s="83" customFormat="1" ht="114" customHeight="1" x14ac:dyDescent="0.25">
      <c r="A183" s="77" t="s">
        <v>1179</v>
      </c>
      <c r="B183" s="6" t="s">
        <v>80</v>
      </c>
      <c r="C183" s="67" t="s">
        <v>1430</v>
      </c>
      <c r="D183" s="6" t="s">
        <v>254</v>
      </c>
      <c r="E183" s="76" t="s">
        <v>81</v>
      </c>
      <c r="F183" s="3" t="s">
        <v>881</v>
      </c>
      <c r="G183" s="5" t="s">
        <v>2</v>
      </c>
      <c r="H183" s="78" t="s">
        <v>1204</v>
      </c>
    </row>
    <row r="184" spans="1:8" ht="114" customHeight="1" x14ac:dyDescent="0.25">
      <c r="A184" s="77" t="s">
        <v>1179</v>
      </c>
      <c r="B184" s="6" t="s">
        <v>1205</v>
      </c>
      <c r="C184" s="67" t="s">
        <v>1431</v>
      </c>
      <c r="D184" s="6" t="s">
        <v>519</v>
      </c>
      <c r="E184" s="76" t="s">
        <v>1206</v>
      </c>
      <c r="F184" s="3" t="s">
        <v>881</v>
      </c>
      <c r="G184" s="5" t="s">
        <v>2</v>
      </c>
      <c r="H184" s="78" t="s">
        <v>1207</v>
      </c>
    </row>
    <row r="185" spans="1:8" ht="114" customHeight="1" x14ac:dyDescent="0.25">
      <c r="A185" s="77" t="s">
        <v>1179</v>
      </c>
      <c r="B185" s="6" t="s">
        <v>75</v>
      </c>
      <c r="C185" s="67" t="s">
        <v>1432</v>
      </c>
      <c r="D185" s="6" t="s">
        <v>520</v>
      </c>
      <c r="E185" s="76" t="s">
        <v>1208</v>
      </c>
      <c r="F185" s="3" t="s">
        <v>881</v>
      </c>
      <c r="G185" s="5" t="s">
        <v>2</v>
      </c>
      <c r="H185" s="78" t="s">
        <v>1209</v>
      </c>
    </row>
    <row r="186" spans="1:8" ht="114" customHeight="1" x14ac:dyDescent="0.25">
      <c r="A186" s="77" t="s">
        <v>1179</v>
      </c>
      <c r="B186" s="6" t="s">
        <v>75</v>
      </c>
      <c r="C186" s="67" t="s">
        <v>1433</v>
      </c>
      <c r="D186" s="6" t="s">
        <v>521</v>
      </c>
      <c r="E186" s="76" t="s">
        <v>1210</v>
      </c>
      <c r="F186" s="3" t="s">
        <v>881</v>
      </c>
      <c r="G186" s="5" t="s">
        <v>2</v>
      </c>
      <c r="H186" s="78" t="s">
        <v>1211</v>
      </c>
    </row>
    <row r="187" spans="1:8" ht="114" customHeight="1" x14ac:dyDescent="0.25">
      <c r="A187" s="77" t="s">
        <v>1179</v>
      </c>
      <c r="B187" s="6" t="s">
        <v>1212</v>
      </c>
      <c r="C187" s="67" t="s">
        <v>1434</v>
      </c>
      <c r="D187" s="6" t="s">
        <v>522</v>
      </c>
      <c r="E187" s="76" t="s">
        <v>1213</v>
      </c>
      <c r="F187" s="3" t="s">
        <v>907</v>
      </c>
      <c r="G187" s="5">
        <v>5</v>
      </c>
      <c r="H187" s="75" t="s">
        <v>1214</v>
      </c>
    </row>
    <row r="188" spans="1:8" ht="114" customHeight="1" x14ac:dyDescent="0.25">
      <c r="A188" s="77" t="s">
        <v>1179</v>
      </c>
      <c r="B188" s="6" t="s">
        <v>57</v>
      </c>
      <c r="C188" s="67" t="s">
        <v>1435</v>
      </c>
      <c r="D188" s="6" t="s">
        <v>256</v>
      </c>
      <c r="E188" s="76" t="s">
        <v>82</v>
      </c>
      <c r="F188" s="3" t="s">
        <v>878</v>
      </c>
      <c r="G188" s="5">
        <v>4</v>
      </c>
      <c r="H188" s="75" t="s">
        <v>1215</v>
      </c>
    </row>
    <row r="189" spans="1:8" ht="114" customHeight="1" x14ac:dyDescent="0.25">
      <c r="A189" s="77" t="s">
        <v>1179</v>
      </c>
      <c r="B189" s="6" t="s">
        <v>57</v>
      </c>
      <c r="C189" s="67" t="s">
        <v>1436</v>
      </c>
      <c r="D189" s="6" t="s">
        <v>258</v>
      </c>
      <c r="E189" s="76" t="s">
        <v>83</v>
      </c>
      <c r="F189" s="2" t="s">
        <v>1216</v>
      </c>
      <c r="G189" s="5">
        <v>5</v>
      </c>
      <c r="H189" s="75" t="s">
        <v>1217</v>
      </c>
    </row>
    <row r="190" spans="1:8" ht="114" customHeight="1" x14ac:dyDescent="0.25">
      <c r="A190" s="77" t="s">
        <v>1179</v>
      </c>
      <c r="B190" s="6" t="s">
        <v>57</v>
      </c>
      <c r="C190" s="67" t="s">
        <v>1437</v>
      </c>
      <c r="D190" s="6" t="s">
        <v>523</v>
      </c>
      <c r="E190" s="76" t="s">
        <v>1218</v>
      </c>
      <c r="F190" s="3" t="s">
        <v>881</v>
      </c>
      <c r="G190" s="5" t="s">
        <v>2</v>
      </c>
      <c r="H190" s="75" t="s">
        <v>1219</v>
      </c>
    </row>
    <row r="191" spans="1:8" ht="114" customHeight="1" x14ac:dyDescent="0.25">
      <c r="A191" s="77" t="s">
        <v>1179</v>
      </c>
      <c r="B191" s="6" t="s">
        <v>57</v>
      </c>
      <c r="C191" s="67" t="s">
        <v>1438</v>
      </c>
      <c r="D191" s="6" t="s">
        <v>524</v>
      </c>
      <c r="E191" s="76" t="s">
        <v>1220</v>
      </c>
      <c r="F191" s="3" t="s">
        <v>881</v>
      </c>
      <c r="G191" s="5" t="s">
        <v>2</v>
      </c>
      <c r="H191" s="75" t="s">
        <v>1219</v>
      </c>
    </row>
    <row r="192" spans="1:8" ht="114" customHeight="1" x14ac:dyDescent="0.25">
      <c r="A192" s="77" t="s">
        <v>1179</v>
      </c>
      <c r="B192" s="6" t="s">
        <v>57</v>
      </c>
      <c r="C192" s="67" t="s">
        <v>1439</v>
      </c>
      <c r="D192" s="6" t="s">
        <v>525</v>
      </c>
      <c r="E192" s="76" t="s">
        <v>1221</v>
      </c>
      <c r="F192" s="3" t="s">
        <v>907</v>
      </c>
      <c r="G192" s="5">
        <v>5</v>
      </c>
      <c r="H192" s="75" t="s">
        <v>1222</v>
      </c>
    </row>
    <row r="193" spans="1:8" ht="114" customHeight="1" x14ac:dyDescent="0.25">
      <c r="A193" s="73" t="s">
        <v>1152</v>
      </c>
      <c r="B193" s="1" t="s">
        <v>57</v>
      </c>
      <c r="C193" s="67" t="s">
        <v>1440</v>
      </c>
      <c r="D193" s="1" t="s">
        <v>259</v>
      </c>
      <c r="E193" s="76" t="s">
        <v>84</v>
      </c>
      <c r="F193" s="3" t="s">
        <v>878</v>
      </c>
      <c r="G193" s="5">
        <v>4</v>
      </c>
      <c r="H193" s="75" t="s">
        <v>1223</v>
      </c>
    </row>
    <row r="194" spans="1:8" ht="114" customHeight="1" x14ac:dyDescent="0.25">
      <c r="A194" s="73" t="s">
        <v>1152</v>
      </c>
      <c r="B194" s="1" t="s">
        <v>57</v>
      </c>
      <c r="C194" s="67" t="s">
        <v>1441</v>
      </c>
      <c r="D194" s="1" t="s">
        <v>261</v>
      </c>
      <c r="E194" s="76" t="s">
        <v>85</v>
      </c>
      <c r="F194" s="2" t="s">
        <v>871</v>
      </c>
      <c r="G194" s="5">
        <v>5</v>
      </c>
      <c r="H194" s="75" t="s">
        <v>1224</v>
      </c>
    </row>
    <row r="195" spans="1:8" ht="114" customHeight="1" x14ac:dyDescent="0.25">
      <c r="A195" s="73" t="s">
        <v>1152</v>
      </c>
      <c r="B195" s="1" t="s">
        <v>57</v>
      </c>
      <c r="C195" s="67" t="s">
        <v>1442</v>
      </c>
      <c r="D195" s="1" t="s">
        <v>262</v>
      </c>
      <c r="E195" s="76" t="s">
        <v>86</v>
      </c>
      <c r="F195" s="3" t="s">
        <v>881</v>
      </c>
      <c r="G195" s="5" t="s">
        <v>87</v>
      </c>
      <c r="H195" s="75" t="s">
        <v>1225</v>
      </c>
    </row>
    <row r="196" spans="1:8" ht="114" customHeight="1" x14ac:dyDescent="0.25">
      <c r="A196" s="73" t="s">
        <v>1152</v>
      </c>
      <c r="B196" s="1" t="s">
        <v>57</v>
      </c>
      <c r="C196" s="67" t="s">
        <v>1443</v>
      </c>
      <c r="D196" s="1" t="s">
        <v>263</v>
      </c>
      <c r="E196" s="76" t="s">
        <v>88</v>
      </c>
      <c r="F196" s="3" t="s">
        <v>881</v>
      </c>
      <c r="G196" s="5" t="s">
        <v>87</v>
      </c>
      <c r="H196" s="75" t="s">
        <v>1225</v>
      </c>
    </row>
    <row r="197" spans="1:8" ht="114" customHeight="1" x14ac:dyDescent="0.25">
      <c r="A197" s="73" t="s">
        <v>1152</v>
      </c>
      <c r="B197" s="1" t="s">
        <v>57</v>
      </c>
      <c r="C197" s="67" t="s">
        <v>1444</v>
      </c>
      <c r="D197" s="1" t="s">
        <v>264</v>
      </c>
      <c r="E197" s="76" t="s">
        <v>89</v>
      </c>
      <c r="F197" s="3" t="s">
        <v>1226</v>
      </c>
      <c r="G197" s="5">
        <v>4</v>
      </c>
      <c r="H197" s="75" t="s">
        <v>1227</v>
      </c>
    </row>
    <row r="198" spans="1:8" ht="114" customHeight="1" x14ac:dyDescent="0.25">
      <c r="A198" s="73" t="s">
        <v>90</v>
      </c>
      <c r="B198" s="1" t="s">
        <v>1228</v>
      </c>
      <c r="C198" s="67" t="s">
        <v>1445</v>
      </c>
      <c r="D198" s="1" t="s">
        <v>91</v>
      </c>
      <c r="E198" s="76" t="s">
        <v>1229</v>
      </c>
      <c r="F198" s="3" t="s">
        <v>881</v>
      </c>
      <c r="G198" s="5" t="s">
        <v>2</v>
      </c>
      <c r="H198" s="75" t="s">
        <v>1230</v>
      </c>
    </row>
    <row r="199" spans="1:8" ht="114" customHeight="1" x14ac:dyDescent="0.25">
      <c r="A199" s="73" t="s">
        <v>90</v>
      </c>
      <c r="B199" s="6" t="s">
        <v>1231</v>
      </c>
      <c r="C199" s="67" t="s">
        <v>1446</v>
      </c>
      <c r="D199" s="1" t="s">
        <v>526</v>
      </c>
      <c r="E199" s="76" t="s">
        <v>1232</v>
      </c>
      <c r="F199" s="3" t="s">
        <v>881</v>
      </c>
      <c r="G199" s="5" t="s">
        <v>2</v>
      </c>
      <c r="H199" s="75" t="s">
        <v>1233</v>
      </c>
    </row>
    <row r="200" spans="1:8" ht="114" customHeight="1" x14ac:dyDescent="0.25">
      <c r="A200" s="73" t="s">
        <v>90</v>
      </c>
      <c r="B200" s="1" t="s">
        <v>1234</v>
      </c>
      <c r="C200" s="67" t="s">
        <v>1447</v>
      </c>
      <c r="D200" s="1" t="s">
        <v>527</v>
      </c>
      <c r="E200" s="76" t="s">
        <v>1235</v>
      </c>
      <c r="F200" s="3" t="s">
        <v>881</v>
      </c>
      <c r="G200" s="5" t="s">
        <v>2</v>
      </c>
      <c r="H200" s="75" t="s">
        <v>1236</v>
      </c>
    </row>
    <row r="201" spans="1:8" ht="114" customHeight="1" x14ac:dyDescent="0.25">
      <c r="A201" s="73" t="s">
        <v>90</v>
      </c>
      <c r="B201" s="1" t="s">
        <v>1237</v>
      </c>
      <c r="C201" s="67" t="s">
        <v>1448</v>
      </c>
      <c r="D201" s="1" t="s">
        <v>265</v>
      </c>
      <c r="E201" s="76" t="s">
        <v>92</v>
      </c>
      <c r="F201" s="3" t="s">
        <v>881</v>
      </c>
      <c r="G201" s="5" t="s">
        <v>87</v>
      </c>
      <c r="H201" s="75" t="s">
        <v>1014</v>
      </c>
    </row>
    <row r="202" spans="1:8" ht="114" customHeight="1" x14ac:dyDescent="0.25">
      <c r="A202" s="73" t="s">
        <v>1238</v>
      </c>
      <c r="B202" s="1" t="s">
        <v>1239</v>
      </c>
      <c r="C202" s="67" t="s">
        <v>1449</v>
      </c>
      <c r="D202" s="1" t="s">
        <v>93</v>
      </c>
      <c r="E202" s="76" t="s">
        <v>1240</v>
      </c>
      <c r="F202" s="3" t="s">
        <v>94</v>
      </c>
      <c r="G202" s="3" t="s">
        <v>94</v>
      </c>
      <c r="H202" s="75" t="s">
        <v>1241</v>
      </c>
    </row>
    <row r="203" spans="1:8" ht="114" customHeight="1" x14ac:dyDescent="0.25">
      <c r="A203" s="73" t="s">
        <v>1242</v>
      </c>
      <c r="B203" s="1" t="s">
        <v>95</v>
      </c>
      <c r="C203" s="67" t="s">
        <v>1450</v>
      </c>
      <c r="D203" s="1" t="s">
        <v>96</v>
      </c>
      <c r="E203" s="74" t="s">
        <v>97</v>
      </c>
      <c r="F203" s="3" t="s">
        <v>881</v>
      </c>
      <c r="G203" s="5" t="s">
        <v>2</v>
      </c>
      <c r="H203" s="75" t="s">
        <v>1243</v>
      </c>
    </row>
    <row r="204" spans="1:8" ht="114" customHeight="1" x14ac:dyDescent="0.25">
      <c r="A204" s="73" t="s">
        <v>1242</v>
      </c>
      <c r="B204" s="1" t="s">
        <v>1244</v>
      </c>
      <c r="C204" s="67" t="s">
        <v>1451</v>
      </c>
      <c r="D204" s="1" t="s">
        <v>528</v>
      </c>
      <c r="E204" s="74" t="s">
        <v>1245</v>
      </c>
      <c r="F204" s="3" t="s">
        <v>881</v>
      </c>
      <c r="G204" s="5" t="s">
        <v>2</v>
      </c>
      <c r="H204" s="75" t="s">
        <v>1246</v>
      </c>
    </row>
    <row r="205" spans="1:8" ht="114" customHeight="1" thickBot="1" x14ac:dyDescent="0.3">
      <c r="A205" s="84" t="s">
        <v>1242</v>
      </c>
      <c r="B205" s="85" t="s">
        <v>98</v>
      </c>
      <c r="C205" s="67" t="s">
        <v>1452</v>
      </c>
      <c r="D205" s="85" t="s">
        <v>195</v>
      </c>
      <c r="E205" s="86" t="s">
        <v>99</v>
      </c>
      <c r="F205" s="87" t="s">
        <v>881</v>
      </c>
      <c r="G205" s="88" t="s">
        <v>2</v>
      </c>
      <c r="H205" s="89" t="s">
        <v>1247</v>
      </c>
    </row>
    <row r="206" spans="1:8" ht="15" x14ac:dyDescent="0.25">
      <c r="A206" s="90"/>
      <c r="B206" s="91"/>
      <c r="C206" s="91"/>
      <c r="D206" s="92"/>
      <c r="E206" s="72"/>
      <c r="F206" s="93"/>
      <c r="G206" s="94"/>
      <c r="H206" s="72"/>
    </row>
    <row r="207" spans="1:8" ht="15" x14ac:dyDescent="0.25">
      <c r="A207" s="95"/>
      <c r="B207" s="91"/>
      <c r="C207" s="91"/>
      <c r="D207" s="92"/>
      <c r="E207" s="72"/>
      <c r="F207" s="93"/>
      <c r="G207" s="94"/>
      <c r="H207" s="72"/>
    </row>
    <row r="208" spans="1:8" ht="15" x14ac:dyDescent="0.25">
      <c r="A208" s="95"/>
      <c r="B208" s="91"/>
      <c r="C208" s="91"/>
      <c r="D208" s="92"/>
      <c r="E208" s="96"/>
      <c r="F208" s="97"/>
      <c r="G208" s="94"/>
      <c r="H208" s="96"/>
    </row>
    <row r="209" spans="1:8" ht="15" x14ac:dyDescent="0.25">
      <c r="A209" s="95"/>
      <c r="B209" s="91"/>
      <c r="C209" s="91"/>
      <c r="D209" s="92"/>
      <c r="E209" s="96"/>
      <c r="F209" s="97"/>
      <c r="G209" s="94"/>
      <c r="H209" s="96"/>
    </row>
    <row r="210" spans="1:8" ht="15" x14ac:dyDescent="0.25">
      <c r="A210" s="95"/>
      <c r="B210" s="91"/>
      <c r="C210" s="91"/>
      <c r="D210" s="92"/>
      <c r="E210" s="96"/>
      <c r="F210" s="97"/>
      <c r="G210" s="94"/>
      <c r="H210" s="96"/>
    </row>
    <row r="211" spans="1:8" ht="15" x14ac:dyDescent="0.25">
      <c r="A211" s="95"/>
      <c r="B211" s="91"/>
      <c r="C211" s="91"/>
      <c r="D211" s="92"/>
      <c r="E211" s="96"/>
      <c r="F211" s="97"/>
      <c r="G211" s="94"/>
      <c r="H211" s="96"/>
    </row>
    <row r="212" spans="1:8" ht="15" x14ac:dyDescent="0.25">
      <c r="A212" s="95"/>
      <c r="B212" s="91"/>
      <c r="C212" s="91"/>
      <c r="D212" s="92"/>
      <c r="E212" s="96"/>
      <c r="F212" s="97"/>
      <c r="G212" s="94"/>
      <c r="H212" s="96"/>
    </row>
    <row r="213" spans="1:8" ht="15" x14ac:dyDescent="0.25">
      <c r="A213" s="95"/>
      <c r="B213" s="91"/>
      <c r="C213" s="91"/>
      <c r="D213" s="92"/>
      <c r="E213" s="96"/>
      <c r="F213" s="97"/>
      <c r="G213" s="94"/>
      <c r="H213" s="96"/>
    </row>
    <row r="214" spans="1:8" ht="15" x14ac:dyDescent="0.25">
      <c r="A214" s="95"/>
      <c r="B214" s="91"/>
      <c r="C214" s="91"/>
      <c r="D214" s="92"/>
      <c r="E214" s="96"/>
      <c r="F214" s="97"/>
      <c r="G214" s="94"/>
      <c r="H214" s="96"/>
    </row>
    <row r="215" spans="1:8" ht="15" x14ac:dyDescent="0.25">
      <c r="A215" s="95"/>
      <c r="B215" s="91"/>
      <c r="C215" s="91"/>
      <c r="D215" s="92"/>
      <c r="E215" s="96"/>
      <c r="F215" s="97"/>
      <c r="G215" s="94"/>
      <c r="H215" s="96"/>
    </row>
    <row r="216" spans="1:8" ht="15" x14ac:dyDescent="0.25">
      <c r="A216" s="95"/>
      <c r="B216" s="91"/>
      <c r="C216" s="91"/>
      <c r="D216" s="92"/>
      <c r="E216" s="96"/>
      <c r="F216" s="97"/>
      <c r="G216" s="94"/>
      <c r="H216" s="96"/>
    </row>
    <row r="217" spans="1:8" ht="15" x14ac:dyDescent="0.25">
      <c r="A217" s="95"/>
      <c r="B217" s="91"/>
      <c r="C217" s="91"/>
      <c r="D217" s="92"/>
      <c r="E217" s="96"/>
      <c r="F217" s="97"/>
      <c r="G217" s="94"/>
      <c r="H217" s="96"/>
    </row>
    <row r="218" spans="1:8" ht="15" x14ac:dyDescent="0.25">
      <c r="A218" s="95"/>
      <c r="B218" s="91"/>
      <c r="C218" s="91"/>
      <c r="D218" s="92"/>
      <c r="E218" s="96"/>
      <c r="F218" s="97"/>
      <c r="G218" s="94"/>
      <c r="H218" s="96"/>
    </row>
    <row r="219" spans="1:8" ht="15" x14ac:dyDescent="0.25">
      <c r="A219" s="95"/>
      <c r="B219" s="91"/>
      <c r="C219" s="91"/>
      <c r="D219" s="92"/>
      <c r="E219" s="96"/>
      <c r="F219" s="97"/>
      <c r="G219" s="94"/>
      <c r="H219" s="96"/>
    </row>
    <row r="220" spans="1:8" ht="15" x14ac:dyDescent="0.25">
      <c r="A220" s="95"/>
      <c r="B220" s="91"/>
      <c r="C220" s="91"/>
      <c r="D220" s="92"/>
      <c r="E220" s="96"/>
      <c r="F220" s="97"/>
      <c r="G220" s="94"/>
      <c r="H220" s="96"/>
    </row>
    <row r="221" spans="1:8" ht="15" x14ac:dyDescent="0.25">
      <c r="A221" s="95"/>
      <c r="B221" s="91"/>
      <c r="C221" s="91"/>
      <c r="D221" s="92"/>
      <c r="E221" s="96"/>
      <c r="F221" s="97"/>
      <c r="G221" s="94"/>
      <c r="H221" s="96"/>
    </row>
    <row r="222" spans="1:8" ht="15" x14ac:dyDescent="0.25">
      <c r="A222" s="95"/>
      <c r="B222" s="91"/>
      <c r="C222" s="91"/>
      <c r="D222" s="92"/>
      <c r="E222" s="96"/>
      <c r="F222" s="97"/>
      <c r="G222" s="94"/>
      <c r="H222" s="96"/>
    </row>
    <row r="223" spans="1:8" ht="15" x14ac:dyDescent="0.25">
      <c r="A223" s="95"/>
      <c r="B223" s="91"/>
      <c r="C223" s="91"/>
      <c r="D223" s="92"/>
      <c r="E223" s="96"/>
      <c r="F223" s="97"/>
      <c r="G223" s="94"/>
      <c r="H223" s="96"/>
    </row>
    <row r="224" spans="1:8" ht="15" x14ac:dyDescent="0.25">
      <c r="A224" s="95"/>
      <c r="B224" s="91"/>
      <c r="C224" s="91"/>
      <c r="D224" s="92"/>
      <c r="E224" s="96"/>
      <c r="F224" s="97"/>
      <c r="G224" s="94"/>
      <c r="H224" s="96"/>
    </row>
    <row r="225" spans="1:8" ht="15" x14ac:dyDescent="0.25">
      <c r="A225" s="95"/>
      <c r="B225" s="91"/>
      <c r="C225" s="91"/>
      <c r="D225" s="92"/>
      <c r="E225" s="96"/>
      <c r="F225" s="97"/>
      <c r="G225" s="94"/>
      <c r="H225" s="96"/>
    </row>
    <row r="226" spans="1:8" ht="15" x14ac:dyDescent="0.25">
      <c r="A226" s="95"/>
      <c r="B226" s="91"/>
      <c r="C226" s="91"/>
      <c r="D226" s="92"/>
      <c r="E226" s="96"/>
      <c r="F226" s="97"/>
      <c r="G226" s="94"/>
      <c r="H226" s="96"/>
    </row>
    <row r="227" spans="1:8" ht="15" x14ac:dyDescent="0.25">
      <c r="A227" s="95"/>
      <c r="B227" s="95"/>
      <c r="C227" s="95"/>
      <c r="D227" s="92"/>
      <c r="E227" s="96"/>
      <c r="F227" s="97"/>
      <c r="G227" s="94"/>
      <c r="H227" s="96"/>
    </row>
    <row r="228" spans="1:8" ht="15" x14ac:dyDescent="0.25">
      <c r="A228" s="95"/>
      <c r="B228" s="95"/>
      <c r="C228" s="95"/>
      <c r="D228" s="92"/>
      <c r="E228" s="96"/>
      <c r="F228" s="97"/>
      <c r="G228" s="94"/>
      <c r="H228" s="96"/>
    </row>
    <row r="229" spans="1:8" ht="15" x14ac:dyDescent="0.25">
      <c r="A229" s="95"/>
      <c r="B229" s="95"/>
      <c r="C229" s="95"/>
      <c r="D229" s="92"/>
      <c r="E229" s="96"/>
      <c r="F229" s="97"/>
      <c r="G229" s="94"/>
      <c r="H229" s="96"/>
    </row>
    <row r="230" spans="1:8" ht="15" x14ac:dyDescent="0.25">
      <c r="A230" s="95"/>
      <c r="B230" s="95"/>
      <c r="C230" s="95"/>
      <c r="D230" s="92"/>
      <c r="E230" s="96"/>
      <c r="F230" s="97"/>
      <c r="G230" s="94"/>
      <c r="H230" s="96"/>
    </row>
    <row r="231" spans="1:8" ht="15" x14ac:dyDescent="0.25">
      <c r="A231" s="95"/>
      <c r="B231" s="95"/>
      <c r="C231" s="95"/>
      <c r="D231" s="92"/>
      <c r="E231" s="96"/>
      <c r="F231" s="97"/>
      <c r="G231" s="94"/>
      <c r="H231" s="96"/>
    </row>
    <row r="232" spans="1:8" ht="15" x14ac:dyDescent="0.25">
      <c r="A232" s="95"/>
      <c r="B232" s="95"/>
      <c r="C232" s="95"/>
      <c r="D232" s="92"/>
      <c r="E232" s="96"/>
      <c r="F232" s="97"/>
      <c r="G232" s="94"/>
      <c r="H232" s="96"/>
    </row>
    <row r="233" spans="1:8" ht="15" x14ac:dyDescent="0.25">
      <c r="A233" s="95"/>
      <c r="B233" s="95"/>
      <c r="C233" s="95"/>
      <c r="D233" s="92"/>
      <c r="E233" s="96"/>
      <c r="F233" s="97"/>
      <c r="G233" s="94"/>
      <c r="H233" s="96"/>
    </row>
    <row r="234" spans="1:8" ht="15" x14ac:dyDescent="0.25">
      <c r="A234" s="95"/>
      <c r="B234" s="95"/>
      <c r="C234" s="95"/>
      <c r="D234" s="92"/>
      <c r="E234" s="96"/>
      <c r="F234" s="97"/>
      <c r="G234" s="94"/>
      <c r="H234" s="96"/>
    </row>
    <row r="235" spans="1:8" ht="15" x14ac:dyDescent="0.25">
      <c r="A235" s="95"/>
      <c r="B235" s="95"/>
      <c r="C235" s="95"/>
      <c r="D235" s="92"/>
      <c r="E235" s="96"/>
      <c r="F235" s="97"/>
      <c r="G235" s="94"/>
      <c r="H235" s="96"/>
    </row>
    <row r="236" spans="1:8" ht="15" x14ac:dyDescent="0.25">
      <c r="A236" s="95"/>
      <c r="B236" s="95"/>
      <c r="C236" s="95"/>
      <c r="D236" s="92"/>
      <c r="E236" s="96"/>
      <c r="F236" s="97"/>
      <c r="G236" s="94"/>
      <c r="H236" s="96"/>
    </row>
    <row r="237" spans="1:8" ht="15" x14ac:dyDescent="0.25">
      <c r="A237" s="95"/>
      <c r="B237" s="95"/>
      <c r="C237" s="95"/>
      <c r="D237" s="92"/>
      <c r="E237" s="96"/>
      <c r="F237" s="97"/>
      <c r="G237" s="94"/>
      <c r="H237" s="96"/>
    </row>
    <row r="238" spans="1:8" ht="15" x14ac:dyDescent="0.25">
      <c r="A238" s="95"/>
      <c r="B238" s="95"/>
      <c r="C238" s="95"/>
      <c r="D238" s="92"/>
      <c r="E238" s="96"/>
      <c r="F238" s="97"/>
      <c r="G238" s="94"/>
      <c r="H238" s="96"/>
    </row>
    <row r="239" spans="1:8" ht="15" x14ac:dyDescent="0.25">
      <c r="A239" s="95"/>
      <c r="B239" s="95"/>
      <c r="C239" s="95"/>
      <c r="D239" s="92"/>
      <c r="E239" s="96"/>
      <c r="F239" s="97"/>
      <c r="G239" s="94"/>
      <c r="H239" s="96"/>
    </row>
    <row r="240" spans="1:8" ht="15" x14ac:dyDescent="0.25">
      <c r="A240" s="95"/>
      <c r="B240" s="95"/>
      <c r="C240" s="95"/>
      <c r="D240" s="92"/>
      <c r="E240" s="96"/>
      <c r="F240" s="97"/>
      <c r="G240" s="94"/>
      <c r="H240" s="96"/>
    </row>
    <row r="241" spans="1:8" ht="15" x14ac:dyDescent="0.25">
      <c r="A241" s="95"/>
      <c r="B241" s="95"/>
      <c r="C241" s="95"/>
      <c r="D241" s="92"/>
      <c r="E241" s="96"/>
      <c r="F241" s="97"/>
      <c r="G241" s="94"/>
      <c r="H241" s="96"/>
    </row>
    <row r="242" spans="1:8" ht="15" x14ac:dyDescent="0.25">
      <c r="A242" s="95"/>
      <c r="B242" s="95"/>
      <c r="C242" s="95"/>
      <c r="D242" s="92"/>
      <c r="E242" s="96"/>
      <c r="F242" s="97"/>
      <c r="G242" s="94"/>
      <c r="H242" s="96"/>
    </row>
    <row r="243" spans="1:8" ht="15" x14ac:dyDescent="0.25">
      <c r="A243" s="95"/>
      <c r="B243" s="95"/>
      <c r="C243" s="95"/>
      <c r="D243" s="92"/>
      <c r="E243" s="96"/>
      <c r="F243" s="97"/>
      <c r="G243" s="94"/>
      <c r="H243" s="96"/>
    </row>
    <row r="244" spans="1:8" ht="15" x14ac:dyDescent="0.25">
      <c r="A244" s="95"/>
      <c r="B244" s="95"/>
      <c r="C244" s="95"/>
      <c r="D244" s="92"/>
      <c r="E244" s="96"/>
      <c r="F244" s="97"/>
      <c r="G244" s="94"/>
      <c r="H244" s="96"/>
    </row>
    <row r="245" spans="1:8" ht="15" x14ac:dyDescent="0.25">
      <c r="A245" s="95"/>
      <c r="B245" s="95"/>
      <c r="C245" s="95"/>
      <c r="D245" s="92"/>
      <c r="E245" s="96"/>
      <c r="F245" s="97"/>
      <c r="G245" s="94"/>
      <c r="H245" s="96"/>
    </row>
    <row r="246" spans="1:8" ht="15" x14ac:dyDescent="0.25">
      <c r="A246" s="95"/>
      <c r="B246" s="95"/>
      <c r="C246" s="95"/>
      <c r="D246" s="92"/>
      <c r="E246" s="96"/>
      <c r="F246" s="97"/>
      <c r="G246" s="94"/>
      <c r="H246" s="96"/>
    </row>
    <row r="247" spans="1:8" ht="15" x14ac:dyDescent="0.25">
      <c r="A247" s="95"/>
      <c r="B247" s="95"/>
      <c r="C247" s="95"/>
      <c r="D247" s="92"/>
      <c r="E247" s="96"/>
      <c r="F247" s="97"/>
      <c r="G247" s="94"/>
      <c r="H247" s="96"/>
    </row>
    <row r="248" spans="1:8" ht="15" x14ac:dyDescent="0.25">
      <c r="A248" s="95"/>
      <c r="B248" s="95"/>
      <c r="C248" s="95"/>
      <c r="D248" s="92"/>
      <c r="E248" s="96"/>
      <c r="F248" s="97"/>
      <c r="G248" s="94"/>
      <c r="H248" s="96"/>
    </row>
    <row r="249" spans="1:8" ht="15" x14ac:dyDescent="0.25">
      <c r="A249" s="95"/>
      <c r="B249" s="95"/>
      <c r="C249" s="95"/>
      <c r="D249" s="92"/>
      <c r="E249" s="96"/>
      <c r="F249" s="97"/>
      <c r="G249" s="94"/>
      <c r="H249" s="96"/>
    </row>
    <row r="250" spans="1:8" ht="15" x14ac:dyDescent="0.25">
      <c r="A250" s="95"/>
      <c r="B250" s="95"/>
      <c r="C250" s="95"/>
      <c r="D250" s="92"/>
      <c r="E250" s="96"/>
      <c r="F250" s="97"/>
      <c r="G250" s="94"/>
      <c r="H250" s="96"/>
    </row>
    <row r="251" spans="1:8" ht="15" x14ac:dyDescent="0.25">
      <c r="A251" s="95"/>
      <c r="B251" s="95"/>
      <c r="C251" s="95"/>
      <c r="D251" s="92"/>
      <c r="E251" s="96"/>
      <c r="F251" s="97"/>
      <c r="G251" s="94"/>
      <c r="H251" s="96"/>
    </row>
    <row r="252" spans="1:8" ht="15" x14ac:dyDescent="0.25">
      <c r="A252" s="95"/>
      <c r="B252" s="95"/>
      <c r="C252" s="95"/>
      <c r="D252" s="92"/>
      <c r="E252" s="96"/>
      <c r="F252" s="97"/>
      <c r="G252" s="94"/>
      <c r="H252" s="96"/>
    </row>
    <row r="253" spans="1:8" ht="15" x14ac:dyDescent="0.25">
      <c r="A253" s="95"/>
      <c r="B253" s="95"/>
      <c r="C253" s="95"/>
      <c r="D253" s="92"/>
      <c r="E253" s="96"/>
      <c r="F253" s="97"/>
      <c r="G253" s="94"/>
      <c r="H253" s="96"/>
    </row>
    <row r="254" spans="1:8" ht="15" x14ac:dyDescent="0.25">
      <c r="A254" s="95"/>
      <c r="B254" s="95"/>
      <c r="C254" s="95"/>
      <c r="D254" s="92"/>
      <c r="E254" s="96"/>
      <c r="F254" s="97"/>
      <c r="G254" s="94"/>
      <c r="H254" s="96"/>
    </row>
    <row r="255" spans="1:8" ht="15" x14ac:dyDescent="0.25">
      <c r="A255" s="95"/>
      <c r="B255" s="95"/>
      <c r="C255" s="95"/>
      <c r="D255" s="92"/>
      <c r="E255" s="96"/>
      <c r="F255" s="97"/>
      <c r="G255" s="94"/>
      <c r="H255" s="96"/>
    </row>
    <row r="256" spans="1:8" ht="15" x14ac:dyDescent="0.25">
      <c r="A256" s="95"/>
      <c r="B256" s="95"/>
      <c r="C256" s="95"/>
      <c r="D256" s="92"/>
      <c r="E256" s="96"/>
      <c r="F256" s="97"/>
      <c r="G256" s="94"/>
      <c r="H256" s="96"/>
    </row>
    <row r="257" spans="1:8" ht="15" x14ac:dyDescent="0.25">
      <c r="A257" s="95"/>
      <c r="B257" s="95"/>
      <c r="C257" s="95"/>
      <c r="D257" s="92"/>
      <c r="E257" s="96"/>
      <c r="F257" s="97"/>
      <c r="G257" s="94"/>
      <c r="H257" s="96"/>
    </row>
    <row r="258" spans="1:8" ht="15" x14ac:dyDescent="0.25">
      <c r="A258" s="95"/>
      <c r="B258" s="95"/>
      <c r="C258" s="95"/>
      <c r="D258" s="92"/>
      <c r="E258" s="96"/>
      <c r="F258" s="97"/>
      <c r="G258" s="94"/>
      <c r="H258" s="96"/>
    </row>
    <row r="259" spans="1:8" ht="15" x14ac:dyDescent="0.25">
      <c r="A259" s="95"/>
      <c r="B259" s="95"/>
      <c r="C259" s="95"/>
      <c r="D259" s="92"/>
      <c r="E259" s="96"/>
      <c r="F259" s="97"/>
      <c r="G259" s="94"/>
      <c r="H259" s="96"/>
    </row>
    <row r="260" spans="1:8" ht="15" x14ac:dyDescent="0.25">
      <c r="A260" s="95"/>
      <c r="B260" s="95"/>
      <c r="C260" s="95"/>
      <c r="D260" s="92"/>
      <c r="E260" s="96"/>
      <c r="F260" s="97"/>
      <c r="G260" s="94"/>
      <c r="H260" s="96"/>
    </row>
    <row r="261" spans="1:8" ht="15" x14ac:dyDescent="0.25">
      <c r="A261" s="95"/>
      <c r="B261" s="95"/>
      <c r="C261" s="95"/>
      <c r="D261" s="92"/>
      <c r="E261" s="96"/>
      <c r="F261" s="97"/>
      <c r="G261" s="94"/>
      <c r="H261" s="96"/>
    </row>
    <row r="262" spans="1:8" ht="15" x14ac:dyDescent="0.25">
      <c r="A262" s="95"/>
      <c r="B262" s="95"/>
      <c r="C262" s="95"/>
      <c r="D262" s="92"/>
      <c r="E262" s="96"/>
      <c r="F262" s="97"/>
      <c r="G262" s="94"/>
      <c r="H262" s="96"/>
    </row>
    <row r="263" spans="1:8" ht="15" x14ac:dyDescent="0.25">
      <c r="A263" s="95"/>
      <c r="B263" s="95"/>
      <c r="C263" s="95"/>
      <c r="D263" s="92"/>
      <c r="E263" s="96"/>
      <c r="F263" s="97"/>
      <c r="G263" s="94"/>
      <c r="H263" s="96"/>
    </row>
    <row r="264" spans="1:8" ht="15" x14ac:dyDescent="0.25">
      <c r="A264" s="95"/>
      <c r="B264" s="95"/>
      <c r="C264" s="95"/>
      <c r="D264" s="92"/>
      <c r="E264" s="96"/>
      <c r="F264" s="97"/>
      <c r="G264" s="94"/>
      <c r="H264" s="96"/>
    </row>
    <row r="265" spans="1:8" ht="15" x14ac:dyDescent="0.25">
      <c r="A265" s="95"/>
      <c r="B265" s="95"/>
      <c r="C265" s="95"/>
      <c r="D265" s="92"/>
      <c r="E265" s="96"/>
      <c r="F265" s="97"/>
      <c r="G265" s="94"/>
      <c r="H265" s="96"/>
    </row>
    <row r="266" spans="1:8" ht="15" x14ac:dyDescent="0.25">
      <c r="A266" s="95"/>
      <c r="B266" s="95"/>
      <c r="C266" s="95"/>
      <c r="D266" s="92"/>
      <c r="E266" s="96"/>
      <c r="F266" s="97"/>
      <c r="G266" s="94"/>
      <c r="H266" s="96"/>
    </row>
    <row r="267" spans="1:8" ht="15" x14ac:dyDescent="0.25">
      <c r="A267" s="95"/>
      <c r="B267" s="95"/>
      <c r="C267" s="95"/>
      <c r="D267" s="92"/>
      <c r="E267" s="96"/>
      <c r="F267" s="97"/>
      <c r="G267" s="94"/>
      <c r="H267" s="96"/>
    </row>
    <row r="268" spans="1:8" ht="15" x14ac:dyDescent="0.25">
      <c r="A268" s="95"/>
      <c r="B268" s="95"/>
      <c r="C268" s="95"/>
      <c r="D268" s="92"/>
      <c r="E268" s="96"/>
      <c r="F268" s="97"/>
      <c r="G268" s="94"/>
      <c r="H268" s="96"/>
    </row>
    <row r="269" spans="1:8" ht="15" x14ac:dyDescent="0.25">
      <c r="A269" s="95"/>
      <c r="B269" s="95"/>
      <c r="C269" s="95"/>
      <c r="D269" s="92"/>
      <c r="E269" s="96"/>
      <c r="F269" s="97"/>
      <c r="G269" s="94"/>
      <c r="H269" s="96"/>
    </row>
    <row r="270" spans="1:8" ht="15" x14ac:dyDescent="0.25">
      <c r="A270" s="95"/>
      <c r="B270" s="95"/>
      <c r="C270" s="95"/>
      <c r="D270" s="92"/>
      <c r="E270" s="96"/>
      <c r="F270" s="97"/>
      <c r="G270" s="94"/>
      <c r="H270" s="96"/>
    </row>
    <row r="271" spans="1:8" ht="15" x14ac:dyDescent="0.25">
      <c r="A271" s="95"/>
      <c r="B271" s="95"/>
      <c r="C271" s="95"/>
      <c r="D271" s="92"/>
      <c r="E271" s="96"/>
      <c r="F271" s="97"/>
      <c r="G271" s="94"/>
      <c r="H271" s="96"/>
    </row>
    <row r="272" spans="1:8" ht="15" x14ac:dyDescent="0.25">
      <c r="A272" s="95"/>
      <c r="B272" s="95"/>
      <c r="C272" s="95"/>
      <c r="D272" s="92"/>
      <c r="E272" s="96"/>
      <c r="F272" s="97"/>
      <c r="G272" s="94"/>
      <c r="H272" s="96"/>
    </row>
    <row r="273" spans="1:8" ht="15" x14ac:dyDescent="0.25">
      <c r="A273" s="95"/>
      <c r="B273" s="95"/>
      <c r="C273" s="95"/>
      <c r="D273" s="92"/>
      <c r="E273" s="96"/>
      <c r="F273" s="97"/>
      <c r="G273" s="94"/>
      <c r="H273" s="96"/>
    </row>
    <row r="274" spans="1:8" ht="15" x14ac:dyDescent="0.25">
      <c r="A274" s="95"/>
      <c r="B274" s="95"/>
      <c r="C274" s="95"/>
      <c r="D274" s="92"/>
      <c r="E274" s="96"/>
      <c r="F274" s="97"/>
      <c r="G274" s="94"/>
      <c r="H274" s="96"/>
    </row>
    <row r="275" spans="1:8" ht="15" x14ac:dyDescent="0.25">
      <c r="A275" s="95"/>
      <c r="B275" s="95"/>
      <c r="C275" s="95"/>
      <c r="D275" s="92"/>
      <c r="E275" s="96"/>
      <c r="F275" s="97"/>
      <c r="G275" s="94"/>
      <c r="H275" s="96"/>
    </row>
    <row r="276" spans="1:8" ht="15" x14ac:dyDescent="0.25">
      <c r="A276" s="95"/>
      <c r="B276" s="95"/>
      <c r="C276" s="95"/>
      <c r="D276" s="92"/>
      <c r="E276" s="96"/>
      <c r="F276" s="97"/>
      <c r="G276" s="94"/>
      <c r="H276" s="96"/>
    </row>
    <row r="277" spans="1:8" ht="15" x14ac:dyDescent="0.25">
      <c r="A277" s="95"/>
      <c r="B277" s="95"/>
      <c r="C277" s="95"/>
      <c r="D277" s="92"/>
      <c r="E277" s="96"/>
      <c r="F277" s="97"/>
      <c r="G277" s="94"/>
      <c r="H277" s="96"/>
    </row>
    <row r="278" spans="1:8" ht="15" x14ac:dyDescent="0.25">
      <c r="A278" s="95"/>
      <c r="B278" s="95"/>
      <c r="C278" s="95"/>
      <c r="D278" s="92"/>
      <c r="E278" s="96"/>
      <c r="F278" s="97"/>
      <c r="G278" s="94"/>
      <c r="H278" s="96"/>
    </row>
    <row r="279" spans="1:8" ht="15" x14ac:dyDescent="0.25">
      <c r="A279" s="95"/>
      <c r="B279" s="95"/>
      <c r="C279" s="95"/>
      <c r="D279" s="92"/>
      <c r="E279" s="96"/>
      <c r="F279" s="97"/>
      <c r="G279" s="94"/>
      <c r="H279" s="96"/>
    </row>
    <row r="280" spans="1:8" ht="15" x14ac:dyDescent="0.25">
      <c r="A280" s="95"/>
      <c r="B280" s="95"/>
      <c r="C280" s="95"/>
      <c r="D280" s="92"/>
      <c r="E280" s="96"/>
      <c r="F280" s="97"/>
      <c r="G280" s="94"/>
      <c r="H280" s="96"/>
    </row>
    <row r="281" spans="1:8" ht="15" x14ac:dyDescent="0.25">
      <c r="A281" s="95"/>
      <c r="B281" s="95"/>
      <c r="C281" s="95"/>
      <c r="D281" s="92"/>
      <c r="E281" s="96"/>
      <c r="F281" s="97"/>
      <c r="G281" s="94"/>
      <c r="H281" s="96"/>
    </row>
    <row r="282" spans="1:8" ht="15" x14ac:dyDescent="0.25">
      <c r="A282" s="95"/>
      <c r="B282" s="95"/>
      <c r="C282" s="95"/>
      <c r="D282" s="92"/>
      <c r="E282" s="96"/>
      <c r="F282" s="97"/>
      <c r="G282" s="94"/>
      <c r="H282" s="96"/>
    </row>
    <row r="283" spans="1:8" ht="15" x14ac:dyDescent="0.25">
      <c r="A283" s="95"/>
      <c r="B283" s="95"/>
      <c r="C283" s="95"/>
      <c r="D283" s="92"/>
      <c r="E283" s="96"/>
      <c r="F283" s="97"/>
      <c r="G283" s="94"/>
      <c r="H283" s="96"/>
    </row>
    <row r="284" spans="1:8" ht="15" x14ac:dyDescent="0.25">
      <c r="A284" s="95"/>
      <c r="B284" s="95"/>
      <c r="C284" s="95"/>
      <c r="D284" s="92"/>
      <c r="E284" s="96"/>
      <c r="F284" s="97"/>
      <c r="G284" s="94"/>
      <c r="H284" s="96"/>
    </row>
    <row r="285" spans="1:8" ht="15" x14ac:dyDescent="0.25">
      <c r="A285" s="95"/>
      <c r="B285" s="95"/>
      <c r="C285" s="95"/>
      <c r="D285" s="92"/>
      <c r="E285" s="96"/>
      <c r="F285" s="97"/>
      <c r="G285" s="94"/>
      <c r="H285" s="96"/>
    </row>
    <row r="286" spans="1:8" ht="15" x14ac:dyDescent="0.25">
      <c r="A286" s="95"/>
      <c r="B286" s="95"/>
      <c r="C286" s="95"/>
      <c r="D286" s="92"/>
      <c r="E286" s="96"/>
      <c r="F286" s="97"/>
      <c r="G286" s="94"/>
      <c r="H286" s="96"/>
    </row>
    <row r="287" spans="1:8" ht="15" x14ac:dyDescent="0.25">
      <c r="A287" s="95"/>
      <c r="B287" s="95"/>
      <c r="C287" s="95"/>
      <c r="D287" s="92"/>
      <c r="E287" s="96"/>
      <c r="F287" s="97"/>
      <c r="G287" s="94"/>
      <c r="H287" s="96"/>
    </row>
    <row r="288" spans="1:8" ht="15" x14ac:dyDescent="0.25">
      <c r="A288" s="95"/>
      <c r="B288" s="95"/>
      <c r="C288" s="95"/>
      <c r="D288" s="92"/>
      <c r="E288" s="96"/>
      <c r="F288" s="97"/>
      <c r="G288" s="94"/>
      <c r="H288" s="96"/>
    </row>
    <row r="289" spans="1:8" ht="15" x14ac:dyDescent="0.25">
      <c r="A289" s="95"/>
      <c r="B289" s="95"/>
      <c r="C289" s="95"/>
      <c r="D289" s="92"/>
      <c r="E289" s="96"/>
      <c r="F289" s="97"/>
      <c r="G289" s="94"/>
      <c r="H289" s="96"/>
    </row>
    <row r="290" spans="1:8" ht="15" x14ac:dyDescent="0.25">
      <c r="A290" s="95"/>
      <c r="B290" s="95"/>
      <c r="C290" s="95"/>
      <c r="D290" s="92"/>
      <c r="E290" s="96"/>
      <c r="F290" s="97"/>
      <c r="G290" s="94"/>
      <c r="H290" s="96"/>
    </row>
    <row r="291" spans="1:8" ht="15" x14ac:dyDescent="0.25">
      <c r="A291" s="95"/>
      <c r="B291" s="95"/>
      <c r="C291" s="95"/>
      <c r="D291" s="92"/>
      <c r="E291" s="96"/>
      <c r="F291" s="97"/>
      <c r="G291" s="94"/>
      <c r="H291" s="96"/>
    </row>
    <row r="292" spans="1:8" ht="15" x14ac:dyDescent="0.25">
      <c r="A292" s="95"/>
      <c r="B292" s="95"/>
      <c r="C292" s="95"/>
      <c r="D292" s="92"/>
      <c r="E292" s="96"/>
      <c r="F292" s="97"/>
      <c r="G292" s="94"/>
      <c r="H292" s="96"/>
    </row>
    <row r="293" spans="1:8" ht="15" x14ac:dyDescent="0.25">
      <c r="A293" s="95"/>
      <c r="B293" s="95"/>
      <c r="C293" s="95"/>
      <c r="D293" s="92"/>
      <c r="E293" s="96"/>
      <c r="F293" s="97"/>
      <c r="G293" s="94"/>
      <c r="H293" s="96"/>
    </row>
    <row r="294" spans="1:8" ht="15" x14ac:dyDescent="0.25">
      <c r="A294" s="95"/>
      <c r="B294" s="95"/>
      <c r="C294" s="95"/>
      <c r="D294" s="92"/>
      <c r="E294" s="96"/>
      <c r="F294" s="97"/>
      <c r="G294" s="94"/>
      <c r="H294" s="96"/>
    </row>
    <row r="295" spans="1:8" ht="15" x14ac:dyDescent="0.25">
      <c r="A295" s="95"/>
      <c r="B295" s="95"/>
      <c r="C295" s="95"/>
      <c r="D295" s="92"/>
      <c r="E295" s="96"/>
      <c r="F295" s="97"/>
      <c r="G295" s="94"/>
      <c r="H295" s="96"/>
    </row>
    <row r="296" spans="1:8" ht="15" x14ac:dyDescent="0.25">
      <c r="A296" s="95"/>
      <c r="B296" s="95"/>
      <c r="C296" s="95"/>
      <c r="D296" s="92"/>
      <c r="E296" s="96"/>
      <c r="F296" s="97"/>
      <c r="G296" s="94"/>
      <c r="H296" s="96"/>
    </row>
    <row r="297" spans="1:8" ht="15" x14ac:dyDescent="0.25">
      <c r="A297" s="95"/>
      <c r="B297" s="95"/>
      <c r="C297" s="95"/>
      <c r="D297" s="92"/>
      <c r="E297" s="96"/>
      <c r="F297" s="97"/>
      <c r="G297" s="94"/>
      <c r="H297" s="96"/>
    </row>
    <row r="298" spans="1:8" ht="15" x14ac:dyDescent="0.25">
      <c r="A298" s="95"/>
      <c r="B298" s="95"/>
      <c r="C298" s="95"/>
      <c r="D298" s="92"/>
      <c r="E298" s="96"/>
      <c r="F298" s="97"/>
      <c r="G298" s="94"/>
      <c r="H298" s="96"/>
    </row>
    <row r="299" spans="1:8" ht="15" x14ac:dyDescent="0.25">
      <c r="A299" s="95"/>
      <c r="B299" s="95"/>
      <c r="C299" s="95"/>
      <c r="D299" s="92"/>
      <c r="E299" s="96"/>
      <c r="F299" s="97"/>
      <c r="G299" s="94"/>
      <c r="H299" s="96"/>
    </row>
    <row r="300" spans="1:8" ht="15" x14ac:dyDescent="0.25">
      <c r="A300" s="95"/>
      <c r="B300" s="95"/>
      <c r="C300" s="95"/>
      <c r="D300" s="92"/>
      <c r="E300" s="96"/>
      <c r="F300" s="97"/>
      <c r="G300" s="94"/>
      <c r="H300" s="96"/>
    </row>
    <row r="301" spans="1:8" ht="15" x14ac:dyDescent="0.25">
      <c r="A301" s="95"/>
      <c r="B301" s="95"/>
      <c r="C301" s="95"/>
      <c r="D301" s="92"/>
      <c r="E301" s="96"/>
      <c r="F301" s="97"/>
      <c r="G301" s="94"/>
      <c r="H301" s="96"/>
    </row>
    <row r="302" spans="1:8" ht="15" x14ac:dyDescent="0.25">
      <c r="A302" s="95"/>
      <c r="B302" s="95"/>
      <c r="C302" s="95"/>
      <c r="D302" s="92"/>
      <c r="E302" s="96"/>
      <c r="F302" s="97"/>
      <c r="G302" s="94"/>
      <c r="H302" s="96"/>
    </row>
    <row r="303" spans="1:8" ht="15" x14ac:dyDescent="0.25">
      <c r="A303" s="95"/>
      <c r="B303" s="95"/>
      <c r="C303" s="95"/>
      <c r="D303" s="92"/>
      <c r="E303" s="96"/>
      <c r="F303" s="97"/>
      <c r="G303" s="94"/>
      <c r="H303" s="96"/>
    </row>
    <row r="304" spans="1:8" ht="15" x14ac:dyDescent="0.25">
      <c r="A304" s="95"/>
      <c r="B304" s="95"/>
      <c r="C304" s="95"/>
      <c r="D304" s="92"/>
      <c r="E304" s="96"/>
      <c r="F304" s="97"/>
      <c r="G304" s="94"/>
      <c r="H304" s="96"/>
    </row>
    <row r="305" spans="1:8" ht="15" x14ac:dyDescent="0.25">
      <c r="A305" s="95"/>
      <c r="B305" s="95"/>
      <c r="C305" s="95"/>
      <c r="D305" s="92"/>
      <c r="E305" s="96"/>
      <c r="F305" s="97"/>
      <c r="G305" s="94"/>
      <c r="H305" s="96"/>
    </row>
    <row r="306" spans="1:8" ht="15" x14ac:dyDescent="0.25">
      <c r="A306" s="95"/>
      <c r="B306" s="95"/>
      <c r="C306" s="95"/>
      <c r="D306" s="92"/>
      <c r="E306" s="96"/>
      <c r="F306" s="97"/>
      <c r="G306" s="94"/>
      <c r="H306" s="96"/>
    </row>
    <row r="307" spans="1:8" ht="15" x14ac:dyDescent="0.25">
      <c r="A307" s="95"/>
      <c r="B307" s="95"/>
      <c r="C307" s="95"/>
      <c r="D307" s="92"/>
      <c r="E307" s="96"/>
      <c r="F307" s="97"/>
      <c r="G307" s="94"/>
      <c r="H307" s="96"/>
    </row>
    <row r="308" spans="1:8" ht="15" x14ac:dyDescent="0.25">
      <c r="A308" s="95"/>
      <c r="B308" s="95"/>
      <c r="C308" s="95"/>
      <c r="D308" s="92"/>
      <c r="E308" s="96"/>
      <c r="F308" s="97"/>
      <c r="G308" s="94"/>
      <c r="H308" s="96"/>
    </row>
    <row r="309" spans="1:8" ht="15" x14ac:dyDescent="0.25">
      <c r="A309" s="95"/>
      <c r="B309" s="95"/>
      <c r="C309" s="95"/>
      <c r="D309" s="92"/>
      <c r="E309" s="96"/>
      <c r="F309" s="97"/>
      <c r="G309" s="94"/>
      <c r="H309" s="96"/>
    </row>
    <row r="310" spans="1:8" ht="15" x14ac:dyDescent="0.25">
      <c r="A310" s="95"/>
      <c r="B310" s="95"/>
      <c r="C310" s="95"/>
      <c r="D310" s="92"/>
      <c r="E310" s="96"/>
      <c r="F310" s="97"/>
      <c r="G310" s="94"/>
      <c r="H310" s="96"/>
    </row>
    <row r="311" spans="1:8" ht="15" x14ac:dyDescent="0.25">
      <c r="A311" s="95"/>
      <c r="B311" s="95"/>
      <c r="C311" s="95"/>
      <c r="D311" s="92"/>
      <c r="E311" s="96"/>
      <c r="F311" s="97"/>
      <c r="G311" s="94"/>
      <c r="H311" s="96"/>
    </row>
    <row r="312" spans="1:8" ht="15" x14ac:dyDescent="0.25">
      <c r="A312" s="95"/>
      <c r="B312" s="95"/>
      <c r="C312" s="95"/>
      <c r="D312" s="92"/>
      <c r="E312" s="96"/>
      <c r="F312" s="97"/>
      <c r="G312" s="94"/>
      <c r="H312" s="96"/>
    </row>
    <row r="313" spans="1:8" ht="15" x14ac:dyDescent="0.25">
      <c r="A313" s="95"/>
      <c r="B313" s="95"/>
      <c r="C313" s="95"/>
      <c r="D313" s="92"/>
      <c r="E313" s="96"/>
      <c r="F313" s="97"/>
      <c r="G313" s="94"/>
      <c r="H313" s="96"/>
    </row>
    <row r="314" spans="1:8" ht="15" x14ac:dyDescent="0.25">
      <c r="A314" s="95"/>
      <c r="B314" s="95"/>
      <c r="C314" s="95"/>
      <c r="D314" s="92"/>
      <c r="E314" s="96"/>
      <c r="F314" s="97"/>
      <c r="G314" s="94"/>
      <c r="H314" s="96"/>
    </row>
    <row r="315" spans="1:8" ht="15" x14ac:dyDescent="0.25">
      <c r="A315" s="95"/>
      <c r="B315" s="95"/>
      <c r="C315" s="95"/>
      <c r="D315" s="92"/>
      <c r="E315" s="96"/>
      <c r="F315" s="97"/>
      <c r="G315" s="94"/>
      <c r="H315" s="96"/>
    </row>
    <row r="316" spans="1:8" ht="15" x14ac:dyDescent="0.25">
      <c r="A316" s="95"/>
      <c r="B316" s="95"/>
      <c r="C316" s="95"/>
      <c r="D316" s="92"/>
      <c r="E316" s="96"/>
      <c r="F316" s="97"/>
      <c r="G316" s="94"/>
      <c r="H316" s="96"/>
    </row>
    <row r="317" spans="1:8" ht="15" x14ac:dyDescent="0.25">
      <c r="A317" s="95"/>
      <c r="B317" s="95"/>
      <c r="C317" s="95"/>
      <c r="D317" s="92"/>
      <c r="E317" s="96"/>
      <c r="F317" s="97"/>
      <c r="G317" s="94"/>
      <c r="H317" s="96"/>
    </row>
    <row r="318" spans="1:8" ht="15" x14ac:dyDescent="0.25">
      <c r="A318" s="95"/>
      <c r="B318" s="95"/>
      <c r="C318" s="95"/>
      <c r="D318" s="92"/>
      <c r="E318" s="96"/>
      <c r="F318" s="97"/>
      <c r="G318" s="94"/>
      <c r="H318" s="96"/>
    </row>
    <row r="319" spans="1:8" ht="15" x14ac:dyDescent="0.25">
      <c r="A319" s="95"/>
      <c r="B319" s="95"/>
      <c r="C319" s="95"/>
      <c r="D319" s="92"/>
      <c r="E319" s="96"/>
      <c r="F319" s="97"/>
      <c r="G319" s="94"/>
      <c r="H319" s="96"/>
    </row>
    <row r="320" spans="1:8" ht="15" x14ac:dyDescent="0.25">
      <c r="A320" s="95"/>
      <c r="B320" s="95"/>
      <c r="C320" s="95"/>
      <c r="D320" s="92"/>
      <c r="E320" s="96"/>
      <c r="F320" s="97"/>
      <c r="G320" s="94"/>
      <c r="H320" s="96"/>
    </row>
    <row r="321" spans="1:8" ht="15" x14ac:dyDescent="0.25">
      <c r="A321" s="95"/>
      <c r="B321" s="95"/>
      <c r="C321" s="95"/>
      <c r="D321" s="92"/>
      <c r="E321" s="96"/>
      <c r="F321" s="97"/>
      <c r="G321" s="94"/>
      <c r="H321" s="96"/>
    </row>
    <row r="322" spans="1:8" ht="15" x14ac:dyDescent="0.25">
      <c r="A322" s="95"/>
      <c r="B322" s="95"/>
      <c r="C322" s="95"/>
      <c r="D322" s="92"/>
      <c r="E322" s="96"/>
      <c r="F322" s="97"/>
      <c r="G322" s="94"/>
      <c r="H322" s="96"/>
    </row>
    <row r="323" spans="1:8" ht="15" x14ac:dyDescent="0.25">
      <c r="A323" s="95"/>
      <c r="B323" s="95"/>
      <c r="C323" s="95"/>
      <c r="D323" s="92"/>
      <c r="E323" s="96"/>
      <c r="F323" s="97"/>
      <c r="G323" s="94"/>
      <c r="H323" s="96"/>
    </row>
    <row r="324" spans="1:8" ht="15" x14ac:dyDescent="0.25">
      <c r="A324" s="95"/>
      <c r="B324" s="95"/>
      <c r="C324" s="95"/>
      <c r="D324" s="92"/>
      <c r="E324" s="96"/>
      <c r="F324" s="97"/>
      <c r="G324" s="94"/>
      <c r="H324" s="96"/>
    </row>
    <row r="325" spans="1:8" ht="15" x14ac:dyDescent="0.25">
      <c r="A325" s="95"/>
      <c r="B325" s="95"/>
      <c r="C325" s="95"/>
      <c r="D325" s="92"/>
      <c r="E325" s="96"/>
      <c r="F325" s="97"/>
      <c r="G325" s="94"/>
      <c r="H325" s="96"/>
    </row>
    <row r="326" spans="1:8" ht="15" x14ac:dyDescent="0.25">
      <c r="A326" s="95"/>
      <c r="B326" s="95"/>
      <c r="C326" s="95"/>
      <c r="D326" s="92"/>
      <c r="E326" s="96"/>
      <c r="F326" s="97"/>
      <c r="G326" s="94"/>
      <c r="H326" s="96"/>
    </row>
    <row r="327" spans="1:8" ht="15" x14ac:dyDescent="0.25">
      <c r="A327" s="95"/>
      <c r="B327" s="95"/>
      <c r="C327" s="95"/>
      <c r="D327" s="92"/>
      <c r="E327" s="96"/>
      <c r="F327" s="97"/>
      <c r="G327" s="94"/>
      <c r="H327" s="96"/>
    </row>
    <row r="328" spans="1:8" ht="15" x14ac:dyDescent="0.25">
      <c r="A328" s="95"/>
      <c r="B328" s="95"/>
      <c r="C328" s="95"/>
      <c r="D328" s="92"/>
      <c r="E328" s="96"/>
      <c r="F328" s="97"/>
      <c r="G328" s="94"/>
      <c r="H328" s="96"/>
    </row>
    <row r="329" spans="1:8" ht="15" x14ac:dyDescent="0.25">
      <c r="A329" s="95"/>
      <c r="B329" s="95"/>
      <c r="C329" s="95"/>
      <c r="D329" s="92"/>
      <c r="E329" s="96"/>
      <c r="F329" s="97"/>
      <c r="G329" s="94"/>
      <c r="H329" s="96"/>
    </row>
    <row r="330" spans="1:8" ht="15" x14ac:dyDescent="0.25">
      <c r="A330" s="95"/>
      <c r="B330" s="95"/>
      <c r="C330" s="95"/>
      <c r="D330" s="92"/>
      <c r="E330" s="96"/>
      <c r="F330" s="97"/>
      <c r="G330" s="94"/>
      <c r="H330" s="96"/>
    </row>
    <row r="331" spans="1:8" ht="15" x14ac:dyDescent="0.25">
      <c r="A331" s="95"/>
      <c r="B331" s="95"/>
      <c r="C331" s="95"/>
      <c r="D331" s="92"/>
      <c r="E331" s="96"/>
      <c r="F331" s="97"/>
      <c r="G331" s="94"/>
      <c r="H331" s="96"/>
    </row>
    <row r="332" spans="1:8" ht="15" x14ac:dyDescent="0.25">
      <c r="A332" s="95"/>
      <c r="B332" s="95"/>
      <c r="C332" s="95"/>
      <c r="D332" s="92"/>
      <c r="E332" s="96"/>
      <c r="F332" s="97"/>
      <c r="G332" s="94"/>
      <c r="H332" s="96"/>
    </row>
    <row r="333" spans="1:8" ht="15" x14ac:dyDescent="0.25">
      <c r="A333" s="95"/>
      <c r="B333" s="95"/>
      <c r="C333" s="95"/>
      <c r="D333" s="92"/>
      <c r="E333" s="96"/>
      <c r="F333" s="97"/>
      <c r="G333" s="94"/>
      <c r="H333" s="96"/>
    </row>
    <row r="334" spans="1:8" ht="15" x14ac:dyDescent="0.25">
      <c r="A334" s="95"/>
      <c r="B334" s="95"/>
      <c r="C334" s="95"/>
      <c r="D334" s="92"/>
      <c r="E334" s="96"/>
      <c r="F334" s="97"/>
      <c r="G334" s="94"/>
      <c r="H334" s="96"/>
    </row>
    <row r="335" spans="1:8" ht="15" x14ac:dyDescent="0.25">
      <c r="A335" s="95"/>
      <c r="B335" s="95"/>
      <c r="C335" s="95"/>
      <c r="D335" s="92"/>
      <c r="E335" s="96"/>
      <c r="F335" s="97"/>
      <c r="G335" s="94"/>
      <c r="H335" s="96"/>
    </row>
    <row r="336" spans="1:8" ht="15" x14ac:dyDescent="0.25">
      <c r="A336" s="95"/>
      <c r="B336" s="95"/>
      <c r="C336" s="95"/>
      <c r="D336" s="92"/>
      <c r="E336" s="96"/>
      <c r="F336" s="97"/>
      <c r="G336" s="94"/>
      <c r="H336" s="96"/>
    </row>
    <row r="337" spans="1:8" ht="15" x14ac:dyDescent="0.25">
      <c r="A337" s="95"/>
      <c r="B337" s="95"/>
      <c r="C337" s="95"/>
      <c r="D337" s="92"/>
      <c r="E337" s="96"/>
      <c r="F337" s="97"/>
      <c r="G337" s="94"/>
      <c r="H337" s="96"/>
    </row>
    <row r="338" spans="1:8" ht="15" x14ac:dyDescent="0.25">
      <c r="A338" s="95"/>
      <c r="B338" s="95"/>
      <c r="C338" s="95"/>
      <c r="D338" s="92"/>
      <c r="E338" s="96"/>
      <c r="F338" s="97"/>
      <c r="G338" s="94"/>
      <c r="H338" s="96"/>
    </row>
    <row r="339" spans="1:8" ht="15" x14ac:dyDescent="0.25">
      <c r="A339" s="95"/>
      <c r="B339" s="95"/>
      <c r="C339" s="95"/>
      <c r="D339" s="92"/>
      <c r="E339" s="96"/>
      <c r="F339" s="97"/>
      <c r="G339" s="94"/>
      <c r="H339" s="96"/>
    </row>
    <row r="340" spans="1:8" ht="15" x14ac:dyDescent="0.25">
      <c r="A340" s="95"/>
      <c r="B340" s="95"/>
      <c r="C340" s="95"/>
      <c r="D340" s="92"/>
      <c r="E340" s="96"/>
      <c r="F340" s="97"/>
      <c r="G340" s="94"/>
      <c r="H340" s="96"/>
    </row>
    <row r="341" spans="1:8" ht="15" x14ac:dyDescent="0.25">
      <c r="A341" s="95"/>
      <c r="B341" s="95"/>
      <c r="C341" s="95"/>
      <c r="D341" s="92"/>
      <c r="E341" s="96"/>
      <c r="F341" s="97"/>
      <c r="G341" s="94"/>
      <c r="H341" s="96"/>
    </row>
    <row r="342" spans="1:8" ht="15" x14ac:dyDescent="0.25">
      <c r="A342" s="95"/>
      <c r="B342" s="95"/>
      <c r="C342" s="95"/>
      <c r="D342" s="92"/>
      <c r="E342" s="96"/>
      <c r="F342" s="97"/>
      <c r="G342" s="94"/>
      <c r="H342" s="96"/>
    </row>
    <row r="343" spans="1:8" ht="15" x14ac:dyDescent="0.25">
      <c r="A343" s="95"/>
      <c r="B343" s="95"/>
      <c r="C343" s="95"/>
      <c r="D343" s="92"/>
      <c r="E343" s="96"/>
      <c r="F343" s="97"/>
      <c r="G343" s="94"/>
      <c r="H343" s="96"/>
    </row>
    <row r="344" spans="1:8" ht="15" x14ac:dyDescent="0.25">
      <c r="A344" s="95"/>
      <c r="B344" s="95"/>
      <c r="C344" s="95"/>
      <c r="D344" s="92"/>
      <c r="E344" s="96"/>
      <c r="F344" s="97"/>
      <c r="G344" s="94"/>
      <c r="H344" s="96"/>
    </row>
    <row r="345" spans="1:8" ht="15" x14ac:dyDescent="0.25">
      <c r="A345" s="95"/>
      <c r="B345" s="95"/>
      <c r="C345" s="95"/>
      <c r="D345" s="92"/>
      <c r="E345" s="96"/>
      <c r="F345" s="97"/>
      <c r="G345" s="94"/>
      <c r="H345" s="96"/>
    </row>
    <row r="346" spans="1:8" ht="15" x14ac:dyDescent="0.25">
      <c r="A346" s="95"/>
      <c r="B346" s="95"/>
      <c r="C346" s="95"/>
      <c r="D346" s="92"/>
      <c r="E346" s="96"/>
      <c r="F346" s="97"/>
      <c r="G346" s="94"/>
      <c r="H346" s="96"/>
    </row>
    <row r="347" spans="1:8" ht="15" x14ac:dyDescent="0.25">
      <c r="A347" s="95"/>
      <c r="B347" s="95"/>
      <c r="C347" s="95"/>
      <c r="D347" s="92"/>
      <c r="E347" s="96"/>
      <c r="F347" s="97"/>
      <c r="G347" s="94"/>
      <c r="H347" s="96"/>
    </row>
    <row r="348" spans="1:8" ht="15" x14ac:dyDescent="0.25">
      <c r="A348" s="95"/>
      <c r="B348" s="95"/>
      <c r="C348" s="95"/>
      <c r="D348" s="92"/>
      <c r="E348" s="96"/>
      <c r="F348" s="97"/>
      <c r="G348" s="94"/>
      <c r="H348" s="96"/>
    </row>
    <row r="349" spans="1:8" ht="15" x14ac:dyDescent="0.25">
      <c r="A349" s="95"/>
      <c r="B349" s="95"/>
      <c r="C349" s="95"/>
      <c r="D349" s="92"/>
      <c r="E349" s="96"/>
      <c r="F349" s="97"/>
      <c r="G349" s="94"/>
      <c r="H349" s="96"/>
    </row>
    <row r="350" spans="1:8" ht="15" x14ac:dyDescent="0.25">
      <c r="A350" s="95"/>
      <c r="B350" s="95"/>
      <c r="C350" s="95"/>
      <c r="D350" s="92"/>
      <c r="E350" s="96"/>
      <c r="F350" s="97"/>
      <c r="G350" s="94"/>
      <c r="H350" s="96"/>
    </row>
    <row r="351" spans="1:8" ht="15" x14ac:dyDescent="0.25">
      <c r="A351" s="95"/>
      <c r="B351" s="95"/>
      <c r="C351" s="95"/>
      <c r="D351" s="92"/>
      <c r="E351" s="96"/>
      <c r="F351" s="97"/>
      <c r="G351" s="94"/>
      <c r="H351" s="96"/>
    </row>
    <row r="352" spans="1:8" ht="15" x14ac:dyDescent="0.25">
      <c r="A352" s="95"/>
      <c r="B352" s="95"/>
      <c r="C352" s="95"/>
      <c r="D352" s="92"/>
      <c r="E352" s="96"/>
      <c r="F352" s="97"/>
      <c r="G352" s="94"/>
      <c r="H352" s="96"/>
    </row>
    <row r="353" spans="1:8" ht="15" x14ac:dyDescent="0.25">
      <c r="A353" s="95"/>
      <c r="B353" s="95"/>
      <c r="C353" s="95"/>
      <c r="D353" s="92"/>
      <c r="E353" s="96"/>
      <c r="F353" s="97"/>
      <c r="G353" s="94"/>
      <c r="H353" s="96"/>
    </row>
    <row r="354" spans="1:8" ht="15" x14ac:dyDescent="0.25">
      <c r="A354" s="95"/>
      <c r="B354" s="95"/>
      <c r="C354" s="95"/>
      <c r="D354" s="92"/>
      <c r="E354" s="96"/>
      <c r="F354" s="97"/>
      <c r="G354" s="94"/>
      <c r="H354" s="96"/>
    </row>
    <row r="355" spans="1:8" ht="15" x14ac:dyDescent="0.25">
      <c r="A355" s="95"/>
      <c r="B355" s="95"/>
      <c r="C355" s="95"/>
      <c r="D355" s="92"/>
      <c r="E355" s="96"/>
      <c r="F355" s="97"/>
      <c r="G355" s="94"/>
      <c r="H355" s="96"/>
    </row>
    <row r="356" spans="1:8" ht="15" x14ac:dyDescent="0.25">
      <c r="A356" s="95"/>
      <c r="B356" s="95"/>
      <c r="C356" s="95"/>
      <c r="D356" s="92"/>
      <c r="E356" s="96"/>
      <c r="F356" s="97"/>
      <c r="G356" s="94"/>
      <c r="H356" s="96"/>
    </row>
    <row r="357" spans="1:8" ht="15" x14ac:dyDescent="0.25">
      <c r="A357" s="95"/>
      <c r="B357" s="95"/>
      <c r="C357" s="95"/>
      <c r="D357" s="92"/>
      <c r="E357" s="96"/>
      <c r="F357" s="97"/>
      <c r="G357" s="94"/>
      <c r="H357" s="96"/>
    </row>
    <row r="358" spans="1:8" ht="15" x14ac:dyDescent="0.25">
      <c r="A358" s="95"/>
      <c r="B358" s="95"/>
      <c r="C358" s="95"/>
      <c r="D358" s="92"/>
      <c r="E358" s="96"/>
      <c r="F358" s="97"/>
      <c r="G358" s="94"/>
      <c r="H358" s="96"/>
    </row>
    <row r="359" spans="1:8" ht="15" x14ac:dyDescent="0.25">
      <c r="A359" s="95"/>
      <c r="B359" s="95"/>
      <c r="C359" s="95"/>
      <c r="D359" s="92"/>
      <c r="E359" s="96"/>
      <c r="F359" s="97"/>
      <c r="G359" s="94"/>
      <c r="H359" s="96"/>
    </row>
    <row r="360" spans="1:8" ht="15" x14ac:dyDescent="0.25">
      <c r="A360" s="95"/>
      <c r="B360" s="95"/>
      <c r="C360" s="95"/>
      <c r="D360" s="92"/>
      <c r="E360" s="96"/>
      <c r="F360" s="97"/>
      <c r="G360" s="94"/>
      <c r="H360" s="96"/>
    </row>
    <row r="361" spans="1:8" ht="15" x14ac:dyDescent="0.25">
      <c r="A361" s="95"/>
      <c r="B361" s="95"/>
      <c r="C361" s="95"/>
      <c r="D361" s="92"/>
      <c r="E361" s="96"/>
      <c r="F361" s="97"/>
      <c r="G361" s="94"/>
      <c r="H361" s="96"/>
    </row>
    <row r="362" spans="1:8" ht="15" x14ac:dyDescent="0.25">
      <c r="A362" s="95"/>
      <c r="B362" s="95"/>
      <c r="C362" s="95"/>
      <c r="D362" s="92"/>
      <c r="E362" s="96"/>
      <c r="F362" s="97"/>
      <c r="G362" s="94"/>
      <c r="H362" s="96"/>
    </row>
    <row r="363" spans="1:8" ht="15" x14ac:dyDescent="0.25">
      <c r="A363" s="95"/>
      <c r="B363" s="95"/>
      <c r="C363" s="95"/>
      <c r="D363" s="92"/>
      <c r="E363" s="96"/>
      <c r="F363" s="97"/>
      <c r="G363" s="94"/>
      <c r="H363" s="96"/>
    </row>
    <row r="364" spans="1:8" ht="15" x14ac:dyDescent="0.25">
      <c r="A364" s="95"/>
      <c r="B364" s="95"/>
      <c r="C364" s="95"/>
      <c r="D364" s="92"/>
      <c r="E364" s="96"/>
      <c r="F364" s="97"/>
      <c r="G364" s="94"/>
      <c r="H364" s="96"/>
    </row>
    <row r="365" spans="1:8" ht="15" x14ac:dyDescent="0.25">
      <c r="A365" s="95"/>
      <c r="B365" s="95"/>
      <c r="C365" s="95"/>
      <c r="D365" s="92"/>
      <c r="E365" s="96"/>
      <c r="F365" s="97"/>
      <c r="G365" s="94"/>
      <c r="H365" s="96"/>
    </row>
    <row r="366" spans="1:8" ht="15" x14ac:dyDescent="0.25">
      <c r="A366" s="95"/>
      <c r="B366" s="95"/>
      <c r="C366" s="95"/>
      <c r="D366" s="92"/>
      <c r="E366" s="96"/>
      <c r="F366" s="97"/>
      <c r="G366" s="94"/>
      <c r="H366" s="96"/>
    </row>
    <row r="367" spans="1:8" ht="15" x14ac:dyDescent="0.25">
      <c r="A367" s="95"/>
      <c r="B367" s="95"/>
      <c r="C367" s="95"/>
      <c r="D367" s="92"/>
      <c r="E367" s="96"/>
      <c r="F367" s="97"/>
      <c r="G367" s="94"/>
      <c r="H367" s="96"/>
    </row>
    <row r="368" spans="1:8" ht="15" x14ac:dyDescent="0.25">
      <c r="A368" s="95"/>
      <c r="B368" s="95"/>
      <c r="C368" s="95"/>
      <c r="D368" s="92"/>
      <c r="E368" s="96"/>
      <c r="F368" s="97"/>
      <c r="G368" s="94"/>
      <c r="H368" s="96"/>
    </row>
    <row r="369" spans="1:8" ht="15" x14ac:dyDescent="0.25">
      <c r="A369" s="95"/>
      <c r="B369" s="95"/>
      <c r="C369" s="95"/>
      <c r="D369" s="92"/>
      <c r="E369" s="96"/>
      <c r="F369" s="97"/>
      <c r="G369" s="94"/>
      <c r="H369" s="96"/>
    </row>
    <row r="370" spans="1:8" ht="15" x14ac:dyDescent="0.25">
      <c r="A370" s="95"/>
      <c r="B370" s="95"/>
      <c r="C370" s="95"/>
      <c r="D370" s="92"/>
      <c r="E370" s="96"/>
      <c r="F370" s="97"/>
      <c r="G370" s="94"/>
      <c r="H370" s="96"/>
    </row>
    <row r="371" spans="1:8" ht="15" x14ac:dyDescent="0.25">
      <c r="A371" s="95"/>
      <c r="B371" s="95"/>
      <c r="C371" s="95"/>
      <c r="D371" s="92"/>
      <c r="E371" s="96"/>
      <c r="F371" s="97"/>
      <c r="G371" s="94"/>
      <c r="H371" s="96"/>
    </row>
    <row r="372" spans="1:8" ht="15" x14ac:dyDescent="0.25">
      <c r="A372" s="95"/>
      <c r="B372" s="95"/>
      <c r="C372" s="95"/>
      <c r="D372" s="92"/>
      <c r="E372" s="96"/>
      <c r="F372" s="97"/>
      <c r="G372" s="94"/>
      <c r="H372" s="96"/>
    </row>
    <row r="373" spans="1:8" ht="15" x14ac:dyDescent="0.25">
      <c r="A373" s="95"/>
      <c r="B373" s="95"/>
      <c r="C373" s="95"/>
      <c r="D373" s="92"/>
      <c r="E373" s="96"/>
      <c r="F373" s="97"/>
      <c r="G373" s="94"/>
      <c r="H373" s="96"/>
    </row>
    <row r="374" spans="1:8" ht="15" x14ac:dyDescent="0.25">
      <c r="A374" s="95"/>
      <c r="B374" s="95"/>
      <c r="C374" s="95"/>
      <c r="D374" s="92"/>
      <c r="E374" s="96"/>
      <c r="F374" s="97"/>
      <c r="G374" s="94"/>
      <c r="H374" s="96"/>
    </row>
    <row r="375" spans="1:8" ht="15" x14ac:dyDescent="0.25">
      <c r="A375" s="95"/>
      <c r="B375" s="95"/>
      <c r="C375" s="95"/>
      <c r="D375" s="92"/>
      <c r="E375" s="96"/>
      <c r="F375" s="97"/>
      <c r="G375" s="94"/>
      <c r="H375" s="96"/>
    </row>
    <row r="376" spans="1:8" ht="15" x14ac:dyDescent="0.25">
      <c r="A376" s="95"/>
      <c r="B376" s="95"/>
      <c r="C376" s="95"/>
      <c r="D376" s="92"/>
      <c r="E376" s="96"/>
      <c r="F376" s="97"/>
      <c r="G376" s="94"/>
      <c r="H376" s="96"/>
    </row>
    <row r="377" spans="1:8" ht="15" x14ac:dyDescent="0.25">
      <c r="A377" s="95"/>
      <c r="B377" s="95"/>
      <c r="C377" s="95"/>
      <c r="D377" s="92"/>
      <c r="E377" s="96"/>
      <c r="F377" s="97"/>
      <c r="G377" s="94"/>
      <c r="H377" s="96"/>
    </row>
    <row r="378" spans="1:8" ht="15" x14ac:dyDescent="0.25">
      <c r="A378" s="95"/>
      <c r="B378" s="95"/>
      <c r="C378" s="95"/>
      <c r="D378" s="92"/>
      <c r="E378" s="96"/>
      <c r="F378" s="97"/>
      <c r="G378" s="94"/>
      <c r="H378" s="96"/>
    </row>
    <row r="379" spans="1:8" ht="15" x14ac:dyDescent="0.25">
      <c r="A379" s="95"/>
      <c r="B379" s="95"/>
      <c r="C379" s="95"/>
      <c r="D379" s="92"/>
      <c r="E379" s="96"/>
      <c r="F379" s="97"/>
      <c r="G379" s="94"/>
      <c r="H379" s="96"/>
    </row>
    <row r="380" spans="1:8" ht="15" x14ac:dyDescent="0.25">
      <c r="A380" s="95"/>
      <c r="B380" s="95"/>
      <c r="C380" s="95"/>
      <c r="D380" s="92"/>
      <c r="E380" s="96"/>
      <c r="F380" s="97"/>
      <c r="G380" s="94"/>
      <c r="H380" s="96"/>
    </row>
    <row r="381" spans="1:8" ht="15" x14ac:dyDescent="0.25">
      <c r="A381" s="95"/>
      <c r="B381" s="95"/>
      <c r="C381" s="95"/>
      <c r="D381" s="92"/>
      <c r="E381" s="96"/>
      <c r="F381" s="97"/>
      <c r="G381" s="94"/>
      <c r="H381" s="96"/>
    </row>
    <row r="382" spans="1:8" ht="15" x14ac:dyDescent="0.25">
      <c r="A382" s="95"/>
      <c r="B382" s="95"/>
      <c r="C382" s="95"/>
      <c r="D382" s="92"/>
      <c r="E382" s="96"/>
      <c r="F382" s="97"/>
      <c r="G382" s="94"/>
      <c r="H382" s="96"/>
    </row>
    <row r="383" spans="1:8" ht="15" x14ac:dyDescent="0.25">
      <c r="A383" s="95"/>
      <c r="B383" s="95"/>
      <c r="C383" s="95"/>
      <c r="D383" s="92"/>
      <c r="E383" s="96"/>
      <c r="F383" s="97"/>
      <c r="G383" s="94"/>
      <c r="H383" s="96"/>
    </row>
    <row r="384" spans="1:8" ht="15" x14ac:dyDescent="0.25">
      <c r="A384" s="95"/>
      <c r="B384" s="95"/>
      <c r="C384" s="95"/>
      <c r="D384" s="92"/>
      <c r="E384" s="96"/>
      <c r="F384" s="97"/>
      <c r="G384" s="94"/>
      <c r="H384" s="96"/>
    </row>
    <row r="385" spans="1:8" ht="15" x14ac:dyDescent="0.25">
      <c r="A385" s="95"/>
      <c r="B385" s="95"/>
      <c r="C385" s="95"/>
      <c r="D385" s="92"/>
      <c r="E385" s="96"/>
      <c r="F385" s="97"/>
      <c r="G385" s="94"/>
      <c r="H385" s="96"/>
    </row>
    <row r="386" spans="1:8" ht="15" x14ac:dyDescent="0.25">
      <c r="A386" s="95"/>
      <c r="B386" s="95"/>
      <c r="C386" s="95"/>
      <c r="D386" s="92"/>
      <c r="E386" s="96"/>
      <c r="F386" s="97"/>
      <c r="G386" s="94"/>
      <c r="H386" s="96"/>
    </row>
    <row r="387" spans="1:8" ht="15" x14ac:dyDescent="0.25">
      <c r="A387" s="95"/>
      <c r="B387" s="95"/>
      <c r="C387" s="95"/>
      <c r="D387" s="92"/>
      <c r="E387" s="96"/>
      <c r="F387" s="97"/>
      <c r="G387" s="94"/>
      <c r="H387" s="96"/>
    </row>
    <row r="388" spans="1:8" ht="15" x14ac:dyDescent="0.25">
      <c r="A388" s="95"/>
      <c r="B388" s="95"/>
      <c r="C388" s="95"/>
      <c r="D388" s="92"/>
      <c r="E388" s="96"/>
      <c r="F388" s="97"/>
      <c r="G388" s="94"/>
      <c r="H388" s="96"/>
    </row>
    <row r="389" spans="1:8" ht="15" x14ac:dyDescent="0.25">
      <c r="A389" s="95"/>
      <c r="B389" s="95"/>
      <c r="C389" s="95"/>
      <c r="D389" s="92"/>
      <c r="E389" s="96"/>
      <c r="F389" s="97"/>
      <c r="G389" s="94"/>
      <c r="H389" s="96"/>
    </row>
    <row r="390" spans="1:8" ht="15" x14ac:dyDescent="0.25">
      <c r="A390" s="95"/>
      <c r="B390" s="95"/>
      <c r="C390" s="95"/>
      <c r="D390" s="92"/>
      <c r="E390" s="96"/>
      <c r="F390" s="97"/>
      <c r="G390" s="94"/>
      <c r="H390" s="96"/>
    </row>
    <row r="391" spans="1:8" ht="15" x14ac:dyDescent="0.25">
      <c r="A391" s="95"/>
      <c r="B391" s="95"/>
      <c r="C391" s="95"/>
      <c r="D391" s="92"/>
      <c r="E391" s="96"/>
      <c r="F391" s="97"/>
      <c r="G391" s="94"/>
      <c r="H391" s="96"/>
    </row>
    <row r="392" spans="1:8" ht="15" x14ac:dyDescent="0.25">
      <c r="A392" s="95"/>
      <c r="B392" s="95"/>
      <c r="C392" s="95"/>
      <c r="D392" s="92"/>
      <c r="E392" s="96"/>
      <c r="F392" s="97"/>
      <c r="G392" s="94"/>
      <c r="H392" s="96"/>
    </row>
    <row r="393" spans="1:8" ht="15" x14ac:dyDescent="0.25">
      <c r="A393" s="95"/>
      <c r="B393" s="95"/>
      <c r="C393" s="95"/>
      <c r="D393" s="92"/>
      <c r="E393" s="96"/>
      <c r="F393" s="97"/>
      <c r="G393" s="94"/>
      <c r="H393" s="96"/>
    </row>
    <row r="394" spans="1:8" ht="15" x14ac:dyDescent="0.25">
      <c r="A394" s="95"/>
      <c r="B394" s="95"/>
      <c r="C394" s="95"/>
      <c r="D394" s="92"/>
      <c r="E394" s="96"/>
      <c r="F394" s="97"/>
      <c r="G394" s="94"/>
      <c r="H394" s="96"/>
    </row>
    <row r="395" spans="1:8" ht="15" x14ac:dyDescent="0.25">
      <c r="A395" s="95"/>
      <c r="B395" s="95"/>
      <c r="C395" s="95"/>
      <c r="D395" s="92"/>
      <c r="E395" s="96"/>
      <c r="F395" s="97"/>
      <c r="G395" s="94"/>
      <c r="H395" s="96"/>
    </row>
    <row r="396" spans="1:8" ht="15" x14ac:dyDescent="0.25">
      <c r="A396" s="95"/>
      <c r="B396" s="95"/>
      <c r="C396" s="95"/>
      <c r="D396" s="92"/>
      <c r="E396" s="96"/>
      <c r="F396" s="97"/>
      <c r="G396" s="94"/>
      <c r="H396" s="96"/>
    </row>
    <row r="397" spans="1:8" ht="15" x14ac:dyDescent="0.25">
      <c r="A397" s="95"/>
      <c r="B397" s="95"/>
      <c r="C397" s="95"/>
      <c r="D397" s="92"/>
      <c r="E397" s="96"/>
      <c r="F397" s="97"/>
      <c r="G397" s="94"/>
      <c r="H397" s="96"/>
    </row>
    <row r="398" spans="1:8" ht="15" x14ac:dyDescent="0.25">
      <c r="A398" s="95"/>
      <c r="B398" s="95"/>
      <c r="C398" s="95"/>
      <c r="D398" s="92"/>
      <c r="E398" s="96"/>
      <c r="F398" s="97"/>
      <c r="G398" s="94"/>
      <c r="H398" s="96"/>
    </row>
    <row r="399" spans="1:8" ht="15" x14ac:dyDescent="0.25">
      <c r="A399" s="95"/>
      <c r="B399" s="95"/>
      <c r="C399" s="95"/>
      <c r="D399" s="92"/>
      <c r="E399" s="96"/>
      <c r="F399" s="97"/>
      <c r="G399" s="94"/>
      <c r="H399" s="96"/>
    </row>
    <row r="400" spans="1:8" ht="15" x14ac:dyDescent="0.25">
      <c r="A400" s="95"/>
      <c r="B400" s="95"/>
      <c r="C400" s="95"/>
      <c r="D400" s="92"/>
      <c r="E400" s="96"/>
      <c r="F400" s="97"/>
      <c r="G400" s="94"/>
      <c r="H400" s="96"/>
    </row>
    <row r="401" spans="1:8" ht="15" x14ac:dyDescent="0.25">
      <c r="A401" s="95"/>
      <c r="B401" s="95"/>
      <c r="C401" s="95"/>
      <c r="D401" s="92"/>
      <c r="E401" s="96"/>
      <c r="F401" s="97"/>
      <c r="G401" s="94"/>
      <c r="H401" s="96"/>
    </row>
    <row r="402" spans="1:8" ht="15" x14ac:dyDescent="0.25">
      <c r="A402" s="95"/>
      <c r="B402" s="95"/>
      <c r="C402" s="95"/>
      <c r="D402" s="92"/>
      <c r="E402" s="96"/>
      <c r="F402" s="97"/>
      <c r="G402" s="94"/>
      <c r="H402" s="96"/>
    </row>
    <row r="403" spans="1:8" ht="15" x14ac:dyDescent="0.25">
      <c r="A403" s="95"/>
      <c r="B403" s="95"/>
      <c r="C403" s="95"/>
      <c r="D403" s="92"/>
      <c r="E403" s="96"/>
      <c r="F403" s="97"/>
      <c r="G403" s="94"/>
      <c r="H403" s="96"/>
    </row>
    <row r="404" spans="1:8" ht="15" x14ac:dyDescent="0.25">
      <c r="A404" s="95"/>
      <c r="B404" s="95"/>
      <c r="C404" s="95"/>
      <c r="D404" s="92"/>
      <c r="E404" s="96"/>
      <c r="F404" s="97"/>
      <c r="G404" s="94"/>
      <c r="H404" s="96"/>
    </row>
    <row r="405" spans="1:8" ht="15" x14ac:dyDescent="0.25">
      <c r="A405" s="95"/>
      <c r="B405" s="95"/>
      <c r="C405" s="95"/>
      <c r="D405" s="92"/>
      <c r="E405" s="96"/>
      <c r="F405" s="97"/>
      <c r="G405" s="94"/>
      <c r="H405" s="96"/>
    </row>
    <row r="406" spans="1:8" ht="15" x14ac:dyDescent="0.25">
      <c r="A406" s="95"/>
      <c r="B406" s="95"/>
      <c r="C406" s="95"/>
      <c r="D406" s="92"/>
      <c r="E406" s="96"/>
      <c r="F406" s="97"/>
      <c r="G406" s="94"/>
      <c r="H406" s="96"/>
    </row>
    <row r="407" spans="1:8" ht="15" x14ac:dyDescent="0.25">
      <c r="A407" s="95"/>
      <c r="B407" s="95"/>
      <c r="C407" s="95"/>
      <c r="D407" s="92"/>
      <c r="E407" s="96"/>
      <c r="F407" s="97"/>
      <c r="G407" s="94"/>
      <c r="H407" s="96"/>
    </row>
    <row r="408" spans="1:8" ht="15" x14ac:dyDescent="0.25">
      <c r="A408" s="95"/>
      <c r="B408" s="95"/>
      <c r="C408" s="95"/>
      <c r="D408" s="92"/>
      <c r="E408" s="96"/>
      <c r="F408" s="97"/>
      <c r="G408" s="94"/>
      <c r="H408" s="96"/>
    </row>
    <row r="409" spans="1:8" ht="15" x14ac:dyDescent="0.25">
      <c r="A409" s="95"/>
      <c r="B409" s="95"/>
      <c r="C409" s="95"/>
      <c r="D409" s="92"/>
      <c r="E409" s="96"/>
      <c r="F409" s="97"/>
      <c r="G409" s="94"/>
      <c r="H409" s="96"/>
    </row>
    <row r="410" spans="1:8" ht="15" x14ac:dyDescent="0.25">
      <c r="A410" s="95"/>
      <c r="B410" s="95"/>
      <c r="C410" s="95"/>
      <c r="D410" s="92"/>
      <c r="E410" s="96"/>
      <c r="F410" s="97"/>
      <c r="G410" s="94"/>
      <c r="H410" s="96"/>
    </row>
    <row r="411" spans="1:8" ht="15" x14ac:dyDescent="0.25">
      <c r="A411" s="95"/>
      <c r="B411" s="95"/>
      <c r="C411" s="95"/>
      <c r="D411" s="92"/>
      <c r="E411" s="96"/>
      <c r="F411" s="97"/>
      <c r="G411" s="94"/>
      <c r="H411" s="96"/>
    </row>
    <row r="412" spans="1:8" ht="15" x14ac:dyDescent="0.25">
      <c r="A412" s="95"/>
      <c r="B412" s="95"/>
      <c r="C412" s="95"/>
      <c r="D412" s="92"/>
      <c r="E412" s="96"/>
      <c r="F412" s="97"/>
      <c r="G412" s="94"/>
      <c r="H412" s="96"/>
    </row>
    <row r="413" spans="1:8" ht="15" x14ac:dyDescent="0.25">
      <c r="A413" s="95"/>
      <c r="B413" s="95"/>
      <c r="C413" s="95"/>
      <c r="D413" s="92"/>
      <c r="E413" s="96"/>
      <c r="F413" s="97"/>
      <c r="G413" s="94"/>
      <c r="H413" s="96"/>
    </row>
    <row r="414" spans="1:8" ht="15" x14ac:dyDescent="0.25">
      <c r="A414" s="95"/>
      <c r="B414" s="95"/>
      <c r="C414" s="95"/>
      <c r="D414" s="92"/>
      <c r="E414" s="96"/>
      <c r="F414" s="97"/>
      <c r="G414" s="94"/>
      <c r="H414" s="96"/>
    </row>
    <row r="415" spans="1:8" ht="15" x14ac:dyDescent="0.25">
      <c r="A415" s="95"/>
      <c r="B415" s="95"/>
      <c r="C415" s="95"/>
      <c r="D415" s="92"/>
      <c r="E415" s="96"/>
      <c r="F415" s="97"/>
      <c r="G415" s="94"/>
      <c r="H415" s="96"/>
    </row>
    <row r="416" spans="1:8" ht="15" x14ac:dyDescent="0.25">
      <c r="A416" s="95"/>
      <c r="B416" s="95"/>
      <c r="C416" s="95"/>
      <c r="D416" s="92"/>
      <c r="E416" s="96"/>
      <c r="F416" s="97"/>
      <c r="G416" s="94"/>
      <c r="H416" s="96"/>
    </row>
    <row r="417" spans="1:8" ht="15" x14ac:dyDescent="0.25">
      <c r="A417" s="95"/>
      <c r="B417" s="95"/>
      <c r="C417" s="95"/>
      <c r="D417" s="92"/>
      <c r="E417" s="96"/>
      <c r="F417" s="97"/>
      <c r="G417" s="94"/>
      <c r="H417" s="96"/>
    </row>
    <row r="418" spans="1:8" ht="15" x14ac:dyDescent="0.25">
      <c r="A418" s="95"/>
      <c r="B418" s="95"/>
      <c r="C418" s="95"/>
      <c r="D418" s="92"/>
      <c r="E418" s="96"/>
      <c r="F418" s="97"/>
      <c r="G418" s="94"/>
      <c r="H418" s="96"/>
    </row>
    <row r="419" spans="1:8" ht="15" x14ac:dyDescent="0.25">
      <c r="A419" s="95"/>
      <c r="B419" s="95"/>
      <c r="C419" s="95"/>
      <c r="D419" s="92"/>
      <c r="E419" s="96"/>
      <c r="F419" s="97"/>
      <c r="G419" s="94"/>
      <c r="H419" s="96"/>
    </row>
    <row r="420" spans="1:8" ht="15" x14ac:dyDescent="0.25">
      <c r="A420" s="95"/>
      <c r="B420" s="95"/>
      <c r="C420" s="95"/>
      <c r="D420" s="92"/>
      <c r="E420" s="96"/>
      <c r="F420" s="97"/>
      <c r="G420" s="94"/>
      <c r="H420" s="96"/>
    </row>
    <row r="421" spans="1:8" ht="15" x14ac:dyDescent="0.25">
      <c r="A421" s="95"/>
      <c r="B421" s="95"/>
      <c r="C421" s="95"/>
      <c r="D421" s="92"/>
      <c r="E421" s="96"/>
      <c r="F421" s="97"/>
      <c r="G421" s="94"/>
      <c r="H421" s="96"/>
    </row>
    <row r="422" spans="1:8" ht="15" x14ac:dyDescent="0.25">
      <c r="A422" s="95"/>
      <c r="B422" s="95"/>
      <c r="C422" s="95"/>
      <c r="D422" s="92"/>
      <c r="E422" s="96"/>
      <c r="F422" s="97"/>
      <c r="G422" s="94"/>
      <c r="H422" s="96"/>
    </row>
    <row r="423" spans="1:8" ht="15" x14ac:dyDescent="0.25">
      <c r="A423" s="95"/>
      <c r="B423" s="95"/>
      <c r="C423" s="95"/>
      <c r="D423" s="92"/>
      <c r="E423" s="96"/>
      <c r="F423" s="97"/>
      <c r="G423" s="94"/>
      <c r="H423" s="96"/>
    </row>
    <row r="424" spans="1:8" ht="15" x14ac:dyDescent="0.25">
      <c r="A424" s="95"/>
      <c r="B424" s="95"/>
      <c r="C424" s="95"/>
      <c r="D424" s="92"/>
      <c r="E424" s="96"/>
      <c r="F424" s="97"/>
      <c r="G424" s="94"/>
      <c r="H424" s="96"/>
    </row>
    <row r="425" spans="1:8" ht="15" x14ac:dyDescent="0.25">
      <c r="A425" s="95"/>
      <c r="B425" s="95"/>
      <c r="C425" s="95"/>
      <c r="D425" s="92"/>
      <c r="E425" s="96"/>
      <c r="F425" s="97"/>
      <c r="G425" s="94"/>
      <c r="H425" s="96"/>
    </row>
    <row r="426" spans="1:8" ht="15" x14ac:dyDescent="0.25">
      <c r="A426" s="95"/>
      <c r="B426" s="95"/>
      <c r="C426" s="95"/>
      <c r="D426" s="92"/>
      <c r="E426" s="96"/>
      <c r="F426" s="97"/>
      <c r="G426" s="94"/>
      <c r="H426" s="96"/>
    </row>
    <row r="427" spans="1:8" ht="15" x14ac:dyDescent="0.25">
      <c r="A427" s="95"/>
      <c r="B427" s="95"/>
      <c r="C427" s="95"/>
      <c r="D427" s="92"/>
      <c r="E427" s="96"/>
      <c r="F427" s="97"/>
      <c r="G427" s="94"/>
      <c r="H427" s="96"/>
    </row>
    <row r="428" spans="1:8" ht="15" x14ac:dyDescent="0.25">
      <c r="A428" s="95"/>
      <c r="B428" s="95"/>
      <c r="C428" s="95"/>
      <c r="D428" s="92"/>
      <c r="E428" s="96"/>
      <c r="F428" s="97"/>
      <c r="G428" s="94"/>
      <c r="H428" s="96"/>
    </row>
    <row r="429" spans="1:8" ht="15" x14ac:dyDescent="0.25">
      <c r="A429" s="95"/>
      <c r="B429" s="95"/>
      <c r="C429" s="95"/>
      <c r="D429" s="92"/>
      <c r="E429" s="96"/>
      <c r="F429" s="97"/>
      <c r="G429" s="94"/>
      <c r="H429" s="96"/>
    </row>
    <row r="430" spans="1:8" ht="15" x14ac:dyDescent="0.25">
      <c r="A430" s="95"/>
      <c r="B430" s="95"/>
      <c r="C430" s="95"/>
      <c r="D430" s="92"/>
      <c r="E430" s="96"/>
      <c r="F430" s="97"/>
      <c r="G430" s="94"/>
      <c r="H430" s="96"/>
    </row>
    <row r="431" spans="1:8" ht="15" x14ac:dyDescent="0.25">
      <c r="A431" s="95"/>
      <c r="B431" s="95"/>
      <c r="C431" s="95"/>
      <c r="D431" s="92"/>
      <c r="E431" s="96"/>
      <c r="F431" s="97"/>
      <c r="G431" s="94"/>
      <c r="H431" s="96"/>
    </row>
    <row r="432" spans="1:8" ht="15" x14ac:dyDescent="0.25">
      <c r="A432" s="95"/>
      <c r="B432" s="95"/>
      <c r="C432" s="95"/>
      <c r="D432" s="92"/>
      <c r="E432" s="96"/>
      <c r="F432" s="97"/>
      <c r="G432" s="94"/>
      <c r="H432" s="96"/>
    </row>
    <row r="433" spans="1:8" ht="15" x14ac:dyDescent="0.25">
      <c r="A433" s="95"/>
      <c r="B433" s="95"/>
      <c r="C433" s="95"/>
      <c r="D433" s="92"/>
      <c r="E433" s="96"/>
      <c r="F433" s="97"/>
      <c r="G433" s="94"/>
      <c r="H433" s="96"/>
    </row>
    <row r="434" spans="1:8" ht="15" x14ac:dyDescent="0.25">
      <c r="A434" s="95"/>
      <c r="B434" s="95"/>
      <c r="C434" s="95"/>
      <c r="D434" s="92"/>
      <c r="E434" s="96"/>
      <c r="F434" s="97"/>
      <c r="G434" s="94"/>
      <c r="H434" s="96"/>
    </row>
    <row r="435" spans="1:8" ht="15" x14ac:dyDescent="0.25">
      <c r="A435" s="95"/>
      <c r="B435" s="95"/>
      <c r="C435" s="95"/>
      <c r="D435" s="92"/>
      <c r="E435" s="96"/>
      <c r="F435" s="97"/>
      <c r="G435" s="94"/>
      <c r="H435" s="96"/>
    </row>
    <row r="436" spans="1:8" ht="15" x14ac:dyDescent="0.25">
      <c r="A436" s="95"/>
      <c r="B436" s="95"/>
      <c r="C436" s="95"/>
      <c r="D436" s="92"/>
      <c r="E436" s="96"/>
      <c r="F436" s="97"/>
      <c r="G436" s="94"/>
      <c r="H436" s="96"/>
    </row>
    <row r="437" spans="1:8" ht="15" x14ac:dyDescent="0.25">
      <c r="A437" s="95"/>
      <c r="B437" s="95"/>
      <c r="C437" s="95"/>
      <c r="D437" s="92"/>
      <c r="E437" s="96"/>
      <c r="F437" s="97"/>
      <c r="G437" s="94"/>
      <c r="H437" s="96"/>
    </row>
    <row r="438" spans="1:8" ht="15" x14ac:dyDescent="0.25">
      <c r="A438" s="95"/>
      <c r="B438" s="95"/>
      <c r="C438" s="95"/>
      <c r="D438" s="92"/>
      <c r="E438" s="96"/>
      <c r="F438" s="97"/>
      <c r="G438" s="94"/>
      <c r="H438" s="96"/>
    </row>
    <row r="439" spans="1:8" ht="15" x14ac:dyDescent="0.25">
      <c r="A439" s="95"/>
      <c r="B439" s="95"/>
      <c r="C439" s="95"/>
      <c r="D439" s="92"/>
      <c r="E439" s="96"/>
      <c r="F439" s="97"/>
      <c r="G439" s="94"/>
      <c r="H439" s="96"/>
    </row>
    <row r="440" spans="1:8" ht="15" x14ac:dyDescent="0.25">
      <c r="A440" s="95"/>
      <c r="B440" s="95"/>
      <c r="C440" s="95"/>
      <c r="D440" s="92"/>
      <c r="E440" s="96"/>
      <c r="F440" s="97"/>
      <c r="G440" s="94"/>
      <c r="H440" s="96"/>
    </row>
    <row r="441" spans="1:8" ht="15" x14ac:dyDescent="0.25">
      <c r="A441" s="95"/>
      <c r="B441" s="95"/>
      <c r="C441" s="95"/>
      <c r="D441" s="92"/>
      <c r="E441" s="96"/>
      <c r="F441" s="97"/>
      <c r="G441" s="94"/>
      <c r="H441" s="96"/>
    </row>
    <row r="442" spans="1:8" ht="15" x14ac:dyDescent="0.25">
      <c r="A442" s="95"/>
      <c r="B442" s="95"/>
      <c r="C442" s="95"/>
      <c r="D442" s="92"/>
      <c r="E442" s="96"/>
      <c r="F442" s="97"/>
      <c r="G442" s="94"/>
      <c r="H442" s="96"/>
    </row>
    <row r="443" spans="1:8" ht="15" x14ac:dyDescent="0.25">
      <c r="A443" s="95"/>
      <c r="B443" s="95"/>
      <c r="C443" s="95"/>
      <c r="D443" s="92"/>
      <c r="E443" s="96"/>
      <c r="F443" s="97"/>
      <c r="G443" s="94"/>
      <c r="H443" s="96"/>
    </row>
    <row r="444" spans="1:8" ht="15" x14ac:dyDescent="0.25">
      <c r="A444" s="95"/>
      <c r="B444" s="95"/>
      <c r="C444" s="95"/>
      <c r="D444" s="92"/>
      <c r="E444" s="96"/>
      <c r="F444" s="97"/>
      <c r="G444" s="94"/>
      <c r="H444" s="96"/>
    </row>
    <row r="445" spans="1:8" ht="15" x14ac:dyDescent="0.25">
      <c r="A445" s="95"/>
      <c r="B445" s="95"/>
      <c r="C445" s="95"/>
      <c r="D445" s="92"/>
      <c r="E445" s="96"/>
      <c r="F445" s="97"/>
      <c r="G445" s="94"/>
      <c r="H445" s="96"/>
    </row>
    <row r="446" spans="1:8" ht="15" x14ac:dyDescent="0.25">
      <c r="A446" s="95"/>
      <c r="B446" s="95"/>
      <c r="C446" s="95"/>
      <c r="D446" s="92"/>
      <c r="E446" s="96"/>
      <c r="F446" s="97"/>
      <c r="G446" s="94"/>
      <c r="H446" s="96"/>
    </row>
    <row r="447" spans="1:8" ht="15" x14ac:dyDescent="0.25">
      <c r="A447" s="95"/>
      <c r="B447" s="95"/>
      <c r="C447" s="95"/>
      <c r="D447" s="92"/>
      <c r="E447" s="96"/>
      <c r="F447" s="97"/>
      <c r="G447" s="94"/>
      <c r="H447" s="96"/>
    </row>
    <row r="448" spans="1:8" ht="15" x14ac:dyDescent="0.25">
      <c r="A448" s="95"/>
      <c r="B448" s="95"/>
      <c r="C448" s="95"/>
      <c r="D448" s="92"/>
      <c r="E448" s="96"/>
      <c r="F448" s="97"/>
      <c r="G448" s="94"/>
      <c r="H448" s="96"/>
    </row>
    <row r="449" spans="1:8" ht="15" x14ac:dyDescent="0.25">
      <c r="A449" s="95"/>
      <c r="B449" s="95"/>
      <c r="C449" s="95"/>
      <c r="D449" s="92"/>
      <c r="E449" s="96"/>
      <c r="F449" s="97"/>
      <c r="G449" s="94"/>
      <c r="H449" s="96"/>
    </row>
    <row r="450" spans="1:8" ht="15" x14ac:dyDescent="0.25">
      <c r="A450" s="95"/>
      <c r="B450" s="95"/>
      <c r="C450" s="95"/>
      <c r="D450" s="92"/>
      <c r="E450" s="96"/>
      <c r="F450" s="97"/>
      <c r="G450" s="94"/>
      <c r="H450" s="96"/>
    </row>
    <row r="451" spans="1:8" ht="15" x14ac:dyDescent="0.25">
      <c r="A451" s="95"/>
      <c r="B451" s="95"/>
      <c r="C451" s="95"/>
      <c r="D451" s="92"/>
      <c r="E451" s="96"/>
      <c r="F451" s="97"/>
      <c r="G451" s="94"/>
      <c r="H451" s="96"/>
    </row>
    <row r="452" spans="1:8" ht="15" x14ac:dyDescent="0.25">
      <c r="A452" s="95"/>
      <c r="B452" s="95"/>
      <c r="C452" s="95"/>
      <c r="D452" s="92"/>
      <c r="E452" s="96"/>
      <c r="F452" s="97"/>
      <c r="G452" s="94"/>
      <c r="H452" s="96"/>
    </row>
    <row r="453" spans="1:8" ht="15" x14ac:dyDescent="0.25">
      <c r="A453" s="95"/>
      <c r="B453" s="95"/>
      <c r="C453" s="95"/>
      <c r="D453" s="92"/>
      <c r="E453" s="96"/>
      <c r="F453" s="97"/>
      <c r="G453" s="94"/>
      <c r="H453" s="96"/>
    </row>
    <row r="454" spans="1:8" ht="15" x14ac:dyDescent="0.25">
      <c r="A454" s="95"/>
      <c r="B454" s="95"/>
      <c r="C454" s="95"/>
      <c r="D454" s="92"/>
      <c r="E454" s="96"/>
      <c r="F454" s="97"/>
      <c r="G454" s="94"/>
      <c r="H454" s="96"/>
    </row>
    <row r="455" spans="1:8" ht="15" x14ac:dyDescent="0.25">
      <c r="A455" s="95"/>
      <c r="B455" s="95"/>
      <c r="C455" s="95"/>
      <c r="D455" s="92"/>
      <c r="E455" s="96"/>
      <c r="F455" s="97"/>
      <c r="G455" s="94"/>
      <c r="H455" s="96"/>
    </row>
    <row r="456" spans="1:8" ht="15" x14ac:dyDescent="0.25">
      <c r="A456" s="95"/>
      <c r="B456" s="95"/>
      <c r="C456" s="95"/>
      <c r="D456" s="92"/>
      <c r="E456" s="96"/>
      <c r="F456" s="97"/>
      <c r="G456" s="94"/>
      <c r="H456" s="96"/>
    </row>
    <row r="457" spans="1:8" ht="15" x14ac:dyDescent="0.25">
      <c r="A457" s="95"/>
      <c r="B457" s="95"/>
      <c r="C457" s="95"/>
      <c r="D457" s="92"/>
      <c r="E457" s="96"/>
      <c r="F457" s="97"/>
      <c r="G457" s="94"/>
      <c r="H457" s="96"/>
    </row>
    <row r="458" spans="1:8" ht="15" x14ac:dyDescent="0.25">
      <c r="A458" s="95"/>
      <c r="B458" s="95"/>
      <c r="C458" s="95"/>
      <c r="D458" s="92"/>
      <c r="E458" s="96"/>
      <c r="F458" s="97"/>
      <c r="G458" s="94"/>
      <c r="H458" s="96"/>
    </row>
    <row r="459" spans="1:8" ht="15" x14ac:dyDescent="0.25">
      <c r="A459" s="95"/>
      <c r="B459" s="95"/>
      <c r="C459" s="95"/>
      <c r="D459" s="92"/>
      <c r="E459" s="96"/>
      <c r="F459" s="97"/>
      <c r="G459" s="94"/>
      <c r="H459" s="96"/>
    </row>
    <row r="460" spans="1:8" ht="15" x14ac:dyDescent="0.25">
      <c r="A460" s="95"/>
      <c r="B460" s="95"/>
      <c r="C460" s="95"/>
      <c r="D460" s="92"/>
      <c r="E460" s="96"/>
      <c r="F460" s="97"/>
      <c r="G460" s="94"/>
      <c r="H460" s="96"/>
    </row>
    <row r="461" spans="1:8" ht="15" x14ac:dyDescent="0.25">
      <c r="A461" s="95"/>
      <c r="B461" s="95"/>
      <c r="C461" s="95"/>
      <c r="D461" s="92"/>
      <c r="E461" s="96"/>
      <c r="F461" s="97"/>
      <c r="G461" s="94"/>
      <c r="H461" s="96"/>
    </row>
    <row r="462" spans="1:8" ht="15" x14ac:dyDescent="0.25">
      <c r="A462" s="95"/>
      <c r="B462" s="95"/>
      <c r="C462" s="95"/>
      <c r="D462" s="92"/>
      <c r="E462" s="96"/>
      <c r="F462" s="97"/>
      <c r="G462" s="94"/>
      <c r="H462" s="96"/>
    </row>
    <row r="463" spans="1:8" ht="15" x14ac:dyDescent="0.25">
      <c r="A463" s="95"/>
      <c r="B463" s="95"/>
      <c r="C463" s="95"/>
      <c r="D463" s="92"/>
      <c r="E463" s="96"/>
      <c r="F463" s="97"/>
      <c r="G463" s="94"/>
      <c r="H463" s="96"/>
    </row>
    <row r="464" spans="1:8" ht="15" x14ac:dyDescent="0.25">
      <c r="A464" s="95"/>
      <c r="B464" s="95"/>
      <c r="C464" s="95"/>
      <c r="D464" s="92"/>
      <c r="E464" s="96"/>
      <c r="F464" s="97"/>
      <c r="G464" s="94"/>
      <c r="H464" s="96"/>
    </row>
    <row r="465" spans="1:8" ht="15" x14ac:dyDescent="0.25">
      <c r="A465" s="95"/>
      <c r="B465" s="95"/>
      <c r="C465" s="95"/>
      <c r="D465" s="92"/>
      <c r="E465" s="96"/>
      <c r="F465" s="97"/>
      <c r="G465" s="94"/>
      <c r="H465" s="96"/>
    </row>
    <row r="466" spans="1:8" ht="15" x14ac:dyDescent="0.25">
      <c r="A466" s="95"/>
      <c r="B466" s="95"/>
      <c r="C466" s="95"/>
      <c r="D466" s="92"/>
      <c r="E466" s="96"/>
      <c r="F466" s="97"/>
      <c r="G466" s="94"/>
      <c r="H466" s="96"/>
    </row>
    <row r="467" spans="1:8" ht="15" x14ac:dyDescent="0.25">
      <c r="A467" s="95"/>
      <c r="B467" s="95"/>
      <c r="C467" s="95"/>
      <c r="D467" s="92"/>
      <c r="E467" s="96"/>
      <c r="F467" s="97"/>
      <c r="G467" s="94"/>
      <c r="H467" s="96"/>
    </row>
    <row r="468" spans="1:8" ht="15" x14ac:dyDescent="0.25">
      <c r="A468" s="95"/>
      <c r="B468" s="95"/>
      <c r="C468" s="95"/>
      <c r="D468" s="92"/>
      <c r="E468" s="96"/>
      <c r="F468" s="97"/>
      <c r="G468" s="94"/>
      <c r="H468" s="96"/>
    </row>
    <row r="469" spans="1:8" ht="15" x14ac:dyDescent="0.25">
      <c r="A469" s="95"/>
      <c r="B469" s="95"/>
      <c r="C469" s="95"/>
      <c r="D469" s="92"/>
      <c r="E469" s="96"/>
      <c r="F469" s="97"/>
      <c r="G469" s="94"/>
      <c r="H469" s="96"/>
    </row>
    <row r="470" spans="1:8" ht="15" x14ac:dyDescent="0.25">
      <c r="A470" s="95"/>
      <c r="B470" s="95"/>
      <c r="C470" s="95"/>
      <c r="D470" s="92"/>
      <c r="E470" s="96"/>
      <c r="F470" s="97"/>
      <c r="G470" s="94"/>
      <c r="H470" s="96"/>
    </row>
    <row r="471" spans="1:8" ht="15" x14ac:dyDescent="0.25">
      <c r="A471" s="95"/>
      <c r="B471" s="95"/>
      <c r="C471" s="95"/>
      <c r="D471" s="92"/>
      <c r="E471" s="96"/>
      <c r="F471" s="97"/>
      <c r="G471" s="94"/>
      <c r="H471" s="96"/>
    </row>
    <row r="472" spans="1:8" ht="15" x14ac:dyDescent="0.25">
      <c r="A472" s="95"/>
      <c r="B472" s="95"/>
      <c r="C472" s="95"/>
      <c r="D472" s="92"/>
      <c r="E472" s="96"/>
      <c r="F472" s="97"/>
      <c r="G472" s="94"/>
      <c r="H472" s="96"/>
    </row>
    <row r="473" spans="1:8" ht="15" x14ac:dyDescent="0.25">
      <c r="A473" s="95"/>
      <c r="B473" s="95"/>
      <c r="C473" s="95"/>
      <c r="D473" s="92"/>
      <c r="E473" s="96"/>
      <c r="F473" s="97"/>
      <c r="G473" s="94"/>
      <c r="H473" s="96"/>
    </row>
    <row r="474" spans="1:8" ht="15" x14ac:dyDescent="0.25">
      <c r="A474" s="95"/>
      <c r="B474" s="95"/>
      <c r="C474" s="95"/>
      <c r="D474" s="92"/>
      <c r="E474" s="96"/>
      <c r="F474" s="97"/>
      <c r="G474" s="94"/>
      <c r="H474" s="96"/>
    </row>
    <row r="475" spans="1:8" ht="15" x14ac:dyDescent="0.25">
      <c r="A475" s="95"/>
      <c r="B475" s="95"/>
      <c r="C475" s="95"/>
      <c r="D475" s="92"/>
      <c r="E475" s="96"/>
      <c r="F475" s="97"/>
      <c r="G475" s="94"/>
      <c r="H475" s="96"/>
    </row>
    <row r="476" spans="1:8" ht="15" x14ac:dyDescent="0.25">
      <c r="A476" s="95"/>
      <c r="B476" s="95"/>
      <c r="C476" s="95"/>
      <c r="D476" s="92"/>
      <c r="E476" s="96"/>
      <c r="F476" s="97"/>
      <c r="G476" s="94"/>
      <c r="H476" s="96"/>
    </row>
    <row r="477" spans="1:8" ht="15" x14ac:dyDescent="0.25">
      <c r="A477" s="95"/>
      <c r="B477" s="95"/>
      <c r="C477" s="95"/>
      <c r="D477" s="92"/>
      <c r="E477" s="96"/>
      <c r="F477" s="97"/>
      <c r="G477" s="94"/>
      <c r="H477" s="96"/>
    </row>
    <row r="478" spans="1:8" ht="15" x14ac:dyDescent="0.25">
      <c r="A478" s="95"/>
      <c r="B478" s="95"/>
      <c r="C478" s="95"/>
      <c r="D478" s="92"/>
      <c r="E478" s="96"/>
      <c r="F478" s="97"/>
      <c r="G478" s="94"/>
      <c r="H478" s="96"/>
    </row>
    <row r="479" spans="1:8" ht="15" x14ac:dyDescent="0.25">
      <c r="A479" s="95"/>
      <c r="B479" s="95"/>
      <c r="C479" s="95"/>
      <c r="D479" s="92"/>
      <c r="E479" s="96"/>
      <c r="F479" s="97"/>
      <c r="G479" s="94"/>
      <c r="H479" s="96"/>
    </row>
    <row r="480" spans="1:8" ht="15" x14ac:dyDescent="0.25">
      <c r="A480" s="95"/>
      <c r="B480" s="95"/>
      <c r="C480" s="95"/>
      <c r="D480" s="92"/>
      <c r="E480" s="96"/>
      <c r="F480" s="97"/>
      <c r="G480" s="94"/>
      <c r="H480" s="96"/>
    </row>
    <row r="481" spans="1:8" ht="15" x14ac:dyDescent="0.25">
      <c r="A481" s="95"/>
      <c r="B481" s="95"/>
      <c r="C481" s="95"/>
      <c r="D481" s="92"/>
      <c r="E481" s="96"/>
      <c r="F481" s="97"/>
      <c r="G481" s="94"/>
      <c r="H481" s="96"/>
    </row>
    <row r="482" spans="1:8" ht="15" x14ac:dyDescent="0.25">
      <c r="A482" s="95"/>
      <c r="B482" s="95"/>
      <c r="C482" s="95"/>
      <c r="D482" s="92"/>
      <c r="E482" s="96"/>
      <c r="F482" s="97"/>
      <c r="G482" s="94"/>
      <c r="H482" s="96"/>
    </row>
    <row r="483" spans="1:8" ht="15" x14ac:dyDescent="0.25">
      <c r="A483" s="95"/>
      <c r="B483" s="95"/>
      <c r="C483" s="95"/>
      <c r="D483" s="92"/>
      <c r="E483" s="96"/>
      <c r="F483" s="97"/>
      <c r="G483" s="94"/>
      <c r="H483" s="96"/>
    </row>
    <row r="484" spans="1:8" ht="15" x14ac:dyDescent="0.25">
      <c r="A484" s="95"/>
      <c r="B484" s="95"/>
      <c r="C484" s="95"/>
      <c r="D484" s="92"/>
      <c r="E484" s="96"/>
      <c r="F484" s="97"/>
      <c r="G484" s="94"/>
      <c r="H484" s="96"/>
    </row>
    <row r="485" spans="1:8" ht="15" x14ac:dyDescent="0.25">
      <c r="A485" s="95"/>
      <c r="B485" s="95"/>
      <c r="C485" s="95"/>
      <c r="D485" s="92"/>
      <c r="E485" s="96"/>
      <c r="F485" s="97"/>
      <c r="G485" s="94"/>
      <c r="H485" s="96"/>
    </row>
    <row r="486" spans="1:8" ht="15" x14ac:dyDescent="0.25">
      <c r="A486" s="95"/>
      <c r="B486" s="95"/>
      <c r="C486" s="95"/>
      <c r="D486" s="92"/>
      <c r="E486" s="96"/>
      <c r="F486" s="97"/>
      <c r="G486" s="94"/>
      <c r="H486" s="96"/>
    </row>
    <row r="487" spans="1:8" ht="15" x14ac:dyDescent="0.25">
      <c r="A487" s="95"/>
      <c r="B487" s="95"/>
      <c r="C487" s="95"/>
      <c r="D487" s="92"/>
      <c r="E487" s="96"/>
      <c r="F487" s="97"/>
      <c r="G487" s="94"/>
      <c r="H487" s="96"/>
    </row>
    <row r="488" spans="1:8" ht="15" x14ac:dyDescent="0.25">
      <c r="A488" s="95"/>
      <c r="B488" s="95"/>
      <c r="C488" s="95"/>
      <c r="D488" s="92"/>
      <c r="E488" s="96"/>
      <c r="F488" s="97"/>
      <c r="G488" s="94"/>
      <c r="H488" s="96"/>
    </row>
    <row r="489" spans="1:8" ht="15" x14ac:dyDescent="0.25">
      <c r="A489" s="95"/>
      <c r="B489" s="95"/>
      <c r="C489" s="95"/>
      <c r="D489" s="92"/>
      <c r="E489" s="96"/>
      <c r="F489" s="97"/>
      <c r="G489" s="94"/>
      <c r="H489" s="96"/>
    </row>
    <row r="490" spans="1:8" ht="15" x14ac:dyDescent="0.25">
      <c r="A490" s="95"/>
      <c r="B490" s="95"/>
      <c r="C490" s="95"/>
      <c r="D490" s="92"/>
      <c r="E490" s="96"/>
      <c r="F490" s="97"/>
      <c r="G490" s="94"/>
      <c r="H490" s="96"/>
    </row>
    <row r="491" spans="1:8" ht="15" x14ac:dyDescent="0.25">
      <c r="A491" s="95"/>
      <c r="B491" s="95"/>
      <c r="C491" s="95"/>
      <c r="D491" s="92"/>
      <c r="E491" s="96"/>
      <c r="F491" s="97"/>
      <c r="G491" s="94"/>
      <c r="H491" s="96"/>
    </row>
    <row r="492" spans="1:8" ht="15" x14ac:dyDescent="0.25">
      <c r="A492" s="95"/>
      <c r="B492" s="95"/>
      <c r="C492" s="95"/>
      <c r="D492" s="92"/>
      <c r="E492" s="96"/>
      <c r="F492" s="97"/>
      <c r="G492" s="94"/>
      <c r="H492" s="96"/>
    </row>
    <row r="493" spans="1:8" ht="15" x14ac:dyDescent="0.25">
      <c r="A493" s="95"/>
      <c r="B493" s="95"/>
      <c r="C493" s="95"/>
      <c r="D493" s="92"/>
      <c r="E493" s="96"/>
      <c r="F493" s="97"/>
      <c r="G493" s="94"/>
      <c r="H493" s="96"/>
    </row>
    <row r="494" spans="1:8" ht="15" x14ac:dyDescent="0.25">
      <c r="A494" s="95"/>
      <c r="B494" s="95"/>
      <c r="C494" s="95"/>
      <c r="D494" s="92"/>
      <c r="E494" s="96"/>
      <c r="F494" s="97"/>
      <c r="G494" s="94"/>
      <c r="H494" s="96"/>
    </row>
    <row r="495" spans="1:8" ht="15" x14ac:dyDescent="0.25">
      <c r="A495" s="95"/>
      <c r="B495" s="95"/>
      <c r="C495" s="95"/>
      <c r="D495" s="92"/>
      <c r="E495" s="96"/>
      <c r="F495" s="97"/>
      <c r="G495" s="94"/>
      <c r="H495" s="96"/>
    </row>
    <row r="496" spans="1:8" ht="15" x14ac:dyDescent="0.25">
      <c r="A496" s="95"/>
      <c r="B496" s="95"/>
      <c r="C496" s="95"/>
      <c r="D496" s="92"/>
      <c r="E496" s="96"/>
      <c r="F496" s="97"/>
      <c r="G496" s="94"/>
      <c r="H496" s="96"/>
    </row>
    <row r="497" spans="1:8" ht="15" x14ac:dyDescent="0.25">
      <c r="A497" s="95"/>
      <c r="B497" s="95"/>
      <c r="C497" s="95"/>
      <c r="D497" s="92"/>
      <c r="E497" s="96"/>
      <c r="F497" s="97"/>
      <c r="G497" s="94"/>
      <c r="H497" s="96"/>
    </row>
    <row r="498" spans="1:8" ht="15" x14ac:dyDescent="0.25">
      <c r="A498" s="95"/>
      <c r="B498" s="95"/>
      <c r="C498" s="95"/>
      <c r="D498" s="92"/>
      <c r="E498" s="96"/>
      <c r="F498" s="97"/>
      <c r="G498" s="94"/>
      <c r="H498" s="96"/>
    </row>
    <row r="499" spans="1:8" ht="15" x14ac:dyDescent="0.25">
      <c r="A499" s="95"/>
      <c r="B499" s="95"/>
      <c r="C499" s="95"/>
      <c r="D499" s="92"/>
      <c r="E499" s="96"/>
      <c r="F499" s="97"/>
      <c r="G499" s="94"/>
      <c r="H499" s="96"/>
    </row>
    <row r="500" spans="1:8" ht="15" x14ac:dyDescent="0.25">
      <c r="A500" s="95"/>
      <c r="B500" s="95"/>
      <c r="C500" s="95"/>
      <c r="D500" s="92"/>
      <c r="E500" s="96"/>
      <c r="F500" s="97"/>
      <c r="G500" s="94"/>
      <c r="H500" s="96"/>
    </row>
    <row r="501" spans="1:8" ht="15" x14ac:dyDescent="0.25">
      <c r="A501" s="95"/>
      <c r="B501" s="95"/>
      <c r="C501" s="95"/>
      <c r="D501" s="92"/>
      <c r="E501" s="96"/>
      <c r="F501" s="97"/>
      <c r="G501" s="94"/>
      <c r="H501" s="96"/>
    </row>
    <row r="502" spans="1:8" ht="15" x14ac:dyDescent="0.25">
      <c r="A502" s="95"/>
      <c r="B502" s="95"/>
      <c r="C502" s="95"/>
      <c r="D502" s="92"/>
      <c r="E502" s="96"/>
      <c r="F502" s="97"/>
      <c r="G502" s="94"/>
      <c r="H502" s="96"/>
    </row>
    <row r="503" spans="1:8" ht="15" x14ac:dyDescent="0.25">
      <c r="A503" s="95"/>
      <c r="B503" s="95"/>
      <c r="C503" s="95"/>
      <c r="D503" s="92"/>
      <c r="E503" s="96"/>
      <c r="F503" s="97"/>
      <c r="G503" s="94"/>
      <c r="H503" s="96"/>
    </row>
    <row r="504" spans="1:8" ht="15" x14ac:dyDescent="0.25">
      <c r="A504" s="95"/>
      <c r="B504" s="95"/>
      <c r="C504" s="95"/>
      <c r="D504" s="92"/>
      <c r="E504" s="96"/>
      <c r="F504" s="97"/>
      <c r="G504" s="94"/>
      <c r="H504" s="96"/>
    </row>
    <row r="505" spans="1:8" ht="15" x14ac:dyDescent="0.25">
      <c r="A505" s="95"/>
      <c r="B505" s="95"/>
      <c r="C505" s="95"/>
      <c r="D505" s="92"/>
      <c r="E505" s="96"/>
      <c r="F505" s="97"/>
      <c r="G505" s="94"/>
      <c r="H505" s="96"/>
    </row>
    <row r="506" spans="1:8" ht="15" x14ac:dyDescent="0.25">
      <c r="A506" s="95"/>
      <c r="B506" s="95"/>
      <c r="C506" s="95"/>
      <c r="D506" s="92"/>
      <c r="E506" s="96"/>
      <c r="F506" s="97"/>
      <c r="G506" s="94"/>
      <c r="H506" s="96"/>
    </row>
    <row r="507" spans="1:8" ht="15" x14ac:dyDescent="0.25">
      <c r="A507" s="95"/>
      <c r="B507" s="95"/>
      <c r="C507" s="95"/>
      <c r="D507" s="92"/>
      <c r="E507" s="96"/>
      <c r="F507" s="97"/>
      <c r="G507" s="94"/>
      <c r="H507" s="96"/>
    </row>
    <row r="508" spans="1:8" ht="15" x14ac:dyDescent="0.25">
      <c r="A508" s="95"/>
      <c r="B508" s="95"/>
      <c r="C508" s="95"/>
      <c r="D508" s="92"/>
      <c r="E508" s="96"/>
      <c r="F508" s="97"/>
      <c r="G508" s="94"/>
      <c r="H508" s="96"/>
    </row>
    <row r="509" spans="1:8" ht="15" x14ac:dyDescent="0.25">
      <c r="A509" s="95"/>
      <c r="B509" s="95"/>
      <c r="C509" s="95"/>
      <c r="D509" s="92"/>
      <c r="E509" s="96"/>
      <c r="F509" s="97"/>
      <c r="G509" s="94"/>
      <c r="H509" s="96"/>
    </row>
    <row r="510" spans="1:8" ht="15" x14ac:dyDescent="0.25">
      <c r="A510" s="95"/>
      <c r="B510" s="95"/>
      <c r="C510" s="95"/>
      <c r="D510" s="92"/>
      <c r="E510" s="96"/>
      <c r="F510" s="97"/>
      <c r="G510" s="94"/>
      <c r="H510" s="96"/>
    </row>
    <row r="511" spans="1:8" ht="15" x14ac:dyDescent="0.25">
      <c r="A511" s="95"/>
      <c r="B511" s="95"/>
      <c r="C511" s="95"/>
      <c r="D511" s="92"/>
      <c r="E511" s="96"/>
      <c r="F511" s="97"/>
      <c r="G511" s="94"/>
      <c r="H511" s="96"/>
    </row>
    <row r="512" spans="1:8" ht="15" x14ac:dyDescent="0.25">
      <c r="A512" s="95"/>
      <c r="B512" s="95"/>
      <c r="C512" s="95"/>
      <c r="D512" s="92"/>
      <c r="E512" s="96"/>
      <c r="F512" s="97"/>
      <c r="G512" s="94"/>
      <c r="H512" s="96"/>
    </row>
    <row r="513" spans="1:8" ht="15" x14ac:dyDescent="0.25">
      <c r="A513" s="95"/>
      <c r="B513" s="95"/>
      <c r="C513" s="95"/>
      <c r="D513" s="92"/>
      <c r="E513" s="96"/>
      <c r="F513" s="97"/>
      <c r="G513" s="94"/>
      <c r="H513" s="96"/>
    </row>
    <row r="514" spans="1:8" ht="15" x14ac:dyDescent="0.25">
      <c r="A514" s="95"/>
      <c r="B514" s="95"/>
      <c r="C514" s="95"/>
      <c r="D514" s="92"/>
      <c r="E514" s="96"/>
      <c r="F514" s="97"/>
      <c r="G514" s="94"/>
      <c r="H514" s="96"/>
    </row>
    <row r="515" spans="1:8" ht="15" x14ac:dyDescent="0.25">
      <c r="A515" s="95"/>
      <c r="B515" s="95"/>
      <c r="C515" s="95"/>
      <c r="D515" s="92"/>
      <c r="E515" s="96"/>
      <c r="F515" s="97"/>
      <c r="G515" s="94"/>
      <c r="H515" s="96"/>
    </row>
    <row r="516" spans="1:8" ht="15" x14ac:dyDescent="0.25">
      <c r="A516" s="95"/>
      <c r="B516" s="95"/>
      <c r="C516" s="95"/>
      <c r="D516" s="92"/>
      <c r="E516" s="96"/>
      <c r="F516" s="97"/>
      <c r="G516" s="94"/>
      <c r="H516" s="96"/>
    </row>
    <row r="517" spans="1:8" ht="15" x14ac:dyDescent="0.25">
      <c r="A517" s="95"/>
      <c r="B517" s="95"/>
      <c r="C517" s="95"/>
      <c r="D517" s="92"/>
      <c r="E517" s="96"/>
      <c r="F517" s="97"/>
      <c r="G517" s="94"/>
      <c r="H517" s="96"/>
    </row>
    <row r="518" spans="1:8" ht="15" x14ac:dyDescent="0.25">
      <c r="A518" s="95"/>
      <c r="B518" s="95"/>
      <c r="C518" s="95"/>
      <c r="D518" s="92"/>
      <c r="E518" s="96"/>
      <c r="F518" s="97"/>
      <c r="G518" s="94"/>
      <c r="H518" s="96"/>
    </row>
    <row r="519" spans="1:8" ht="15" x14ac:dyDescent="0.25">
      <c r="A519" s="95"/>
      <c r="B519" s="95"/>
      <c r="C519" s="95"/>
      <c r="D519" s="92"/>
      <c r="E519" s="96"/>
      <c r="F519" s="97"/>
      <c r="G519" s="94"/>
      <c r="H519" s="96"/>
    </row>
    <row r="520" spans="1:8" ht="15" x14ac:dyDescent="0.25">
      <c r="A520" s="95"/>
      <c r="B520" s="95"/>
      <c r="C520" s="95"/>
      <c r="D520" s="92"/>
      <c r="E520" s="96"/>
      <c r="F520" s="97"/>
      <c r="G520" s="94"/>
      <c r="H520" s="96"/>
    </row>
    <row r="521" spans="1:8" ht="15" x14ac:dyDescent="0.25">
      <c r="A521" s="95"/>
      <c r="B521" s="95"/>
      <c r="C521" s="95"/>
      <c r="D521" s="92"/>
      <c r="E521" s="96"/>
      <c r="F521" s="97"/>
      <c r="G521" s="94"/>
      <c r="H521" s="96"/>
    </row>
    <row r="522" spans="1:8" ht="15" x14ac:dyDescent="0.25">
      <c r="A522" s="95"/>
      <c r="B522" s="95"/>
      <c r="C522" s="95"/>
      <c r="D522" s="92"/>
      <c r="E522" s="96"/>
      <c r="F522" s="97"/>
      <c r="G522" s="94"/>
      <c r="H522" s="96"/>
    </row>
    <row r="523" spans="1:8" ht="15" x14ac:dyDescent="0.25">
      <c r="A523" s="95"/>
      <c r="B523" s="95"/>
      <c r="C523" s="95"/>
      <c r="D523" s="92"/>
      <c r="E523" s="96"/>
      <c r="F523" s="97"/>
      <c r="G523" s="94"/>
      <c r="H523" s="96"/>
    </row>
    <row r="524" spans="1:8" ht="15" x14ac:dyDescent="0.25">
      <c r="A524" s="95"/>
      <c r="B524" s="95"/>
      <c r="C524" s="95"/>
      <c r="D524" s="92"/>
      <c r="E524" s="96"/>
      <c r="F524" s="97"/>
      <c r="G524" s="94"/>
      <c r="H524" s="96"/>
    </row>
    <row r="525" spans="1:8" ht="15" x14ac:dyDescent="0.25">
      <c r="A525" s="95"/>
      <c r="B525" s="95"/>
      <c r="C525" s="95"/>
      <c r="D525" s="92"/>
      <c r="E525" s="96"/>
      <c r="F525" s="97"/>
      <c r="G525" s="94"/>
      <c r="H525" s="96"/>
    </row>
    <row r="526" spans="1:8" ht="15" x14ac:dyDescent="0.25">
      <c r="A526" s="95"/>
      <c r="B526" s="95"/>
      <c r="C526" s="95"/>
      <c r="D526" s="92"/>
      <c r="E526" s="96"/>
      <c r="F526" s="97"/>
      <c r="G526" s="94"/>
      <c r="H526" s="96"/>
    </row>
    <row r="527" spans="1:8" ht="15" x14ac:dyDescent="0.25">
      <c r="A527" s="95"/>
      <c r="B527" s="95"/>
      <c r="C527" s="95"/>
      <c r="D527" s="92"/>
      <c r="E527" s="96"/>
      <c r="F527" s="97"/>
      <c r="G527" s="94"/>
      <c r="H527" s="96"/>
    </row>
    <row r="528" spans="1:8" ht="15" x14ac:dyDescent="0.25">
      <c r="A528" s="95"/>
      <c r="B528" s="95"/>
      <c r="C528" s="95"/>
      <c r="D528" s="92"/>
      <c r="E528" s="96"/>
      <c r="F528" s="97"/>
      <c r="G528" s="94"/>
      <c r="H528" s="96"/>
    </row>
    <row r="529" spans="1:8" ht="15" x14ac:dyDescent="0.25">
      <c r="A529" s="95"/>
      <c r="B529" s="95"/>
      <c r="C529" s="95"/>
      <c r="D529" s="92"/>
      <c r="E529" s="96"/>
      <c r="F529" s="97"/>
      <c r="G529" s="94"/>
      <c r="H529" s="96"/>
    </row>
    <row r="530" spans="1:8" ht="15" x14ac:dyDescent="0.25">
      <c r="A530" s="95"/>
      <c r="B530" s="95"/>
      <c r="C530" s="95"/>
      <c r="D530" s="92"/>
      <c r="E530" s="96"/>
      <c r="F530" s="97"/>
      <c r="G530" s="94"/>
      <c r="H530" s="96"/>
    </row>
    <row r="531" spans="1:8" ht="15" x14ac:dyDescent="0.25">
      <c r="A531" s="95"/>
      <c r="B531" s="95"/>
      <c r="C531" s="95"/>
      <c r="D531" s="92"/>
      <c r="E531" s="96"/>
      <c r="F531" s="97"/>
      <c r="G531" s="94"/>
      <c r="H531" s="96"/>
    </row>
    <row r="532" spans="1:8" ht="15" x14ac:dyDescent="0.25">
      <c r="A532" s="95"/>
      <c r="B532" s="95"/>
      <c r="C532" s="95"/>
      <c r="D532" s="92"/>
      <c r="E532" s="96"/>
      <c r="F532" s="97"/>
      <c r="G532" s="94"/>
      <c r="H532" s="96"/>
    </row>
    <row r="533" spans="1:8" ht="15" x14ac:dyDescent="0.25">
      <c r="A533" s="95"/>
      <c r="B533" s="95"/>
      <c r="C533" s="95"/>
      <c r="D533" s="92"/>
      <c r="E533" s="96"/>
      <c r="F533" s="97"/>
      <c r="G533" s="94"/>
      <c r="H533" s="96"/>
    </row>
    <row r="534" spans="1:8" ht="15" x14ac:dyDescent="0.25">
      <c r="A534" s="95"/>
      <c r="B534" s="95"/>
      <c r="C534" s="95"/>
      <c r="D534" s="92"/>
      <c r="E534" s="96"/>
      <c r="F534" s="97"/>
      <c r="G534" s="94"/>
      <c r="H534" s="96"/>
    </row>
    <row r="535" spans="1:8" ht="15" x14ac:dyDescent="0.25">
      <c r="A535" s="95"/>
      <c r="B535" s="95"/>
      <c r="C535" s="95"/>
      <c r="D535" s="92"/>
      <c r="E535" s="96"/>
      <c r="F535" s="97"/>
      <c r="G535" s="94"/>
      <c r="H535" s="96"/>
    </row>
    <row r="536" spans="1:8" ht="15" x14ac:dyDescent="0.25">
      <c r="A536" s="95"/>
      <c r="B536" s="95"/>
      <c r="C536" s="95"/>
      <c r="D536" s="92"/>
      <c r="E536" s="96"/>
      <c r="F536" s="97"/>
      <c r="G536" s="94"/>
      <c r="H536" s="96"/>
    </row>
    <row r="537" spans="1:8" ht="15" x14ac:dyDescent="0.25">
      <c r="A537" s="95"/>
      <c r="B537" s="95"/>
      <c r="C537" s="95"/>
      <c r="D537" s="92"/>
      <c r="E537" s="96"/>
      <c r="F537" s="97"/>
      <c r="G537" s="94"/>
      <c r="H537" s="96"/>
    </row>
    <row r="538" spans="1:8" ht="15" x14ac:dyDescent="0.25">
      <c r="A538" s="95"/>
      <c r="B538" s="95"/>
      <c r="C538" s="95"/>
      <c r="D538" s="92"/>
      <c r="E538" s="96"/>
      <c r="F538" s="97"/>
      <c r="G538" s="94"/>
      <c r="H538" s="96"/>
    </row>
    <row r="539" spans="1:8" ht="15" x14ac:dyDescent="0.25">
      <c r="A539" s="95"/>
      <c r="B539" s="95"/>
      <c r="C539" s="95"/>
      <c r="D539" s="92"/>
      <c r="E539" s="96"/>
      <c r="F539" s="97"/>
      <c r="G539" s="94"/>
      <c r="H539" s="96"/>
    </row>
    <row r="540" spans="1:8" ht="15" x14ac:dyDescent="0.25">
      <c r="A540" s="95"/>
      <c r="B540" s="95"/>
      <c r="C540" s="95"/>
      <c r="D540" s="92"/>
      <c r="E540" s="96"/>
      <c r="F540" s="97"/>
      <c r="G540" s="94"/>
      <c r="H540" s="96"/>
    </row>
    <row r="541" spans="1:8" ht="15" x14ac:dyDescent="0.25">
      <c r="A541" s="95"/>
      <c r="B541" s="95"/>
      <c r="C541" s="95"/>
      <c r="D541" s="92"/>
      <c r="E541" s="96"/>
      <c r="F541" s="97"/>
      <c r="G541" s="94"/>
      <c r="H541" s="96"/>
    </row>
    <row r="542" spans="1:8" ht="15" x14ac:dyDescent="0.25">
      <c r="A542" s="95"/>
      <c r="B542" s="95"/>
      <c r="C542" s="95"/>
      <c r="D542" s="92"/>
      <c r="E542" s="96"/>
      <c r="F542" s="97"/>
      <c r="G542" s="94"/>
      <c r="H542" s="96"/>
    </row>
    <row r="543" spans="1:8" ht="15" x14ac:dyDescent="0.25">
      <c r="A543" s="95"/>
      <c r="B543" s="95"/>
      <c r="C543" s="95"/>
      <c r="D543" s="92"/>
      <c r="E543" s="96"/>
      <c r="F543" s="97"/>
      <c r="G543" s="94"/>
      <c r="H543" s="96"/>
    </row>
    <row r="544" spans="1:8" ht="15" x14ac:dyDescent="0.25">
      <c r="A544" s="95"/>
      <c r="B544" s="95"/>
      <c r="C544" s="95"/>
      <c r="D544" s="92"/>
      <c r="E544" s="96"/>
      <c r="F544" s="97"/>
      <c r="G544" s="94"/>
      <c r="H544" s="96"/>
    </row>
    <row r="545" spans="1:8" ht="15" x14ac:dyDescent="0.25">
      <c r="A545" s="95"/>
      <c r="B545" s="95"/>
      <c r="C545" s="95"/>
      <c r="D545" s="92"/>
      <c r="E545" s="96"/>
      <c r="F545" s="97"/>
      <c r="G545" s="94"/>
      <c r="H545" s="96"/>
    </row>
    <row r="546" spans="1:8" ht="15" x14ac:dyDescent="0.25">
      <c r="A546" s="95"/>
      <c r="B546" s="95"/>
      <c r="C546" s="95"/>
      <c r="D546" s="92"/>
      <c r="E546" s="96"/>
      <c r="F546" s="97"/>
      <c r="G546" s="94"/>
      <c r="H546" s="96"/>
    </row>
    <row r="547" spans="1:8" ht="15" x14ac:dyDescent="0.25">
      <c r="A547" s="95"/>
      <c r="B547" s="95"/>
      <c r="C547" s="95"/>
      <c r="D547" s="92"/>
      <c r="E547" s="96"/>
      <c r="F547" s="97"/>
      <c r="G547" s="94"/>
      <c r="H547" s="96"/>
    </row>
    <row r="548" spans="1:8" ht="15" x14ac:dyDescent="0.25">
      <c r="A548" s="95"/>
      <c r="B548" s="95"/>
      <c r="C548" s="95"/>
      <c r="D548" s="92"/>
      <c r="E548" s="96"/>
      <c r="F548" s="97"/>
      <c r="G548" s="94"/>
      <c r="H548" s="96"/>
    </row>
    <row r="549" spans="1:8" ht="15" x14ac:dyDescent="0.25">
      <c r="A549" s="95"/>
      <c r="B549" s="95"/>
      <c r="C549" s="95"/>
      <c r="D549" s="92"/>
      <c r="E549" s="96"/>
      <c r="F549" s="97"/>
      <c r="G549" s="94"/>
      <c r="H549" s="96"/>
    </row>
    <row r="550" spans="1:8" ht="15" x14ac:dyDescent="0.25">
      <c r="A550" s="95"/>
      <c r="B550" s="95"/>
      <c r="C550" s="95"/>
      <c r="D550" s="92"/>
      <c r="E550" s="96"/>
      <c r="F550" s="97"/>
      <c r="G550" s="94"/>
      <c r="H550" s="96"/>
    </row>
    <row r="551" spans="1:8" ht="15" x14ac:dyDescent="0.25">
      <c r="A551" s="95"/>
      <c r="B551" s="95"/>
      <c r="C551" s="95"/>
      <c r="D551" s="92"/>
      <c r="E551" s="96"/>
      <c r="F551" s="97"/>
      <c r="G551" s="94"/>
      <c r="H551" s="96"/>
    </row>
    <row r="552" spans="1:8" ht="15" x14ac:dyDescent="0.25">
      <c r="A552" s="95"/>
      <c r="B552" s="95"/>
      <c r="C552" s="95"/>
      <c r="D552" s="92"/>
      <c r="E552" s="96"/>
      <c r="F552" s="97"/>
      <c r="G552" s="94"/>
      <c r="H552" s="96"/>
    </row>
    <row r="553" spans="1:8" ht="15" x14ac:dyDescent="0.25">
      <c r="A553" s="95"/>
      <c r="B553" s="95"/>
      <c r="C553" s="95"/>
      <c r="D553" s="92"/>
      <c r="E553" s="96"/>
      <c r="F553" s="97"/>
      <c r="G553" s="94"/>
      <c r="H553" s="96"/>
    </row>
    <row r="554" spans="1:8" ht="15" x14ac:dyDescent="0.25">
      <c r="A554" s="95"/>
      <c r="B554" s="95"/>
      <c r="C554" s="95"/>
      <c r="D554" s="92"/>
      <c r="E554" s="96"/>
      <c r="F554" s="97"/>
      <c r="G554" s="94"/>
      <c r="H554" s="96"/>
    </row>
    <row r="555" spans="1:8" ht="15" x14ac:dyDescent="0.25">
      <c r="A555" s="95"/>
      <c r="B555" s="95"/>
      <c r="C555" s="95"/>
      <c r="D555" s="92"/>
      <c r="E555" s="96"/>
      <c r="F555" s="97"/>
      <c r="G555" s="94"/>
      <c r="H555" s="96"/>
    </row>
    <row r="556" spans="1:8" ht="15" x14ac:dyDescent="0.25">
      <c r="A556" s="95"/>
      <c r="B556" s="95"/>
      <c r="C556" s="95"/>
      <c r="D556" s="92"/>
      <c r="E556" s="96"/>
      <c r="F556" s="97"/>
      <c r="G556" s="94"/>
      <c r="H556" s="96"/>
    </row>
    <row r="557" spans="1:8" ht="15" x14ac:dyDescent="0.25">
      <c r="A557" s="95"/>
      <c r="B557" s="95"/>
      <c r="C557" s="95"/>
      <c r="D557" s="92"/>
      <c r="E557" s="96"/>
      <c r="F557" s="97"/>
      <c r="G557" s="94"/>
      <c r="H557" s="96"/>
    </row>
    <row r="558" spans="1:8" ht="15" x14ac:dyDescent="0.25">
      <c r="A558" s="95"/>
      <c r="B558" s="95"/>
      <c r="C558" s="95"/>
      <c r="D558" s="92"/>
      <c r="E558" s="96"/>
      <c r="F558" s="97"/>
      <c r="G558" s="94"/>
      <c r="H558" s="96"/>
    </row>
    <row r="559" spans="1:8" ht="15" x14ac:dyDescent="0.25">
      <c r="A559" s="95"/>
      <c r="B559" s="95"/>
      <c r="C559" s="95"/>
      <c r="D559" s="92"/>
      <c r="E559" s="96"/>
      <c r="F559" s="97"/>
      <c r="G559" s="94"/>
      <c r="H559" s="96"/>
    </row>
    <row r="560" spans="1:8" ht="15" x14ac:dyDescent="0.25">
      <c r="A560" s="95"/>
      <c r="B560" s="95"/>
      <c r="C560" s="95"/>
      <c r="D560" s="92"/>
      <c r="E560" s="96"/>
      <c r="F560" s="97"/>
      <c r="G560" s="94"/>
      <c r="H560" s="96"/>
    </row>
    <row r="561" spans="1:8" ht="15" x14ac:dyDescent="0.25">
      <c r="A561" s="95"/>
      <c r="B561" s="95"/>
      <c r="C561" s="95"/>
      <c r="D561" s="92"/>
      <c r="E561" s="96"/>
      <c r="F561" s="97"/>
      <c r="G561" s="94"/>
      <c r="H561" s="96"/>
    </row>
    <row r="562" spans="1:8" ht="15" x14ac:dyDescent="0.25">
      <c r="A562" s="95"/>
      <c r="B562" s="95"/>
      <c r="C562" s="95"/>
      <c r="D562" s="92"/>
      <c r="E562" s="96"/>
      <c r="F562" s="97"/>
      <c r="G562" s="94"/>
      <c r="H562" s="96"/>
    </row>
    <row r="563" spans="1:8" ht="15" x14ac:dyDescent="0.25">
      <c r="A563" s="95"/>
      <c r="B563" s="95"/>
      <c r="C563" s="95"/>
      <c r="D563" s="92"/>
      <c r="E563" s="96"/>
      <c r="F563" s="97"/>
      <c r="G563" s="94"/>
      <c r="H563" s="96"/>
    </row>
    <row r="564" spans="1:8" ht="15" x14ac:dyDescent="0.25">
      <c r="A564" s="95"/>
      <c r="B564" s="95"/>
      <c r="C564" s="95"/>
      <c r="D564" s="92"/>
      <c r="E564" s="96"/>
      <c r="F564" s="97"/>
      <c r="G564" s="94"/>
      <c r="H564" s="96"/>
    </row>
    <row r="565" spans="1:8" ht="15" x14ac:dyDescent="0.25">
      <c r="A565" s="95"/>
      <c r="B565" s="95"/>
      <c r="C565" s="95"/>
      <c r="D565" s="92"/>
      <c r="E565" s="96"/>
      <c r="F565" s="97"/>
      <c r="G565" s="94"/>
      <c r="H565" s="96"/>
    </row>
    <row r="566" spans="1:8" ht="15" x14ac:dyDescent="0.25">
      <c r="A566" s="95"/>
      <c r="B566" s="95"/>
      <c r="C566" s="95"/>
      <c r="D566" s="92"/>
      <c r="E566" s="96"/>
      <c r="F566" s="97"/>
      <c r="G566" s="94"/>
      <c r="H566" s="96"/>
    </row>
    <row r="567" spans="1:8" ht="15" x14ac:dyDescent="0.25">
      <c r="A567" s="95"/>
      <c r="B567" s="95"/>
      <c r="C567" s="95"/>
      <c r="D567" s="92"/>
      <c r="E567" s="96"/>
      <c r="F567" s="97"/>
      <c r="G567" s="94"/>
      <c r="H567" s="96"/>
    </row>
    <row r="568" spans="1:8" ht="15" x14ac:dyDescent="0.25">
      <c r="A568" s="95"/>
      <c r="B568" s="95"/>
      <c r="C568" s="95"/>
      <c r="D568" s="92"/>
      <c r="E568" s="96"/>
      <c r="F568" s="97"/>
      <c r="G568" s="94"/>
      <c r="H568" s="96"/>
    </row>
    <row r="569" spans="1:8" ht="15" x14ac:dyDescent="0.25">
      <c r="A569" s="95"/>
      <c r="B569" s="95"/>
      <c r="C569" s="95"/>
      <c r="D569" s="92"/>
      <c r="E569" s="96"/>
      <c r="F569" s="97"/>
      <c r="G569" s="94"/>
      <c r="H569" s="96"/>
    </row>
    <row r="570" spans="1:8" ht="15" x14ac:dyDescent="0.25">
      <c r="A570" s="95"/>
      <c r="B570" s="95"/>
      <c r="C570" s="95"/>
      <c r="D570" s="92"/>
      <c r="E570" s="96"/>
      <c r="F570" s="97"/>
      <c r="G570" s="94"/>
      <c r="H570" s="96"/>
    </row>
    <row r="571" spans="1:8" ht="15" x14ac:dyDescent="0.25">
      <c r="A571" s="95"/>
      <c r="B571" s="95"/>
      <c r="C571" s="95"/>
      <c r="D571" s="92"/>
      <c r="E571" s="96"/>
      <c r="F571" s="97"/>
      <c r="G571" s="94"/>
      <c r="H571" s="96"/>
    </row>
    <row r="572" spans="1:8" ht="15" x14ac:dyDescent="0.25">
      <c r="A572" s="95"/>
      <c r="B572" s="95"/>
      <c r="C572" s="95"/>
      <c r="D572" s="92"/>
      <c r="E572" s="96"/>
      <c r="F572" s="97"/>
      <c r="G572" s="94"/>
      <c r="H572" s="96"/>
    </row>
    <row r="573" spans="1:8" ht="15" x14ac:dyDescent="0.25">
      <c r="A573" s="95"/>
      <c r="B573" s="95"/>
      <c r="C573" s="95"/>
      <c r="D573" s="92"/>
      <c r="E573" s="96"/>
      <c r="F573" s="97"/>
      <c r="G573" s="94"/>
      <c r="H573" s="96"/>
    </row>
    <row r="574" spans="1:8" ht="15" x14ac:dyDescent="0.25">
      <c r="A574" s="95"/>
      <c r="B574" s="95"/>
      <c r="C574" s="95"/>
      <c r="D574" s="92"/>
      <c r="E574" s="96"/>
      <c r="F574" s="97"/>
      <c r="G574" s="94"/>
      <c r="H574" s="96"/>
    </row>
    <row r="575" spans="1:8" ht="15" x14ac:dyDescent="0.25">
      <c r="A575" s="95"/>
      <c r="B575" s="95"/>
      <c r="C575" s="95"/>
      <c r="D575" s="92"/>
      <c r="E575" s="96"/>
      <c r="F575" s="97"/>
      <c r="G575" s="94"/>
      <c r="H575" s="96"/>
    </row>
    <row r="576" spans="1:8" ht="15" x14ac:dyDescent="0.25">
      <c r="A576" s="95"/>
      <c r="B576" s="95"/>
      <c r="C576" s="95"/>
      <c r="D576" s="92"/>
      <c r="E576" s="96"/>
      <c r="F576" s="97"/>
      <c r="G576" s="94"/>
      <c r="H576" s="96"/>
    </row>
    <row r="577" spans="1:8" ht="15" x14ac:dyDescent="0.25">
      <c r="A577" s="95"/>
      <c r="B577" s="95"/>
      <c r="C577" s="95"/>
      <c r="D577" s="92"/>
      <c r="E577" s="96"/>
      <c r="F577" s="97"/>
      <c r="G577" s="94"/>
      <c r="H577" s="96"/>
    </row>
    <row r="578" spans="1:8" ht="15" x14ac:dyDescent="0.25">
      <c r="A578" s="95"/>
      <c r="B578" s="95"/>
      <c r="C578" s="95"/>
      <c r="D578" s="92"/>
      <c r="E578" s="96"/>
      <c r="F578" s="97"/>
      <c r="G578" s="94"/>
      <c r="H578" s="96"/>
    </row>
    <row r="579" spans="1:8" ht="15" x14ac:dyDescent="0.25">
      <c r="A579" s="95"/>
      <c r="B579" s="95"/>
      <c r="C579" s="95"/>
      <c r="D579" s="92"/>
      <c r="E579" s="96"/>
      <c r="F579" s="97"/>
      <c r="G579" s="94"/>
      <c r="H579" s="96"/>
    </row>
    <row r="580" spans="1:8" ht="15" x14ac:dyDescent="0.25">
      <c r="A580" s="95"/>
      <c r="B580" s="95"/>
      <c r="C580" s="95"/>
      <c r="D580" s="92"/>
      <c r="E580" s="96"/>
      <c r="F580" s="97"/>
      <c r="G580" s="94"/>
      <c r="H580" s="96"/>
    </row>
    <row r="581" spans="1:8" ht="15" x14ac:dyDescent="0.25">
      <c r="A581" s="95"/>
      <c r="B581" s="95"/>
      <c r="C581" s="95"/>
      <c r="D581" s="92"/>
      <c r="E581" s="96"/>
      <c r="F581" s="97"/>
      <c r="G581" s="94"/>
      <c r="H581" s="96"/>
    </row>
    <row r="582" spans="1:8" ht="15" x14ac:dyDescent="0.25">
      <c r="A582" s="95"/>
      <c r="B582" s="95"/>
      <c r="C582" s="95"/>
      <c r="D582" s="92"/>
      <c r="E582" s="96"/>
      <c r="F582" s="97"/>
      <c r="G582" s="94"/>
      <c r="H582" s="96"/>
    </row>
    <row r="583" spans="1:8" ht="15" x14ac:dyDescent="0.25">
      <c r="A583" s="95"/>
      <c r="B583" s="95"/>
      <c r="C583" s="95"/>
      <c r="D583" s="92"/>
      <c r="E583" s="96"/>
      <c r="F583" s="97"/>
      <c r="G583" s="94"/>
      <c r="H583" s="96"/>
    </row>
    <row r="584" spans="1:8" ht="15" x14ac:dyDescent="0.25">
      <c r="A584" s="95"/>
      <c r="B584" s="95"/>
      <c r="C584" s="95"/>
      <c r="D584" s="92"/>
      <c r="E584" s="96"/>
      <c r="F584" s="97"/>
      <c r="G584" s="94"/>
      <c r="H584" s="96"/>
    </row>
    <row r="585" spans="1:8" ht="15" x14ac:dyDescent="0.25">
      <c r="A585" s="95"/>
      <c r="B585" s="95"/>
      <c r="C585" s="95"/>
      <c r="D585" s="92"/>
      <c r="E585" s="96"/>
      <c r="F585" s="97"/>
      <c r="G585" s="94"/>
      <c r="H585" s="96"/>
    </row>
    <row r="586" spans="1:8" ht="15" x14ac:dyDescent="0.25">
      <c r="A586" s="95"/>
      <c r="B586" s="95"/>
      <c r="C586" s="95"/>
      <c r="D586" s="92"/>
      <c r="E586" s="96"/>
      <c r="F586" s="97"/>
      <c r="G586" s="94"/>
      <c r="H586" s="96"/>
    </row>
    <row r="587" spans="1:8" ht="15" x14ac:dyDescent="0.25">
      <c r="A587" s="95"/>
      <c r="B587" s="95"/>
      <c r="C587" s="95"/>
      <c r="D587" s="92"/>
      <c r="E587" s="96"/>
      <c r="F587" s="97"/>
      <c r="G587" s="94"/>
      <c r="H587" s="96"/>
    </row>
    <row r="588" spans="1:8" ht="15" x14ac:dyDescent="0.25">
      <c r="A588" s="95"/>
      <c r="B588" s="95"/>
      <c r="C588" s="95"/>
      <c r="D588" s="92"/>
      <c r="E588" s="96"/>
      <c r="F588" s="97"/>
      <c r="G588" s="94"/>
      <c r="H588" s="96"/>
    </row>
    <row r="589" spans="1:8" ht="15" x14ac:dyDescent="0.25">
      <c r="A589" s="95"/>
      <c r="B589" s="95"/>
      <c r="C589" s="95"/>
      <c r="D589" s="92"/>
      <c r="E589" s="96"/>
      <c r="F589" s="97"/>
      <c r="G589" s="94"/>
      <c r="H589" s="96"/>
    </row>
    <row r="590" spans="1:8" ht="15" x14ac:dyDescent="0.25">
      <c r="A590" s="95"/>
      <c r="B590" s="95"/>
      <c r="C590" s="95"/>
      <c r="D590" s="92"/>
      <c r="E590" s="96"/>
      <c r="F590" s="97"/>
      <c r="G590" s="94"/>
      <c r="H590" s="96"/>
    </row>
    <row r="591" spans="1:8" ht="15" x14ac:dyDescent="0.25">
      <c r="A591" s="95"/>
      <c r="B591" s="95"/>
      <c r="C591" s="95"/>
      <c r="D591" s="92"/>
      <c r="E591" s="96"/>
      <c r="F591" s="97"/>
      <c r="G591" s="94"/>
      <c r="H591" s="96"/>
    </row>
    <row r="592" spans="1:8" ht="15" x14ac:dyDescent="0.25">
      <c r="A592" s="95"/>
      <c r="B592" s="95"/>
      <c r="C592" s="95"/>
      <c r="D592" s="92"/>
      <c r="E592" s="96"/>
      <c r="F592" s="97"/>
      <c r="G592" s="94"/>
      <c r="H592" s="96"/>
    </row>
    <row r="593" spans="1:8" ht="15" x14ac:dyDescent="0.25">
      <c r="A593" s="95"/>
      <c r="B593" s="95"/>
      <c r="C593" s="95"/>
      <c r="D593" s="92"/>
      <c r="E593" s="96"/>
      <c r="F593" s="97"/>
      <c r="G593" s="94"/>
      <c r="H593" s="96"/>
    </row>
    <row r="594" spans="1:8" ht="15" x14ac:dyDescent="0.25">
      <c r="A594" s="95"/>
      <c r="B594" s="95"/>
      <c r="C594" s="95"/>
      <c r="D594" s="92"/>
      <c r="E594" s="96"/>
      <c r="F594" s="97"/>
      <c r="G594" s="94"/>
      <c r="H594" s="96"/>
    </row>
    <row r="595" spans="1:8" ht="15" x14ac:dyDescent="0.25">
      <c r="A595" s="95"/>
      <c r="B595" s="95"/>
      <c r="C595" s="95"/>
      <c r="D595" s="92"/>
      <c r="E595" s="96"/>
      <c r="F595" s="97"/>
      <c r="G595" s="94"/>
      <c r="H595" s="96"/>
    </row>
    <row r="596" spans="1:8" ht="15" x14ac:dyDescent="0.25">
      <c r="A596" s="95"/>
      <c r="B596" s="95"/>
      <c r="C596" s="95"/>
      <c r="D596" s="92"/>
      <c r="E596" s="96"/>
      <c r="F596" s="97"/>
      <c r="G596" s="94"/>
      <c r="H596" s="96"/>
    </row>
    <row r="597" spans="1:8" ht="15" x14ac:dyDescent="0.25">
      <c r="A597" s="95"/>
      <c r="B597" s="95"/>
      <c r="C597" s="95"/>
      <c r="D597" s="92"/>
      <c r="E597" s="96"/>
      <c r="F597" s="97"/>
      <c r="G597" s="94"/>
      <c r="H597" s="96"/>
    </row>
    <row r="598" spans="1:8" ht="15" x14ac:dyDescent="0.25">
      <c r="A598" s="95"/>
      <c r="B598" s="95"/>
      <c r="C598" s="95"/>
      <c r="D598" s="92"/>
      <c r="E598" s="96"/>
      <c r="F598" s="97"/>
      <c r="G598" s="94"/>
      <c r="H598" s="96"/>
    </row>
    <row r="599" spans="1:8" ht="15" x14ac:dyDescent="0.25">
      <c r="A599" s="95"/>
      <c r="B599" s="95"/>
      <c r="C599" s="95"/>
      <c r="D599" s="92"/>
      <c r="E599" s="96"/>
      <c r="F599" s="97"/>
      <c r="G599" s="94"/>
      <c r="H599" s="96"/>
    </row>
    <row r="600" spans="1:8" ht="15" x14ac:dyDescent="0.25">
      <c r="A600" s="95"/>
      <c r="B600" s="95"/>
      <c r="C600" s="95"/>
      <c r="D600" s="92"/>
      <c r="E600" s="96"/>
      <c r="F600" s="97"/>
      <c r="G600" s="94"/>
      <c r="H600" s="96"/>
    </row>
    <row r="601" spans="1:8" ht="15" x14ac:dyDescent="0.25">
      <c r="A601" s="95"/>
      <c r="B601" s="95"/>
      <c r="C601" s="95"/>
      <c r="D601" s="92"/>
      <c r="E601" s="96"/>
      <c r="F601" s="97"/>
      <c r="G601" s="94"/>
      <c r="H601" s="96"/>
    </row>
    <row r="602" spans="1:8" ht="15" x14ac:dyDescent="0.25">
      <c r="A602" s="95"/>
      <c r="B602" s="95"/>
      <c r="C602" s="95"/>
      <c r="D602" s="92"/>
      <c r="E602" s="96"/>
      <c r="F602" s="97"/>
      <c r="G602" s="94"/>
      <c r="H602" s="96"/>
    </row>
    <row r="603" spans="1:8" ht="15" x14ac:dyDescent="0.25">
      <c r="A603" s="95"/>
      <c r="B603" s="95"/>
      <c r="C603" s="95"/>
      <c r="D603" s="92"/>
      <c r="E603" s="96"/>
      <c r="F603" s="97"/>
      <c r="G603" s="94"/>
      <c r="H603" s="96"/>
    </row>
    <row r="604" spans="1:8" ht="15" x14ac:dyDescent="0.25">
      <c r="A604" s="95"/>
      <c r="B604" s="95"/>
      <c r="C604" s="95"/>
      <c r="D604" s="92"/>
      <c r="E604" s="96"/>
      <c r="F604" s="97"/>
      <c r="G604" s="94"/>
      <c r="H604" s="96"/>
    </row>
    <row r="605" spans="1:8" ht="15" x14ac:dyDescent="0.25">
      <c r="A605" s="95"/>
      <c r="B605" s="95"/>
      <c r="C605" s="95"/>
      <c r="D605" s="92"/>
      <c r="E605" s="96"/>
      <c r="F605" s="97"/>
      <c r="G605" s="94"/>
      <c r="H605" s="96"/>
    </row>
    <row r="606" spans="1:8" ht="15" x14ac:dyDescent="0.25">
      <c r="A606" s="95"/>
      <c r="B606" s="95"/>
      <c r="C606" s="95"/>
      <c r="D606" s="92"/>
      <c r="E606" s="96"/>
      <c r="F606" s="97"/>
      <c r="G606" s="94"/>
      <c r="H606" s="96"/>
    </row>
    <row r="607" spans="1:8" ht="15" x14ac:dyDescent="0.25">
      <c r="A607" s="95"/>
      <c r="B607" s="95"/>
      <c r="C607" s="95"/>
      <c r="D607" s="92"/>
      <c r="E607" s="96"/>
      <c r="F607" s="97"/>
      <c r="G607" s="94"/>
      <c r="H607" s="96"/>
    </row>
    <row r="608" spans="1:8" ht="15" x14ac:dyDescent="0.25">
      <c r="A608" s="95"/>
      <c r="B608" s="95"/>
      <c r="C608" s="95"/>
      <c r="D608" s="92"/>
      <c r="E608" s="96"/>
      <c r="F608" s="97"/>
      <c r="G608" s="94"/>
      <c r="H608" s="96"/>
    </row>
    <row r="609" spans="1:8" ht="15" x14ac:dyDescent="0.25">
      <c r="A609" s="95"/>
      <c r="B609" s="95"/>
      <c r="C609" s="95"/>
      <c r="D609" s="92"/>
      <c r="E609" s="96"/>
      <c r="F609" s="97"/>
      <c r="G609" s="94"/>
      <c r="H609" s="96"/>
    </row>
    <row r="610" spans="1:8" ht="15" x14ac:dyDescent="0.25">
      <c r="A610" s="95"/>
      <c r="B610" s="95"/>
      <c r="C610" s="95"/>
      <c r="D610" s="92"/>
      <c r="E610" s="96"/>
      <c r="F610" s="97"/>
      <c r="G610" s="94"/>
      <c r="H610" s="96"/>
    </row>
    <row r="611" spans="1:8" ht="15" x14ac:dyDescent="0.25">
      <c r="A611" s="95"/>
      <c r="B611" s="95"/>
      <c r="C611" s="95"/>
      <c r="D611" s="92"/>
      <c r="E611" s="96"/>
      <c r="F611" s="97"/>
      <c r="G611" s="94"/>
      <c r="H611" s="96"/>
    </row>
    <row r="612" spans="1:8" ht="15" x14ac:dyDescent="0.25">
      <c r="A612" s="95"/>
      <c r="B612" s="95"/>
      <c r="C612" s="95"/>
      <c r="D612" s="92"/>
      <c r="E612" s="96"/>
      <c r="F612" s="97"/>
      <c r="G612" s="94"/>
      <c r="H612" s="96"/>
    </row>
    <row r="613" spans="1:8" ht="15" x14ac:dyDescent="0.25">
      <c r="A613" s="95"/>
      <c r="B613" s="95"/>
      <c r="C613" s="95"/>
      <c r="D613" s="92"/>
      <c r="E613" s="96"/>
      <c r="F613" s="97"/>
      <c r="G613" s="94"/>
      <c r="H613" s="96"/>
    </row>
    <row r="614" spans="1:8" ht="15" x14ac:dyDescent="0.25">
      <c r="A614" s="95"/>
      <c r="B614" s="95"/>
      <c r="C614" s="95"/>
      <c r="D614" s="92"/>
      <c r="E614" s="96"/>
      <c r="F614" s="97"/>
      <c r="G614" s="94"/>
      <c r="H614" s="96"/>
    </row>
    <row r="615" spans="1:8" ht="15" x14ac:dyDescent="0.25">
      <c r="A615" s="95"/>
      <c r="B615" s="95"/>
      <c r="C615" s="95"/>
      <c r="D615" s="92"/>
      <c r="E615" s="96"/>
      <c r="F615" s="97"/>
      <c r="G615" s="94"/>
      <c r="H615" s="96"/>
    </row>
    <row r="616" spans="1:8" ht="15" x14ac:dyDescent="0.25">
      <c r="A616" s="95"/>
      <c r="B616" s="95"/>
      <c r="C616" s="95"/>
      <c r="D616" s="92"/>
      <c r="E616" s="96"/>
      <c r="F616" s="97"/>
      <c r="G616" s="94"/>
      <c r="H616" s="96"/>
    </row>
    <row r="617" spans="1:8" ht="15" x14ac:dyDescent="0.25">
      <c r="A617" s="95"/>
      <c r="B617" s="95"/>
      <c r="C617" s="95"/>
      <c r="D617" s="92"/>
      <c r="E617" s="96"/>
      <c r="F617" s="97"/>
      <c r="G617" s="94"/>
      <c r="H617" s="96"/>
    </row>
    <row r="618" spans="1:8" ht="15" x14ac:dyDescent="0.25">
      <c r="A618" s="95"/>
      <c r="B618" s="95"/>
      <c r="C618" s="95"/>
      <c r="D618" s="92"/>
      <c r="E618" s="96"/>
      <c r="F618" s="97"/>
      <c r="G618" s="94"/>
      <c r="H618" s="96"/>
    </row>
    <row r="619" spans="1:8" ht="15" x14ac:dyDescent="0.25">
      <c r="A619" s="95"/>
      <c r="B619" s="95"/>
      <c r="C619" s="95"/>
      <c r="D619" s="92"/>
      <c r="E619" s="96"/>
      <c r="F619" s="97"/>
      <c r="G619" s="94"/>
      <c r="H619" s="96"/>
    </row>
    <row r="620" spans="1:8" ht="15" x14ac:dyDescent="0.25">
      <c r="A620" s="95"/>
      <c r="B620" s="95"/>
      <c r="C620" s="95"/>
      <c r="D620" s="92"/>
      <c r="E620" s="96"/>
      <c r="F620" s="97"/>
      <c r="G620" s="94"/>
      <c r="H620" s="96"/>
    </row>
    <row r="621" spans="1:8" ht="15" x14ac:dyDescent="0.25">
      <c r="A621" s="95"/>
      <c r="B621" s="95"/>
      <c r="C621" s="95"/>
      <c r="D621" s="92"/>
      <c r="E621" s="96"/>
      <c r="F621" s="97"/>
      <c r="G621" s="94"/>
      <c r="H621" s="96"/>
    </row>
    <row r="622" spans="1:8" ht="15" x14ac:dyDescent="0.25">
      <c r="A622" s="95"/>
      <c r="B622" s="95"/>
      <c r="C622" s="95"/>
      <c r="D622" s="92"/>
      <c r="E622" s="96"/>
      <c r="F622" s="97"/>
      <c r="G622" s="94"/>
      <c r="H622" s="96"/>
    </row>
    <row r="623" spans="1:8" ht="15" x14ac:dyDescent="0.25">
      <c r="A623" s="95"/>
      <c r="B623" s="95"/>
      <c r="C623" s="95"/>
      <c r="D623" s="92"/>
      <c r="E623" s="96"/>
      <c r="F623" s="97"/>
      <c r="G623" s="94"/>
      <c r="H623" s="96"/>
    </row>
    <row r="624" spans="1:8" ht="15" x14ac:dyDescent="0.25">
      <c r="A624" s="95"/>
      <c r="B624" s="95"/>
      <c r="C624" s="95"/>
      <c r="D624" s="92"/>
      <c r="E624" s="96"/>
      <c r="F624" s="97"/>
      <c r="G624" s="94"/>
      <c r="H624" s="96"/>
    </row>
    <row r="625" spans="1:8" ht="15" x14ac:dyDescent="0.25">
      <c r="A625" s="95"/>
      <c r="B625" s="95"/>
      <c r="C625" s="95"/>
      <c r="D625" s="92"/>
      <c r="E625" s="96"/>
      <c r="F625" s="97"/>
      <c r="G625" s="94"/>
      <c r="H625" s="96"/>
    </row>
    <row r="626" spans="1:8" ht="15" x14ac:dyDescent="0.25">
      <c r="A626" s="95"/>
      <c r="B626" s="95"/>
      <c r="C626" s="95"/>
      <c r="D626" s="92"/>
      <c r="E626" s="96"/>
      <c r="F626" s="97"/>
      <c r="G626" s="94"/>
      <c r="H626" s="96"/>
    </row>
    <row r="627" spans="1:8" ht="15" x14ac:dyDescent="0.25">
      <c r="A627" s="95"/>
      <c r="B627" s="95"/>
      <c r="C627" s="95"/>
      <c r="D627" s="92"/>
      <c r="E627" s="96"/>
      <c r="F627" s="97"/>
      <c r="G627" s="94"/>
      <c r="H627" s="96"/>
    </row>
    <row r="628" spans="1:8" ht="15" x14ac:dyDescent="0.25">
      <c r="A628" s="95"/>
      <c r="B628" s="95"/>
      <c r="C628" s="95"/>
      <c r="D628" s="92"/>
      <c r="E628" s="96"/>
      <c r="F628" s="97"/>
      <c r="G628" s="94"/>
      <c r="H628" s="96"/>
    </row>
    <row r="629" spans="1:8" ht="15" x14ac:dyDescent="0.25">
      <c r="A629" s="95"/>
      <c r="B629" s="95"/>
      <c r="C629" s="95"/>
      <c r="D629" s="92"/>
      <c r="E629" s="96"/>
      <c r="F629" s="97"/>
      <c r="G629" s="94"/>
      <c r="H629" s="96"/>
    </row>
    <row r="630" spans="1:8" ht="15" x14ac:dyDescent="0.25">
      <c r="A630" s="95"/>
      <c r="B630" s="95"/>
      <c r="C630" s="95"/>
      <c r="D630" s="92"/>
      <c r="E630" s="96"/>
      <c r="F630" s="97"/>
      <c r="G630" s="94"/>
      <c r="H630" s="96"/>
    </row>
    <row r="631" spans="1:8" ht="15" x14ac:dyDescent="0.25">
      <c r="A631" s="95"/>
      <c r="B631" s="95"/>
      <c r="C631" s="95"/>
      <c r="D631" s="92"/>
      <c r="E631" s="96"/>
      <c r="F631" s="97"/>
      <c r="G631" s="94"/>
      <c r="H631" s="96"/>
    </row>
    <row r="632" spans="1:8" ht="15" x14ac:dyDescent="0.25">
      <c r="A632" s="95"/>
      <c r="B632" s="95"/>
      <c r="C632" s="95"/>
      <c r="D632" s="92"/>
      <c r="E632" s="96"/>
      <c r="F632" s="97"/>
      <c r="G632" s="94"/>
      <c r="H632" s="96"/>
    </row>
    <row r="633" spans="1:8" ht="15" x14ac:dyDescent="0.25">
      <c r="A633" s="95"/>
      <c r="B633" s="95"/>
      <c r="C633" s="95"/>
      <c r="D633" s="92"/>
      <c r="E633" s="96"/>
      <c r="F633" s="97"/>
      <c r="G633" s="94"/>
      <c r="H633" s="96"/>
    </row>
    <row r="634" spans="1:8" ht="15" x14ac:dyDescent="0.25">
      <c r="A634" s="95"/>
      <c r="B634" s="95"/>
      <c r="C634" s="95"/>
      <c r="D634" s="92"/>
      <c r="E634" s="96"/>
      <c r="F634" s="97"/>
      <c r="G634" s="94"/>
      <c r="H634" s="96"/>
    </row>
    <row r="635" spans="1:8" ht="15" x14ac:dyDescent="0.25">
      <c r="A635" s="95"/>
      <c r="B635" s="95"/>
      <c r="C635" s="95"/>
      <c r="D635" s="92"/>
      <c r="E635" s="96"/>
      <c r="F635" s="97"/>
      <c r="G635" s="94"/>
      <c r="H635" s="96"/>
    </row>
    <row r="636" spans="1:8" ht="15" x14ac:dyDescent="0.25">
      <c r="A636" s="95"/>
      <c r="B636" s="95"/>
      <c r="C636" s="95"/>
      <c r="D636" s="92"/>
      <c r="E636" s="96"/>
      <c r="F636" s="97"/>
      <c r="G636" s="94"/>
      <c r="H636" s="96"/>
    </row>
    <row r="637" spans="1:8" ht="15" x14ac:dyDescent="0.25">
      <c r="A637" s="95"/>
      <c r="B637" s="95"/>
      <c r="C637" s="95"/>
      <c r="D637" s="92"/>
      <c r="E637" s="96"/>
      <c r="F637" s="97"/>
      <c r="G637" s="94"/>
      <c r="H637" s="96"/>
    </row>
    <row r="638" spans="1:8" ht="15" x14ac:dyDescent="0.25">
      <c r="A638" s="95"/>
      <c r="B638" s="95"/>
      <c r="C638" s="95"/>
      <c r="D638" s="92"/>
      <c r="E638" s="96"/>
      <c r="F638" s="97"/>
      <c r="G638" s="94"/>
      <c r="H638" s="96"/>
    </row>
    <row r="639" spans="1:8" ht="15" x14ac:dyDescent="0.25">
      <c r="A639" s="95"/>
      <c r="B639" s="95"/>
      <c r="C639" s="95"/>
      <c r="D639" s="92"/>
      <c r="E639" s="96"/>
      <c r="F639" s="97"/>
      <c r="G639" s="94"/>
      <c r="H639" s="96"/>
    </row>
    <row r="640" spans="1:8" ht="15" x14ac:dyDescent="0.25">
      <c r="A640" s="95"/>
      <c r="B640" s="95"/>
      <c r="C640" s="95"/>
      <c r="D640" s="92"/>
      <c r="E640" s="96"/>
      <c r="F640" s="97"/>
      <c r="G640" s="94"/>
      <c r="H640" s="96"/>
    </row>
    <row r="641" spans="1:8" ht="15" x14ac:dyDescent="0.25">
      <c r="A641" s="95"/>
      <c r="B641" s="95"/>
      <c r="C641" s="95"/>
      <c r="D641" s="92"/>
      <c r="E641" s="96"/>
      <c r="F641" s="97"/>
      <c r="G641" s="94"/>
      <c r="H641" s="96"/>
    </row>
    <row r="642" spans="1:8" ht="15" x14ac:dyDescent="0.25">
      <c r="A642" s="95"/>
      <c r="B642" s="95"/>
      <c r="C642" s="95"/>
      <c r="D642" s="92"/>
      <c r="E642" s="96"/>
      <c r="F642" s="97"/>
      <c r="G642" s="94"/>
      <c r="H642" s="96"/>
    </row>
    <row r="643" spans="1:8" ht="15" x14ac:dyDescent="0.25">
      <c r="A643" s="95"/>
      <c r="B643" s="95"/>
      <c r="C643" s="95"/>
      <c r="D643" s="92"/>
      <c r="E643" s="96"/>
      <c r="F643" s="97"/>
      <c r="G643" s="94"/>
      <c r="H643" s="96"/>
    </row>
    <row r="644" spans="1:8" ht="15" x14ac:dyDescent="0.25">
      <c r="A644" s="95"/>
      <c r="B644" s="95"/>
      <c r="C644" s="95"/>
      <c r="D644" s="92"/>
      <c r="E644" s="96"/>
      <c r="F644" s="97"/>
      <c r="G644" s="94"/>
      <c r="H644" s="96"/>
    </row>
    <row r="645" spans="1:8" ht="15" x14ac:dyDescent="0.25">
      <c r="A645" s="95"/>
      <c r="B645" s="95"/>
      <c r="C645" s="95"/>
      <c r="D645" s="92"/>
      <c r="E645" s="96"/>
      <c r="F645" s="97"/>
      <c r="G645" s="94"/>
      <c r="H645" s="96"/>
    </row>
    <row r="646" spans="1:8" ht="15" x14ac:dyDescent="0.25">
      <c r="A646" s="95"/>
      <c r="B646" s="95"/>
      <c r="C646" s="95"/>
      <c r="D646" s="92"/>
      <c r="E646" s="96"/>
      <c r="F646" s="97"/>
      <c r="G646" s="94"/>
      <c r="H646" s="96"/>
    </row>
    <row r="647" spans="1:8" ht="15" x14ac:dyDescent="0.25">
      <c r="A647" s="95"/>
      <c r="B647" s="95"/>
      <c r="C647" s="95"/>
      <c r="D647" s="92"/>
      <c r="E647" s="96"/>
      <c r="F647" s="97"/>
      <c r="G647" s="94"/>
      <c r="H647" s="96"/>
    </row>
    <row r="648" spans="1:8" ht="15" x14ac:dyDescent="0.25">
      <c r="A648" s="95"/>
      <c r="B648" s="95"/>
      <c r="C648" s="95"/>
      <c r="D648" s="92"/>
      <c r="E648" s="96"/>
      <c r="F648" s="97"/>
      <c r="G648" s="94"/>
      <c r="H648" s="96"/>
    </row>
    <row r="649" spans="1:8" ht="15" x14ac:dyDescent="0.25">
      <c r="A649" s="95"/>
      <c r="B649" s="95"/>
      <c r="C649" s="95"/>
      <c r="D649" s="92"/>
      <c r="E649" s="96"/>
      <c r="F649" s="97"/>
      <c r="G649" s="94"/>
      <c r="H649" s="96"/>
    </row>
    <row r="650" spans="1:8" ht="15" x14ac:dyDescent="0.25">
      <c r="A650" s="95"/>
      <c r="B650" s="95"/>
      <c r="C650" s="95"/>
      <c r="D650" s="92"/>
      <c r="E650" s="96"/>
      <c r="F650" s="97"/>
      <c r="G650" s="94"/>
      <c r="H650" s="96"/>
    </row>
    <row r="651" spans="1:8" ht="15" x14ac:dyDescent="0.25">
      <c r="A651" s="95"/>
      <c r="B651" s="95"/>
      <c r="C651" s="95"/>
      <c r="D651" s="92"/>
      <c r="E651" s="96"/>
      <c r="F651" s="97"/>
      <c r="G651" s="94"/>
      <c r="H651" s="96"/>
    </row>
    <row r="652" spans="1:8" ht="15" x14ac:dyDescent="0.25">
      <c r="A652" s="95"/>
      <c r="B652" s="95"/>
      <c r="C652" s="95"/>
      <c r="D652" s="92"/>
      <c r="E652" s="96"/>
      <c r="F652" s="97"/>
      <c r="G652" s="94"/>
      <c r="H652" s="96"/>
    </row>
    <row r="653" spans="1:8" ht="15" x14ac:dyDescent="0.25">
      <c r="A653" s="95"/>
      <c r="B653" s="95"/>
      <c r="C653" s="95"/>
      <c r="D653" s="92"/>
      <c r="E653" s="96"/>
      <c r="F653" s="97"/>
      <c r="G653" s="94"/>
      <c r="H653" s="96"/>
    </row>
    <row r="654" spans="1:8" ht="15" x14ac:dyDescent="0.25">
      <c r="A654" s="95"/>
      <c r="B654" s="95"/>
      <c r="C654" s="95"/>
      <c r="D654" s="92"/>
      <c r="E654" s="96"/>
      <c r="F654" s="97"/>
      <c r="G654" s="94"/>
      <c r="H654" s="96"/>
    </row>
    <row r="655" spans="1:8" ht="15" x14ac:dyDescent="0.25">
      <c r="A655" s="95"/>
      <c r="B655" s="95"/>
      <c r="C655" s="95"/>
      <c r="D655" s="92"/>
      <c r="E655" s="96"/>
      <c r="F655" s="97"/>
      <c r="G655" s="94"/>
      <c r="H655" s="96"/>
    </row>
    <row r="656" spans="1:8" ht="15" x14ac:dyDescent="0.25">
      <c r="A656" s="95"/>
      <c r="B656" s="95"/>
      <c r="C656" s="95"/>
      <c r="D656" s="92"/>
      <c r="E656" s="96"/>
      <c r="F656" s="97"/>
      <c r="G656" s="94"/>
      <c r="H656" s="96"/>
    </row>
    <row r="657" spans="1:8" ht="15" x14ac:dyDescent="0.25">
      <c r="A657" s="95"/>
      <c r="B657" s="95"/>
      <c r="C657" s="95"/>
      <c r="D657" s="92"/>
      <c r="E657" s="96"/>
      <c r="F657" s="97"/>
      <c r="G657" s="94"/>
      <c r="H657" s="96"/>
    </row>
    <row r="658" spans="1:8" ht="15" x14ac:dyDescent="0.25">
      <c r="A658" s="95"/>
      <c r="B658" s="95"/>
      <c r="C658" s="95"/>
      <c r="D658" s="92"/>
      <c r="E658" s="96"/>
      <c r="F658" s="97"/>
      <c r="G658" s="94"/>
      <c r="H658" s="96"/>
    </row>
    <row r="659" spans="1:8" ht="15" x14ac:dyDescent="0.25">
      <c r="A659" s="95"/>
      <c r="B659" s="95"/>
      <c r="C659" s="95"/>
      <c r="D659" s="92"/>
      <c r="E659" s="96"/>
      <c r="F659" s="97"/>
      <c r="G659" s="94"/>
      <c r="H659" s="96"/>
    </row>
    <row r="660" spans="1:8" ht="15" x14ac:dyDescent="0.25">
      <c r="A660" s="95"/>
      <c r="B660" s="95"/>
      <c r="C660" s="95"/>
      <c r="D660" s="92"/>
      <c r="E660" s="96"/>
      <c r="F660" s="97"/>
      <c r="G660" s="94"/>
      <c r="H660" s="96"/>
    </row>
    <row r="661" spans="1:8" ht="15" x14ac:dyDescent="0.25">
      <c r="A661" s="95"/>
      <c r="B661" s="95"/>
      <c r="C661" s="95"/>
      <c r="D661" s="92"/>
      <c r="E661" s="96"/>
      <c r="F661" s="97"/>
      <c r="G661" s="94"/>
      <c r="H661" s="96"/>
    </row>
    <row r="662" spans="1:8" ht="15" x14ac:dyDescent="0.25">
      <c r="A662" s="95"/>
      <c r="B662" s="95"/>
      <c r="C662" s="95"/>
      <c r="D662" s="92"/>
      <c r="E662" s="96"/>
      <c r="F662" s="97"/>
      <c r="G662" s="94"/>
      <c r="H662" s="96"/>
    </row>
    <row r="663" spans="1:8" ht="15" x14ac:dyDescent="0.25">
      <c r="A663" s="95"/>
      <c r="B663" s="95"/>
      <c r="C663" s="95"/>
      <c r="D663" s="92"/>
      <c r="E663" s="96"/>
      <c r="F663" s="97"/>
      <c r="G663" s="94"/>
      <c r="H663" s="96"/>
    </row>
    <row r="664" spans="1:8" ht="15" x14ac:dyDescent="0.25">
      <c r="A664" s="95"/>
      <c r="B664" s="95"/>
      <c r="C664" s="95"/>
      <c r="D664" s="92"/>
      <c r="E664" s="96"/>
      <c r="F664" s="97"/>
      <c r="G664" s="94"/>
      <c r="H664" s="96"/>
    </row>
    <row r="665" spans="1:8" ht="15" x14ac:dyDescent="0.25">
      <c r="A665" s="95"/>
      <c r="B665" s="95"/>
      <c r="C665" s="95"/>
      <c r="D665" s="92"/>
      <c r="E665" s="96"/>
      <c r="F665" s="97"/>
      <c r="G665" s="94"/>
      <c r="H665" s="96"/>
    </row>
    <row r="666" spans="1:8" ht="15" x14ac:dyDescent="0.25">
      <c r="A666" s="95"/>
      <c r="B666" s="95"/>
      <c r="C666" s="95"/>
      <c r="D666" s="92"/>
      <c r="E666" s="96"/>
      <c r="F666" s="97"/>
      <c r="G666" s="94"/>
      <c r="H666" s="96"/>
    </row>
    <row r="667" spans="1:8" ht="15" x14ac:dyDescent="0.25">
      <c r="A667" s="95"/>
      <c r="B667" s="95"/>
      <c r="C667" s="95"/>
      <c r="D667" s="92"/>
      <c r="E667" s="96"/>
      <c r="F667" s="97"/>
      <c r="G667" s="94"/>
      <c r="H667" s="96"/>
    </row>
    <row r="668" spans="1:8" ht="15" x14ac:dyDescent="0.25">
      <c r="A668" s="95"/>
      <c r="B668" s="95"/>
      <c r="C668" s="95"/>
      <c r="D668" s="92"/>
      <c r="E668" s="96"/>
      <c r="F668" s="97"/>
      <c r="G668" s="94"/>
      <c r="H668" s="96"/>
    </row>
    <row r="669" spans="1:8" ht="15" x14ac:dyDescent="0.25">
      <c r="A669" s="95"/>
      <c r="B669" s="95"/>
      <c r="C669" s="95"/>
      <c r="D669" s="92"/>
      <c r="E669" s="96"/>
      <c r="F669" s="97"/>
      <c r="G669" s="94"/>
      <c r="H669" s="96"/>
    </row>
    <row r="670" spans="1:8" ht="15" x14ac:dyDescent="0.25">
      <c r="A670" s="95"/>
      <c r="B670" s="95"/>
      <c r="C670" s="95"/>
      <c r="D670" s="92"/>
      <c r="E670" s="96"/>
      <c r="F670" s="97"/>
      <c r="G670" s="94"/>
      <c r="H670" s="96"/>
    </row>
    <row r="671" spans="1:8" ht="15" x14ac:dyDescent="0.25">
      <c r="A671" s="95"/>
      <c r="B671" s="95"/>
      <c r="C671" s="95"/>
      <c r="D671" s="92"/>
      <c r="E671" s="96"/>
      <c r="F671" s="97"/>
      <c r="G671" s="94"/>
      <c r="H671" s="96"/>
    </row>
    <row r="672" spans="1:8" ht="15" x14ac:dyDescent="0.25">
      <c r="A672" s="95"/>
      <c r="B672" s="95"/>
      <c r="C672" s="95"/>
      <c r="D672" s="92"/>
      <c r="E672" s="96"/>
      <c r="F672" s="97"/>
      <c r="G672" s="94"/>
      <c r="H672" s="96"/>
    </row>
    <row r="673" spans="1:8" ht="15" x14ac:dyDescent="0.25">
      <c r="A673" s="95"/>
      <c r="B673" s="95"/>
      <c r="C673" s="95"/>
      <c r="D673" s="92"/>
      <c r="E673" s="96"/>
      <c r="F673" s="97"/>
      <c r="G673" s="94"/>
      <c r="H673" s="96"/>
    </row>
    <row r="674" spans="1:8" ht="15" x14ac:dyDescent="0.25">
      <c r="A674" s="95"/>
      <c r="B674" s="95"/>
      <c r="C674" s="95"/>
      <c r="D674" s="92"/>
      <c r="E674" s="96"/>
      <c r="F674" s="97"/>
      <c r="G674" s="94"/>
      <c r="H674" s="96"/>
    </row>
    <row r="675" spans="1:8" ht="15" x14ac:dyDescent="0.25">
      <c r="A675" s="95"/>
      <c r="B675" s="95"/>
      <c r="C675" s="95"/>
      <c r="D675" s="92"/>
      <c r="E675" s="96"/>
      <c r="F675" s="97"/>
      <c r="G675" s="94"/>
      <c r="H675" s="96"/>
    </row>
    <row r="676" spans="1:8" ht="15" x14ac:dyDescent="0.25">
      <c r="A676" s="95"/>
      <c r="B676" s="95"/>
      <c r="C676" s="95"/>
      <c r="D676" s="92"/>
      <c r="E676" s="96"/>
      <c r="F676" s="97"/>
      <c r="G676" s="94"/>
      <c r="H676" s="96"/>
    </row>
    <row r="677" spans="1:8" ht="15" x14ac:dyDescent="0.25">
      <c r="A677" s="95"/>
      <c r="B677" s="95"/>
      <c r="C677" s="95"/>
      <c r="D677" s="92"/>
      <c r="E677" s="96"/>
      <c r="F677" s="97"/>
      <c r="G677" s="94"/>
      <c r="H677" s="96"/>
    </row>
    <row r="678" spans="1:8" ht="15" x14ac:dyDescent="0.25">
      <c r="A678" s="95"/>
      <c r="B678" s="95"/>
      <c r="C678" s="95"/>
      <c r="D678" s="92"/>
      <c r="E678" s="96"/>
      <c r="F678" s="97"/>
      <c r="G678" s="94"/>
      <c r="H678" s="96"/>
    </row>
    <row r="679" spans="1:8" ht="15" x14ac:dyDescent="0.25">
      <c r="A679" s="95"/>
      <c r="B679" s="95"/>
      <c r="C679" s="95"/>
      <c r="D679" s="92"/>
      <c r="E679" s="96"/>
      <c r="F679" s="97"/>
      <c r="G679" s="94"/>
      <c r="H679" s="96"/>
    </row>
    <row r="680" spans="1:8" ht="15" x14ac:dyDescent="0.25">
      <c r="A680" s="95"/>
      <c r="B680" s="95"/>
      <c r="C680" s="95"/>
      <c r="D680" s="92"/>
      <c r="E680" s="96"/>
      <c r="F680" s="97"/>
      <c r="G680" s="94"/>
      <c r="H680" s="96"/>
    </row>
    <row r="681" spans="1:8" ht="15" x14ac:dyDescent="0.25">
      <c r="A681" s="95"/>
      <c r="B681" s="95"/>
      <c r="C681" s="95"/>
      <c r="D681" s="92"/>
      <c r="E681" s="96"/>
      <c r="F681" s="97"/>
      <c r="G681" s="94"/>
      <c r="H681" s="96"/>
    </row>
    <row r="682" spans="1:8" ht="15" x14ac:dyDescent="0.25">
      <c r="A682" s="95"/>
      <c r="B682" s="95"/>
      <c r="C682" s="95"/>
      <c r="D682" s="92"/>
      <c r="E682" s="96"/>
      <c r="F682" s="97"/>
      <c r="G682" s="94"/>
      <c r="H682" s="96"/>
    </row>
    <row r="683" spans="1:8" ht="15" x14ac:dyDescent="0.25">
      <c r="A683" s="95"/>
      <c r="B683" s="95"/>
      <c r="C683" s="95"/>
      <c r="D683" s="92"/>
      <c r="E683" s="96"/>
      <c r="F683" s="97"/>
      <c r="G683" s="94"/>
      <c r="H683" s="96"/>
    </row>
    <row r="684" spans="1:8" ht="15" x14ac:dyDescent="0.25">
      <c r="A684" s="95"/>
      <c r="B684" s="95"/>
      <c r="C684" s="95"/>
      <c r="D684" s="92"/>
      <c r="E684" s="96"/>
      <c r="F684" s="97"/>
      <c r="G684" s="94"/>
      <c r="H684" s="96"/>
    </row>
    <row r="685" spans="1:8" ht="15" x14ac:dyDescent="0.25">
      <c r="A685" s="95"/>
      <c r="B685" s="95"/>
      <c r="C685" s="95"/>
      <c r="D685" s="92"/>
      <c r="E685" s="96"/>
      <c r="F685" s="97"/>
      <c r="G685" s="94"/>
      <c r="H685" s="96"/>
    </row>
    <row r="686" spans="1:8" ht="15" x14ac:dyDescent="0.25">
      <c r="A686" s="95"/>
      <c r="B686" s="95"/>
      <c r="C686" s="95"/>
      <c r="D686" s="92"/>
      <c r="E686" s="96"/>
      <c r="F686" s="97"/>
      <c r="G686" s="94"/>
      <c r="H686" s="96"/>
    </row>
    <row r="687" spans="1:8" ht="15" x14ac:dyDescent="0.25">
      <c r="A687" s="95"/>
      <c r="B687" s="95"/>
      <c r="C687" s="95"/>
      <c r="D687" s="92"/>
      <c r="E687" s="96"/>
      <c r="F687" s="97"/>
      <c r="G687" s="94"/>
      <c r="H687" s="96"/>
    </row>
    <row r="688" spans="1:8" ht="15" x14ac:dyDescent="0.25">
      <c r="A688" s="95"/>
      <c r="B688" s="95"/>
      <c r="C688" s="95"/>
      <c r="D688" s="92"/>
      <c r="E688" s="96"/>
      <c r="F688" s="97"/>
      <c r="G688" s="94"/>
      <c r="H688" s="96"/>
    </row>
    <row r="689" spans="1:8" ht="15" x14ac:dyDescent="0.25">
      <c r="A689" s="95"/>
      <c r="B689" s="95"/>
      <c r="C689" s="95"/>
      <c r="D689" s="92"/>
      <c r="E689" s="96"/>
      <c r="F689" s="97"/>
      <c r="G689" s="94"/>
      <c r="H689" s="96"/>
    </row>
    <row r="690" spans="1:8" ht="15" x14ac:dyDescent="0.25">
      <c r="A690" s="95"/>
      <c r="B690" s="95"/>
      <c r="C690" s="95"/>
      <c r="D690" s="92"/>
      <c r="E690" s="96"/>
      <c r="F690" s="97"/>
      <c r="G690" s="94"/>
      <c r="H690" s="96"/>
    </row>
    <row r="691" spans="1:8" ht="15" x14ac:dyDescent="0.25">
      <c r="A691" s="95"/>
      <c r="B691" s="95"/>
      <c r="C691" s="95"/>
      <c r="D691" s="92"/>
      <c r="E691" s="96"/>
      <c r="F691" s="97"/>
      <c r="G691" s="94"/>
      <c r="H691" s="96"/>
    </row>
    <row r="692" spans="1:8" ht="15" x14ac:dyDescent="0.25">
      <c r="A692" s="95"/>
      <c r="B692" s="95"/>
      <c r="C692" s="95"/>
      <c r="D692" s="92"/>
      <c r="E692" s="96"/>
      <c r="F692" s="97"/>
      <c r="G692" s="94"/>
      <c r="H692" s="96"/>
    </row>
    <row r="693" spans="1:8" ht="15" x14ac:dyDescent="0.25">
      <c r="A693" s="95"/>
      <c r="B693" s="95"/>
      <c r="C693" s="95"/>
      <c r="D693" s="92"/>
      <c r="E693" s="96"/>
      <c r="F693" s="97"/>
      <c r="G693" s="94"/>
      <c r="H693" s="96"/>
    </row>
    <row r="694" spans="1:8" ht="15" x14ac:dyDescent="0.25">
      <c r="A694" s="95"/>
      <c r="B694" s="95"/>
      <c r="C694" s="95"/>
      <c r="D694" s="92"/>
      <c r="E694" s="96"/>
      <c r="F694" s="97"/>
      <c r="G694" s="94"/>
      <c r="H694" s="96"/>
    </row>
    <row r="695" spans="1:8" ht="15" x14ac:dyDescent="0.25">
      <c r="A695" s="95"/>
      <c r="B695" s="95"/>
      <c r="C695" s="95"/>
      <c r="D695" s="92"/>
      <c r="E695" s="96"/>
      <c r="F695" s="97"/>
      <c r="G695" s="94"/>
      <c r="H695" s="96"/>
    </row>
    <row r="696" spans="1:8" ht="15" x14ac:dyDescent="0.25">
      <c r="A696" s="95"/>
      <c r="B696" s="95"/>
      <c r="C696" s="95"/>
      <c r="D696" s="92"/>
      <c r="E696" s="96"/>
      <c r="F696" s="97"/>
      <c r="G696" s="94"/>
      <c r="H696" s="96"/>
    </row>
    <row r="697" spans="1:8" ht="15" x14ac:dyDescent="0.25">
      <c r="A697" s="95"/>
      <c r="B697" s="95"/>
      <c r="C697" s="95"/>
      <c r="D697" s="92"/>
      <c r="E697" s="96"/>
      <c r="F697" s="97"/>
      <c r="G697" s="94"/>
      <c r="H697" s="96"/>
    </row>
    <row r="698" spans="1:8" ht="15" x14ac:dyDescent="0.25">
      <c r="A698" s="95"/>
      <c r="B698" s="95"/>
      <c r="C698" s="95"/>
      <c r="D698" s="92"/>
      <c r="E698" s="96"/>
      <c r="F698" s="97"/>
      <c r="G698" s="94"/>
      <c r="H698" s="96"/>
    </row>
    <row r="699" spans="1:8" ht="15" x14ac:dyDescent="0.25">
      <c r="A699" s="95"/>
      <c r="B699" s="95"/>
      <c r="C699" s="95"/>
      <c r="D699" s="92"/>
      <c r="E699" s="96"/>
      <c r="F699" s="97"/>
      <c r="G699" s="94"/>
      <c r="H699" s="96"/>
    </row>
    <row r="700" spans="1:8" ht="15" x14ac:dyDescent="0.25">
      <c r="A700" s="95"/>
      <c r="B700" s="95"/>
      <c r="C700" s="95"/>
      <c r="D700" s="92"/>
      <c r="E700" s="96"/>
      <c r="F700" s="97"/>
      <c r="G700" s="94"/>
      <c r="H700" s="96"/>
    </row>
    <row r="701" spans="1:8" ht="15" x14ac:dyDescent="0.25">
      <c r="A701" s="95"/>
      <c r="B701" s="95"/>
      <c r="C701" s="95"/>
      <c r="D701" s="92"/>
      <c r="E701" s="96"/>
      <c r="F701" s="97"/>
      <c r="G701" s="94"/>
      <c r="H701" s="96"/>
    </row>
    <row r="702" spans="1:8" ht="15" x14ac:dyDescent="0.25">
      <c r="A702" s="95"/>
      <c r="B702" s="95"/>
      <c r="C702" s="95"/>
      <c r="D702" s="92"/>
      <c r="E702" s="96"/>
      <c r="F702" s="97"/>
      <c r="G702" s="94"/>
      <c r="H702" s="96"/>
    </row>
    <row r="703" spans="1:8" ht="15" x14ac:dyDescent="0.25">
      <c r="A703" s="95"/>
      <c r="B703" s="95"/>
      <c r="C703" s="95"/>
      <c r="D703" s="92"/>
      <c r="E703" s="96"/>
      <c r="F703" s="97"/>
      <c r="G703" s="94"/>
      <c r="H703" s="96"/>
    </row>
    <row r="704" spans="1:8" ht="15" x14ac:dyDescent="0.25">
      <c r="A704" s="95"/>
      <c r="B704" s="95"/>
      <c r="C704" s="95"/>
      <c r="D704" s="92"/>
      <c r="E704" s="96"/>
      <c r="F704" s="97"/>
      <c r="G704" s="94"/>
      <c r="H704" s="96"/>
    </row>
    <row r="705" spans="1:8" ht="15" x14ac:dyDescent="0.25">
      <c r="A705" s="95"/>
      <c r="B705" s="95"/>
      <c r="C705" s="95"/>
      <c r="D705" s="92"/>
      <c r="E705" s="96"/>
      <c r="F705" s="97"/>
      <c r="G705" s="94"/>
      <c r="H705" s="96"/>
    </row>
    <row r="706" spans="1:8" ht="15" x14ac:dyDescent="0.25">
      <c r="A706" s="95"/>
      <c r="B706" s="95"/>
      <c r="C706" s="95"/>
      <c r="D706" s="92"/>
      <c r="E706" s="96"/>
      <c r="F706" s="97"/>
      <c r="G706" s="94"/>
      <c r="H706" s="96"/>
    </row>
    <row r="707" spans="1:8" ht="15" x14ac:dyDescent="0.25">
      <c r="A707" s="95"/>
      <c r="B707" s="95"/>
      <c r="C707" s="95"/>
      <c r="D707" s="92"/>
      <c r="E707" s="96"/>
      <c r="F707" s="97"/>
      <c r="G707" s="94"/>
      <c r="H707" s="96"/>
    </row>
    <row r="708" spans="1:8" ht="15" x14ac:dyDescent="0.25">
      <c r="A708" s="95"/>
      <c r="B708" s="95"/>
      <c r="C708" s="95"/>
      <c r="D708" s="92"/>
      <c r="E708" s="96"/>
      <c r="F708" s="97"/>
      <c r="G708" s="94"/>
      <c r="H708" s="96"/>
    </row>
    <row r="709" spans="1:8" ht="15" x14ac:dyDescent="0.25">
      <c r="A709" s="95"/>
      <c r="B709" s="95"/>
      <c r="C709" s="95"/>
      <c r="D709" s="92"/>
      <c r="E709" s="96"/>
      <c r="F709" s="97"/>
      <c r="G709" s="94"/>
      <c r="H709" s="96"/>
    </row>
    <row r="710" spans="1:8" ht="15" x14ac:dyDescent="0.25">
      <c r="A710" s="95"/>
      <c r="B710" s="95"/>
      <c r="C710" s="95"/>
      <c r="D710" s="92"/>
      <c r="E710" s="96"/>
      <c r="F710" s="97"/>
      <c r="G710" s="94"/>
      <c r="H710" s="96"/>
    </row>
    <row r="711" spans="1:8" ht="15" x14ac:dyDescent="0.25">
      <c r="A711" s="95"/>
      <c r="B711" s="95"/>
      <c r="C711" s="95"/>
      <c r="D711" s="92"/>
      <c r="E711" s="96"/>
      <c r="F711" s="97"/>
      <c r="G711" s="94"/>
      <c r="H711" s="96"/>
    </row>
    <row r="712" spans="1:8" ht="15" x14ac:dyDescent="0.25">
      <c r="A712" s="95"/>
      <c r="B712" s="95"/>
      <c r="C712" s="95"/>
      <c r="D712" s="92"/>
      <c r="E712" s="96"/>
      <c r="F712" s="97"/>
      <c r="G712" s="94"/>
      <c r="H712" s="96"/>
    </row>
    <row r="713" spans="1:8" ht="15" x14ac:dyDescent="0.25">
      <c r="A713" s="95"/>
      <c r="B713" s="95"/>
      <c r="C713" s="95"/>
      <c r="D713" s="92"/>
      <c r="E713" s="96"/>
      <c r="F713" s="97"/>
      <c r="G713" s="94"/>
      <c r="H713" s="96"/>
    </row>
    <row r="714" spans="1:8" ht="15" x14ac:dyDescent="0.25">
      <c r="A714" s="95"/>
      <c r="B714" s="95"/>
      <c r="C714" s="95"/>
      <c r="D714" s="92"/>
      <c r="E714" s="96"/>
      <c r="F714" s="97"/>
      <c r="G714" s="94"/>
      <c r="H714" s="96"/>
    </row>
    <row r="715" spans="1:8" ht="15" x14ac:dyDescent="0.25">
      <c r="A715" s="95"/>
      <c r="B715" s="95"/>
      <c r="C715" s="95"/>
      <c r="D715" s="92"/>
      <c r="E715" s="96"/>
      <c r="F715" s="97"/>
      <c r="G715" s="94"/>
      <c r="H715" s="96"/>
    </row>
    <row r="716" spans="1:8" ht="15" x14ac:dyDescent="0.25">
      <c r="A716" s="95"/>
      <c r="B716" s="95"/>
      <c r="C716" s="95"/>
      <c r="D716" s="92"/>
      <c r="E716" s="96"/>
      <c r="F716" s="97"/>
      <c r="G716" s="94"/>
      <c r="H716" s="96"/>
    </row>
    <row r="717" spans="1:8" ht="15" x14ac:dyDescent="0.25">
      <c r="A717" s="95"/>
      <c r="B717" s="95"/>
      <c r="C717" s="95"/>
      <c r="D717" s="92"/>
      <c r="E717" s="96"/>
      <c r="F717" s="97"/>
      <c r="G717" s="94"/>
      <c r="H717" s="96"/>
    </row>
    <row r="718" spans="1:8" ht="15" x14ac:dyDescent="0.25">
      <c r="A718" s="95"/>
      <c r="B718" s="95"/>
      <c r="C718" s="95"/>
      <c r="D718" s="92"/>
      <c r="E718" s="96"/>
      <c r="F718" s="97"/>
      <c r="G718" s="94"/>
      <c r="H718" s="96"/>
    </row>
    <row r="719" spans="1:8" ht="15" x14ac:dyDescent="0.25">
      <c r="A719" s="95"/>
      <c r="B719" s="95"/>
      <c r="C719" s="95"/>
      <c r="D719" s="92"/>
      <c r="E719" s="96"/>
      <c r="F719" s="97"/>
      <c r="G719" s="94"/>
      <c r="H719" s="96"/>
    </row>
    <row r="720" spans="1:8" ht="15" x14ac:dyDescent="0.25">
      <c r="A720" s="95"/>
      <c r="B720" s="95"/>
      <c r="C720" s="95"/>
      <c r="D720" s="92"/>
      <c r="E720" s="96"/>
      <c r="F720" s="97"/>
      <c r="G720" s="94"/>
      <c r="H720" s="96"/>
    </row>
    <row r="721" spans="1:8" ht="15" x14ac:dyDescent="0.25">
      <c r="A721" s="95"/>
      <c r="B721" s="95"/>
      <c r="C721" s="95"/>
      <c r="D721" s="92"/>
      <c r="E721" s="96"/>
      <c r="F721" s="97"/>
      <c r="G721" s="94"/>
      <c r="H721" s="96"/>
    </row>
    <row r="722" spans="1:8" ht="15" x14ac:dyDescent="0.25">
      <c r="A722" s="95"/>
      <c r="B722" s="95"/>
      <c r="C722" s="95"/>
      <c r="D722" s="92"/>
      <c r="E722" s="96"/>
      <c r="F722" s="97"/>
      <c r="G722" s="94"/>
      <c r="H722" s="96"/>
    </row>
    <row r="723" spans="1:8" ht="15" x14ac:dyDescent="0.25">
      <c r="A723" s="95"/>
      <c r="B723" s="95"/>
      <c r="C723" s="95"/>
      <c r="D723" s="92"/>
      <c r="E723" s="96"/>
      <c r="F723" s="97"/>
      <c r="G723" s="94"/>
      <c r="H723" s="96"/>
    </row>
    <row r="724" spans="1:8" ht="15" x14ac:dyDescent="0.25">
      <c r="A724" s="95"/>
      <c r="B724" s="95"/>
      <c r="C724" s="95"/>
      <c r="D724" s="92"/>
      <c r="E724" s="96"/>
      <c r="F724" s="97"/>
      <c r="G724" s="94"/>
      <c r="H724" s="96"/>
    </row>
    <row r="725" spans="1:8" ht="15" x14ac:dyDescent="0.25">
      <c r="A725" s="95"/>
      <c r="B725" s="95"/>
      <c r="C725" s="95"/>
      <c r="D725" s="92"/>
      <c r="E725" s="96"/>
      <c r="F725" s="97"/>
      <c r="G725" s="94"/>
      <c r="H725" s="96"/>
    </row>
    <row r="726" spans="1:8" ht="15" x14ac:dyDescent="0.25">
      <c r="A726" s="95"/>
      <c r="B726" s="95"/>
      <c r="C726" s="95"/>
      <c r="D726" s="92"/>
      <c r="E726" s="96"/>
      <c r="F726" s="97"/>
      <c r="G726" s="94"/>
      <c r="H726" s="96"/>
    </row>
    <row r="727" spans="1:8" ht="15" x14ac:dyDescent="0.25">
      <c r="A727" s="95"/>
      <c r="B727" s="95"/>
      <c r="C727" s="95"/>
      <c r="D727" s="92"/>
      <c r="E727" s="96"/>
      <c r="F727" s="97"/>
      <c r="G727" s="94"/>
      <c r="H727" s="96"/>
    </row>
    <row r="728" spans="1:8" ht="15" x14ac:dyDescent="0.25">
      <c r="A728" s="95"/>
      <c r="B728" s="95"/>
      <c r="C728" s="95"/>
      <c r="D728" s="92"/>
      <c r="E728" s="96"/>
      <c r="F728" s="97"/>
      <c r="G728" s="94"/>
      <c r="H728" s="96"/>
    </row>
    <row r="729" spans="1:8" ht="15" x14ac:dyDescent="0.25">
      <c r="A729" s="95"/>
      <c r="B729" s="95"/>
      <c r="C729" s="95"/>
      <c r="D729" s="92"/>
      <c r="E729" s="96"/>
      <c r="F729" s="97"/>
      <c r="G729" s="94"/>
      <c r="H729" s="96"/>
    </row>
    <row r="730" spans="1:8" ht="15" x14ac:dyDescent="0.25">
      <c r="A730" s="95"/>
      <c r="B730" s="95"/>
      <c r="C730" s="95"/>
      <c r="D730" s="92"/>
      <c r="E730" s="96"/>
      <c r="F730" s="97"/>
      <c r="G730" s="94"/>
      <c r="H730" s="96"/>
    </row>
    <row r="731" spans="1:8" ht="15" x14ac:dyDescent="0.25">
      <c r="A731" s="95"/>
      <c r="B731" s="95"/>
      <c r="C731" s="95"/>
      <c r="D731" s="92"/>
      <c r="E731" s="96"/>
      <c r="F731" s="97"/>
      <c r="G731" s="94"/>
      <c r="H731" s="96"/>
    </row>
    <row r="732" spans="1:8" ht="15" x14ac:dyDescent="0.25">
      <c r="A732" s="95"/>
      <c r="B732" s="95"/>
      <c r="C732" s="95"/>
      <c r="D732" s="92"/>
      <c r="E732" s="96"/>
      <c r="F732" s="97"/>
      <c r="G732" s="94"/>
      <c r="H732" s="96"/>
    </row>
    <row r="733" spans="1:8" ht="15" x14ac:dyDescent="0.25">
      <c r="A733" s="95"/>
      <c r="B733" s="95"/>
      <c r="C733" s="95"/>
      <c r="D733" s="92"/>
      <c r="E733" s="96"/>
      <c r="F733" s="97"/>
      <c r="G733" s="94"/>
      <c r="H733" s="96"/>
    </row>
    <row r="734" spans="1:8" ht="15" x14ac:dyDescent="0.25">
      <c r="A734" s="95"/>
      <c r="B734" s="95"/>
      <c r="C734" s="95"/>
      <c r="D734" s="92"/>
      <c r="E734" s="96"/>
      <c r="F734" s="97"/>
      <c r="G734" s="94"/>
      <c r="H734" s="96"/>
    </row>
    <row r="735" spans="1:8" ht="15" x14ac:dyDescent="0.25">
      <c r="A735" s="95"/>
      <c r="B735" s="95"/>
      <c r="C735" s="95"/>
      <c r="D735" s="92"/>
      <c r="E735" s="96"/>
      <c r="F735" s="97"/>
      <c r="G735" s="94"/>
      <c r="H735" s="96"/>
    </row>
    <row r="736" spans="1:8" ht="15" x14ac:dyDescent="0.25">
      <c r="A736" s="95"/>
      <c r="B736" s="95"/>
      <c r="C736" s="95"/>
      <c r="D736" s="92"/>
      <c r="E736" s="96"/>
      <c r="F736" s="97"/>
      <c r="G736" s="94"/>
      <c r="H736" s="96"/>
    </row>
    <row r="737" spans="1:8" ht="15" x14ac:dyDescent="0.25">
      <c r="A737" s="95"/>
      <c r="B737" s="95"/>
      <c r="C737" s="95"/>
      <c r="D737" s="92"/>
      <c r="E737" s="96"/>
      <c r="F737" s="97"/>
      <c r="G737" s="94"/>
      <c r="H737" s="96"/>
    </row>
    <row r="738" spans="1:8" ht="15" x14ac:dyDescent="0.25">
      <c r="A738" s="95"/>
      <c r="B738" s="95"/>
      <c r="C738" s="95"/>
      <c r="D738" s="92"/>
      <c r="E738" s="96"/>
      <c r="F738" s="97"/>
      <c r="G738" s="94"/>
      <c r="H738" s="96"/>
    </row>
    <row r="739" spans="1:8" ht="15" x14ac:dyDescent="0.25">
      <c r="A739" s="95"/>
      <c r="B739" s="95"/>
      <c r="C739" s="95"/>
      <c r="D739" s="92"/>
      <c r="E739" s="96"/>
      <c r="F739" s="97"/>
      <c r="G739" s="94"/>
      <c r="H739" s="96"/>
    </row>
    <row r="740" spans="1:8" ht="15" x14ac:dyDescent="0.25">
      <c r="A740" s="95"/>
      <c r="B740" s="95"/>
      <c r="C740" s="95"/>
      <c r="D740" s="92"/>
      <c r="E740" s="96"/>
      <c r="F740" s="97"/>
      <c r="G740" s="94"/>
      <c r="H740" s="96"/>
    </row>
    <row r="741" spans="1:8" ht="15" x14ac:dyDescent="0.25">
      <c r="A741" s="95"/>
      <c r="B741" s="95"/>
      <c r="C741" s="95"/>
      <c r="D741" s="92"/>
      <c r="E741" s="96"/>
      <c r="F741" s="97"/>
      <c r="G741" s="94"/>
      <c r="H741" s="96"/>
    </row>
    <row r="742" spans="1:8" ht="15" x14ac:dyDescent="0.25">
      <c r="A742" s="95"/>
      <c r="B742" s="95"/>
      <c r="C742" s="95"/>
      <c r="D742" s="92"/>
      <c r="E742" s="96"/>
      <c r="F742" s="97"/>
      <c r="G742" s="94"/>
      <c r="H742" s="96"/>
    </row>
    <row r="743" spans="1:8" ht="15" x14ac:dyDescent="0.25">
      <c r="A743" s="95"/>
      <c r="B743" s="95"/>
      <c r="C743" s="95"/>
      <c r="D743" s="92"/>
      <c r="E743" s="96"/>
      <c r="F743" s="97"/>
      <c r="G743" s="94"/>
      <c r="H743" s="96"/>
    </row>
    <row r="744" spans="1:8" ht="15" x14ac:dyDescent="0.25">
      <c r="A744" s="95"/>
      <c r="B744" s="95"/>
      <c r="C744" s="95"/>
      <c r="D744" s="92"/>
      <c r="E744" s="96"/>
      <c r="F744" s="97"/>
      <c r="G744" s="94"/>
      <c r="H744" s="96"/>
    </row>
    <row r="745" spans="1:8" ht="15" x14ac:dyDescent="0.25">
      <c r="A745" s="95"/>
      <c r="B745" s="95"/>
      <c r="C745" s="95"/>
      <c r="D745" s="92"/>
      <c r="E745" s="96"/>
      <c r="F745" s="97"/>
      <c r="G745" s="94"/>
      <c r="H745" s="96"/>
    </row>
    <row r="746" spans="1:8" ht="15" x14ac:dyDescent="0.25">
      <c r="A746" s="95"/>
      <c r="B746" s="95"/>
      <c r="C746" s="95"/>
      <c r="D746" s="92"/>
      <c r="E746" s="96"/>
      <c r="F746" s="97"/>
      <c r="G746" s="94"/>
      <c r="H746" s="96"/>
    </row>
    <row r="747" spans="1:8" ht="15" x14ac:dyDescent="0.25">
      <c r="A747" s="95"/>
      <c r="B747" s="95"/>
      <c r="C747" s="95"/>
      <c r="D747" s="92"/>
      <c r="E747" s="96"/>
      <c r="F747" s="97"/>
      <c r="G747" s="94"/>
      <c r="H747" s="96"/>
    </row>
    <row r="748" spans="1:8" ht="15" x14ac:dyDescent="0.25">
      <c r="A748" s="95"/>
      <c r="B748" s="95"/>
      <c r="C748" s="95"/>
      <c r="D748" s="92"/>
      <c r="E748" s="96"/>
      <c r="F748" s="97"/>
      <c r="G748" s="94"/>
      <c r="H748" s="96"/>
    </row>
    <row r="749" spans="1:8" ht="15" x14ac:dyDescent="0.25">
      <c r="A749" s="95"/>
      <c r="B749" s="95"/>
      <c r="C749" s="95"/>
      <c r="D749" s="92"/>
      <c r="E749" s="96"/>
      <c r="F749" s="97"/>
      <c r="G749" s="94"/>
      <c r="H749" s="96"/>
    </row>
    <row r="750" spans="1:8" ht="15" x14ac:dyDescent="0.25">
      <c r="A750" s="95"/>
      <c r="B750" s="95"/>
      <c r="C750" s="95"/>
      <c r="D750" s="92"/>
      <c r="E750" s="96"/>
      <c r="F750" s="97"/>
      <c r="G750" s="94"/>
      <c r="H750" s="96"/>
    </row>
    <row r="751" spans="1:8" ht="15" x14ac:dyDescent="0.25">
      <c r="A751" s="95"/>
      <c r="B751" s="95"/>
      <c r="C751" s="95"/>
      <c r="D751" s="92"/>
      <c r="E751" s="96"/>
      <c r="F751" s="97"/>
      <c r="G751" s="94"/>
      <c r="H751" s="96"/>
    </row>
    <row r="752" spans="1:8" ht="15" x14ac:dyDescent="0.25">
      <c r="A752" s="95"/>
      <c r="B752" s="95"/>
      <c r="C752" s="95"/>
      <c r="D752" s="92"/>
      <c r="E752" s="96"/>
      <c r="F752" s="97"/>
      <c r="G752" s="94"/>
      <c r="H752" s="96"/>
    </row>
    <row r="753" spans="1:8" ht="15" x14ac:dyDescent="0.25">
      <c r="A753" s="95"/>
      <c r="B753" s="95"/>
      <c r="C753" s="95"/>
      <c r="D753" s="92"/>
      <c r="E753" s="96"/>
      <c r="F753" s="97"/>
      <c r="G753" s="94"/>
      <c r="H753" s="96"/>
    </row>
    <row r="754" spans="1:8" ht="15" x14ac:dyDescent="0.25">
      <c r="A754" s="95"/>
      <c r="B754" s="95"/>
      <c r="C754" s="95"/>
      <c r="D754" s="92"/>
      <c r="E754" s="96"/>
      <c r="F754" s="97"/>
      <c r="G754" s="94"/>
      <c r="H754" s="96"/>
    </row>
    <row r="755" spans="1:8" ht="15" x14ac:dyDescent="0.25">
      <c r="A755" s="95"/>
      <c r="B755" s="95"/>
      <c r="C755" s="95"/>
      <c r="D755" s="92"/>
      <c r="E755" s="96"/>
      <c r="F755" s="97"/>
      <c r="G755" s="94"/>
      <c r="H755" s="96"/>
    </row>
    <row r="756" spans="1:8" ht="15" x14ac:dyDescent="0.25">
      <c r="A756" s="95"/>
      <c r="B756" s="95"/>
      <c r="C756" s="95"/>
      <c r="D756" s="92"/>
      <c r="E756" s="96"/>
      <c r="F756" s="97"/>
      <c r="G756" s="94"/>
      <c r="H756" s="96"/>
    </row>
    <row r="757" spans="1:8" ht="15" x14ac:dyDescent="0.25">
      <c r="A757" s="95"/>
      <c r="B757" s="95"/>
      <c r="C757" s="95"/>
      <c r="D757" s="92"/>
      <c r="E757" s="96"/>
      <c r="F757" s="97"/>
      <c r="G757" s="94"/>
      <c r="H757" s="96"/>
    </row>
    <row r="758" spans="1:8" ht="15" x14ac:dyDescent="0.25">
      <c r="A758" s="95"/>
      <c r="B758" s="95"/>
      <c r="C758" s="95"/>
      <c r="D758" s="92"/>
      <c r="E758" s="96"/>
      <c r="F758" s="97"/>
      <c r="G758" s="94"/>
      <c r="H758" s="96"/>
    </row>
    <row r="759" spans="1:8" ht="15" x14ac:dyDescent="0.25">
      <c r="A759" s="95"/>
      <c r="B759" s="95"/>
      <c r="C759" s="95"/>
      <c r="D759" s="92"/>
      <c r="E759" s="96"/>
      <c r="F759" s="97"/>
      <c r="G759" s="94"/>
      <c r="H759" s="96"/>
    </row>
    <row r="760" spans="1:8" ht="15" x14ac:dyDescent="0.25">
      <c r="A760" s="95"/>
      <c r="B760" s="95"/>
      <c r="C760" s="95"/>
      <c r="D760" s="92"/>
      <c r="E760" s="96"/>
      <c r="F760" s="97"/>
      <c r="G760" s="94"/>
      <c r="H760" s="96"/>
    </row>
    <row r="761" spans="1:8" ht="15" x14ac:dyDescent="0.25">
      <c r="A761" s="95"/>
      <c r="B761" s="95"/>
      <c r="C761" s="95"/>
      <c r="D761" s="92"/>
      <c r="E761" s="96"/>
      <c r="F761" s="97"/>
      <c r="G761" s="94"/>
      <c r="H761" s="96"/>
    </row>
    <row r="762" spans="1:8" ht="15" x14ac:dyDescent="0.25">
      <c r="A762" s="95"/>
      <c r="B762" s="95"/>
      <c r="C762" s="95"/>
      <c r="D762" s="92"/>
      <c r="E762" s="96"/>
      <c r="F762" s="97"/>
      <c r="G762" s="94"/>
      <c r="H762" s="96"/>
    </row>
    <row r="763" spans="1:8" ht="15" x14ac:dyDescent="0.25">
      <c r="A763" s="95"/>
      <c r="B763" s="95"/>
      <c r="C763" s="95"/>
      <c r="D763" s="92"/>
      <c r="E763" s="96"/>
      <c r="F763" s="97"/>
      <c r="G763" s="94"/>
      <c r="H763" s="96"/>
    </row>
    <row r="764" spans="1:8" ht="15" x14ac:dyDescent="0.25">
      <c r="A764" s="95"/>
      <c r="B764" s="95"/>
      <c r="C764" s="95"/>
      <c r="D764" s="92"/>
      <c r="E764" s="96"/>
      <c r="F764" s="97"/>
      <c r="G764" s="94"/>
      <c r="H764" s="96"/>
    </row>
    <row r="765" spans="1:8" ht="15" x14ac:dyDescent="0.25">
      <c r="A765" s="95"/>
      <c r="B765" s="95"/>
      <c r="C765" s="95"/>
      <c r="D765" s="92"/>
      <c r="E765" s="96"/>
      <c r="F765" s="97"/>
      <c r="G765" s="94"/>
      <c r="H765" s="96"/>
    </row>
    <row r="766" spans="1:8" ht="15" x14ac:dyDescent="0.25">
      <c r="A766" s="95"/>
      <c r="B766" s="95"/>
      <c r="C766" s="95"/>
      <c r="D766" s="92"/>
      <c r="E766" s="96"/>
      <c r="F766" s="97"/>
      <c r="G766" s="94"/>
      <c r="H766" s="96"/>
    </row>
    <row r="767" spans="1:8" ht="15" x14ac:dyDescent="0.25">
      <c r="A767" s="95"/>
      <c r="B767" s="95"/>
      <c r="C767" s="95"/>
      <c r="D767" s="92"/>
      <c r="E767" s="96"/>
      <c r="F767" s="97"/>
      <c r="G767" s="94"/>
      <c r="H767" s="96"/>
    </row>
    <row r="768" spans="1:8" ht="15" x14ac:dyDescent="0.25">
      <c r="A768" s="95"/>
      <c r="B768" s="95"/>
      <c r="C768" s="95"/>
      <c r="D768" s="92"/>
      <c r="E768" s="96"/>
      <c r="F768" s="97"/>
      <c r="G768" s="94"/>
      <c r="H768" s="96"/>
    </row>
    <row r="769" spans="1:8" ht="15" x14ac:dyDescent="0.25">
      <c r="A769" s="95"/>
      <c r="B769" s="95"/>
      <c r="C769" s="95"/>
      <c r="D769" s="92"/>
      <c r="E769" s="96"/>
      <c r="F769" s="97"/>
      <c r="G769" s="94"/>
      <c r="H769" s="96"/>
    </row>
    <row r="770" spans="1:8" ht="15" x14ac:dyDescent="0.25">
      <c r="A770" s="95"/>
      <c r="B770" s="95"/>
      <c r="C770" s="95"/>
      <c r="D770" s="92"/>
      <c r="E770" s="96"/>
      <c r="F770" s="97"/>
      <c r="G770" s="94"/>
      <c r="H770" s="96"/>
    </row>
    <row r="771" spans="1:8" ht="15" x14ac:dyDescent="0.25">
      <c r="A771" s="95"/>
      <c r="B771" s="95"/>
      <c r="C771" s="95"/>
      <c r="D771" s="92"/>
      <c r="E771" s="96"/>
      <c r="F771" s="97"/>
      <c r="G771" s="94"/>
      <c r="H771" s="96"/>
    </row>
    <row r="772" spans="1:8" ht="15" x14ac:dyDescent="0.25">
      <c r="A772" s="95"/>
      <c r="B772" s="95"/>
      <c r="C772" s="95"/>
      <c r="D772" s="92"/>
      <c r="E772" s="96"/>
      <c r="F772" s="97"/>
      <c r="G772" s="94"/>
      <c r="H772" s="96"/>
    </row>
    <row r="773" spans="1:8" ht="15" x14ac:dyDescent="0.25">
      <c r="A773" s="95"/>
      <c r="B773" s="95"/>
      <c r="C773" s="95"/>
      <c r="D773" s="92"/>
      <c r="E773" s="96"/>
      <c r="F773" s="97"/>
      <c r="G773" s="94"/>
      <c r="H773" s="96"/>
    </row>
    <row r="774" spans="1:8" ht="15" x14ac:dyDescent="0.25">
      <c r="A774" s="95"/>
      <c r="B774" s="95"/>
      <c r="C774" s="95"/>
      <c r="D774" s="92"/>
      <c r="E774" s="96"/>
      <c r="F774" s="97"/>
      <c r="G774" s="94"/>
      <c r="H774" s="96"/>
    </row>
    <row r="775" spans="1:8" ht="15" x14ac:dyDescent="0.25">
      <c r="A775" s="95"/>
      <c r="B775" s="95"/>
      <c r="C775" s="95"/>
      <c r="D775" s="92"/>
      <c r="E775" s="96"/>
      <c r="F775" s="97"/>
      <c r="G775" s="94"/>
      <c r="H775" s="96"/>
    </row>
    <row r="776" spans="1:8" ht="15" x14ac:dyDescent="0.25">
      <c r="A776" s="95"/>
      <c r="B776" s="95"/>
      <c r="C776" s="95"/>
      <c r="D776" s="92"/>
      <c r="E776" s="96"/>
      <c r="F776" s="97"/>
      <c r="G776" s="94"/>
      <c r="H776" s="96"/>
    </row>
    <row r="777" spans="1:8" ht="15" x14ac:dyDescent="0.25">
      <c r="A777" s="95"/>
      <c r="B777" s="95"/>
      <c r="C777" s="95"/>
      <c r="D777" s="92"/>
      <c r="E777" s="96"/>
      <c r="F777" s="97"/>
      <c r="G777" s="94"/>
      <c r="H777" s="96"/>
    </row>
    <row r="778" spans="1:8" ht="15" x14ac:dyDescent="0.25">
      <c r="A778" s="95"/>
      <c r="B778" s="95"/>
      <c r="C778" s="95"/>
      <c r="D778" s="92"/>
      <c r="E778" s="96"/>
      <c r="F778" s="97"/>
      <c r="G778" s="94"/>
      <c r="H778" s="96"/>
    </row>
    <row r="779" spans="1:8" ht="15" x14ac:dyDescent="0.25">
      <c r="A779" s="95"/>
      <c r="B779" s="95"/>
      <c r="C779" s="95"/>
      <c r="D779" s="92"/>
      <c r="E779" s="96"/>
      <c r="F779" s="97"/>
      <c r="G779" s="94"/>
      <c r="H779" s="96"/>
    </row>
    <row r="780" spans="1:8" ht="15" x14ac:dyDescent="0.25">
      <c r="A780" s="95"/>
      <c r="B780" s="95"/>
      <c r="C780" s="95"/>
      <c r="D780" s="92"/>
      <c r="E780" s="96"/>
      <c r="F780" s="97"/>
      <c r="G780" s="94"/>
      <c r="H780" s="96"/>
    </row>
    <row r="781" spans="1:8" ht="15" x14ac:dyDescent="0.25">
      <c r="A781" s="95"/>
      <c r="B781" s="95"/>
      <c r="C781" s="95"/>
      <c r="D781" s="92"/>
      <c r="E781" s="96"/>
      <c r="F781" s="97"/>
      <c r="G781" s="94"/>
      <c r="H781" s="96"/>
    </row>
    <row r="782" spans="1:8" ht="15" x14ac:dyDescent="0.25">
      <c r="A782" s="95"/>
      <c r="B782" s="95"/>
      <c r="C782" s="95"/>
      <c r="D782" s="92"/>
      <c r="E782" s="96"/>
      <c r="F782" s="97"/>
      <c r="G782" s="94"/>
      <c r="H782" s="96"/>
    </row>
    <row r="783" spans="1:8" ht="15" x14ac:dyDescent="0.25">
      <c r="A783" s="95"/>
      <c r="B783" s="95"/>
      <c r="C783" s="95"/>
      <c r="D783" s="92"/>
      <c r="E783" s="96"/>
      <c r="F783" s="97"/>
      <c r="G783" s="94"/>
      <c r="H783" s="96"/>
    </row>
    <row r="784" spans="1:8" ht="15" x14ac:dyDescent="0.25">
      <c r="A784" s="95"/>
      <c r="B784" s="95"/>
      <c r="C784" s="95"/>
      <c r="D784" s="92"/>
      <c r="E784" s="96"/>
      <c r="F784" s="97"/>
      <c r="G784" s="94"/>
      <c r="H784" s="96"/>
    </row>
    <row r="785" spans="1:8" ht="15" x14ac:dyDescent="0.25">
      <c r="A785" s="95"/>
      <c r="B785" s="95"/>
      <c r="C785" s="95"/>
      <c r="D785" s="92"/>
      <c r="E785" s="96"/>
      <c r="F785" s="97"/>
      <c r="G785" s="94"/>
      <c r="H785" s="96"/>
    </row>
    <row r="786" spans="1:8" ht="15" x14ac:dyDescent="0.25">
      <c r="A786" s="95"/>
      <c r="B786" s="95"/>
      <c r="C786" s="95"/>
      <c r="D786" s="92"/>
      <c r="E786" s="96"/>
      <c r="F786" s="97"/>
      <c r="G786" s="94"/>
      <c r="H786" s="96"/>
    </row>
    <row r="787" spans="1:8" ht="15" x14ac:dyDescent="0.25">
      <c r="A787" s="95"/>
      <c r="B787" s="95"/>
      <c r="C787" s="95"/>
      <c r="D787" s="92"/>
      <c r="E787" s="96"/>
      <c r="F787" s="97"/>
      <c r="G787" s="94"/>
      <c r="H787" s="96"/>
    </row>
    <row r="788" spans="1:8" ht="15" x14ac:dyDescent="0.25">
      <c r="A788" s="95"/>
      <c r="B788" s="95"/>
      <c r="C788" s="95"/>
      <c r="D788" s="92"/>
      <c r="E788" s="96"/>
      <c r="F788" s="97"/>
      <c r="G788" s="94"/>
      <c r="H788" s="96"/>
    </row>
    <row r="789" spans="1:8" ht="15" x14ac:dyDescent="0.25">
      <c r="A789" s="95"/>
      <c r="B789" s="95"/>
      <c r="C789" s="95"/>
      <c r="D789" s="92"/>
      <c r="E789" s="96"/>
      <c r="F789" s="97"/>
      <c r="G789" s="94"/>
      <c r="H789" s="96"/>
    </row>
    <row r="790" spans="1:8" ht="15" x14ac:dyDescent="0.25">
      <c r="A790" s="95"/>
      <c r="B790" s="95"/>
      <c r="C790" s="95"/>
      <c r="D790" s="92"/>
      <c r="E790" s="96"/>
      <c r="F790" s="97"/>
      <c r="G790" s="94"/>
      <c r="H790" s="96"/>
    </row>
    <row r="791" spans="1:8" ht="15" x14ac:dyDescent="0.25">
      <c r="A791" s="95"/>
      <c r="B791" s="95"/>
      <c r="C791" s="95"/>
      <c r="D791" s="92"/>
      <c r="E791" s="96"/>
      <c r="F791" s="97"/>
      <c r="G791" s="94"/>
      <c r="H791" s="96"/>
    </row>
    <row r="792" spans="1:8" ht="15" x14ac:dyDescent="0.25">
      <c r="A792" s="95"/>
      <c r="B792" s="95"/>
      <c r="C792" s="95"/>
      <c r="D792" s="92"/>
      <c r="E792" s="96"/>
      <c r="F792" s="97"/>
      <c r="G792" s="94"/>
      <c r="H792" s="96"/>
    </row>
    <row r="793" spans="1:8" ht="15" x14ac:dyDescent="0.25">
      <c r="A793" s="95"/>
      <c r="B793" s="95"/>
      <c r="C793" s="95"/>
      <c r="D793" s="92"/>
      <c r="E793" s="96"/>
      <c r="F793" s="97"/>
      <c r="G793" s="94"/>
      <c r="H793" s="96"/>
    </row>
    <row r="794" spans="1:8" ht="15" x14ac:dyDescent="0.25">
      <c r="A794" s="95"/>
      <c r="B794" s="95"/>
      <c r="C794" s="95"/>
      <c r="D794" s="92"/>
      <c r="E794" s="96"/>
      <c r="F794" s="97"/>
      <c r="G794" s="94"/>
      <c r="H794" s="96"/>
    </row>
    <row r="795" spans="1:8" ht="15" x14ac:dyDescent="0.25">
      <c r="A795" s="95"/>
      <c r="B795" s="95"/>
      <c r="C795" s="95"/>
      <c r="D795" s="92"/>
      <c r="E795" s="96"/>
      <c r="F795" s="97"/>
      <c r="G795" s="94"/>
      <c r="H795" s="96"/>
    </row>
    <row r="796" spans="1:8" ht="15" x14ac:dyDescent="0.25">
      <c r="A796" s="95"/>
      <c r="B796" s="95"/>
      <c r="C796" s="95"/>
      <c r="D796" s="92"/>
      <c r="E796" s="96"/>
      <c r="F796" s="97"/>
      <c r="G796" s="94"/>
      <c r="H796" s="96"/>
    </row>
    <row r="797" spans="1:8" ht="15" x14ac:dyDescent="0.25">
      <c r="A797" s="95"/>
      <c r="B797" s="95"/>
      <c r="C797" s="95"/>
      <c r="D797" s="92"/>
      <c r="E797" s="96"/>
      <c r="F797" s="97"/>
      <c r="G797" s="94"/>
      <c r="H797" s="96"/>
    </row>
    <row r="798" spans="1:8" ht="15" x14ac:dyDescent="0.25">
      <c r="A798" s="95"/>
      <c r="B798" s="95"/>
      <c r="C798" s="95"/>
      <c r="D798" s="92"/>
      <c r="E798" s="96"/>
      <c r="F798" s="97"/>
      <c r="G798" s="94"/>
      <c r="H798" s="96"/>
    </row>
    <row r="799" spans="1:8" ht="15" x14ac:dyDescent="0.25">
      <c r="A799" s="95"/>
      <c r="B799" s="95"/>
      <c r="C799" s="95"/>
      <c r="D799" s="92"/>
      <c r="E799" s="96"/>
      <c r="F799" s="97"/>
      <c r="G799" s="94"/>
      <c r="H799" s="96"/>
    </row>
    <row r="800" spans="1:8" ht="15" x14ac:dyDescent="0.25">
      <c r="A800" s="95"/>
      <c r="B800" s="95"/>
      <c r="C800" s="95"/>
      <c r="D800" s="92"/>
      <c r="E800" s="96"/>
      <c r="F800" s="97"/>
      <c r="G800" s="94"/>
      <c r="H800" s="96"/>
    </row>
    <row r="801" spans="1:8" ht="15" x14ac:dyDescent="0.25">
      <c r="A801" s="95"/>
      <c r="B801" s="95"/>
      <c r="C801" s="95"/>
      <c r="D801" s="92"/>
      <c r="E801" s="96"/>
      <c r="F801" s="97"/>
      <c r="G801" s="94"/>
      <c r="H801" s="96"/>
    </row>
    <row r="802" spans="1:8" ht="15" x14ac:dyDescent="0.25">
      <c r="A802" s="95"/>
      <c r="B802" s="95"/>
      <c r="C802" s="95"/>
      <c r="D802" s="92"/>
      <c r="E802" s="96"/>
      <c r="F802" s="97"/>
      <c r="G802" s="94"/>
      <c r="H802" s="96"/>
    </row>
    <row r="803" spans="1:8" ht="15" x14ac:dyDescent="0.25">
      <c r="A803" s="95"/>
      <c r="B803" s="95"/>
      <c r="C803" s="95"/>
      <c r="D803" s="92"/>
      <c r="E803" s="96"/>
      <c r="F803" s="97"/>
      <c r="G803" s="94"/>
      <c r="H803" s="96"/>
    </row>
    <row r="804" spans="1:8" ht="15" x14ac:dyDescent="0.25">
      <c r="A804" s="95"/>
      <c r="B804" s="95"/>
      <c r="C804" s="95"/>
      <c r="D804" s="92"/>
      <c r="E804" s="96"/>
      <c r="F804" s="97"/>
      <c r="G804" s="94"/>
      <c r="H804" s="96"/>
    </row>
    <row r="805" spans="1:8" ht="15" x14ac:dyDescent="0.25">
      <c r="A805" s="95"/>
      <c r="B805" s="95"/>
      <c r="C805" s="95"/>
      <c r="D805" s="92"/>
      <c r="E805" s="96"/>
      <c r="F805" s="97"/>
      <c r="G805" s="94"/>
      <c r="H805" s="96"/>
    </row>
    <row r="806" spans="1:8" ht="15" x14ac:dyDescent="0.25">
      <c r="A806" s="95"/>
      <c r="B806" s="95"/>
      <c r="C806" s="95"/>
      <c r="D806" s="92"/>
      <c r="E806" s="96"/>
      <c r="F806" s="97"/>
      <c r="G806" s="94"/>
      <c r="H806" s="96"/>
    </row>
    <row r="807" spans="1:8" ht="15" x14ac:dyDescent="0.25">
      <c r="A807" s="95"/>
      <c r="B807" s="95"/>
      <c r="C807" s="95"/>
      <c r="D807" s="92"/>
      <c r="E807" s="96"/>
      <c r="F807" s="97"/>
      <c r="G807" s="94"/>
      <c r="H807" s="96"/>
    </row>
    <row r="808" spans="1:8" ht="15" x14ac:dyDescent="0.25">
      <c r="A808" s="95"/>
      <c r="B808" s="95"/>
      <c r="C808" s="95"/>
      <c r="D808" s="92"/>
      <c r="E808" s="96"/>
      <c r="F808" s="97"/>
      <c r="G808" s="94"/>
      <c r="H808" s="96"/>
    </row>
    <row r="809" spans="1:8" ht="15" x14ac:dyDescent="0.25">
      <c r="A809" s="95"/>
      <c r="B809" s="95"/>
      <c r="C809" s="95"/>
      <c r="D809" s="92"/>
      <c r="E809" s="96"/>
      <c r="F809" s="97"/>
      <c r="G809" s="94"/>
      <c r="H809" s="96"/>
    </row>
    <row r="810" spans="1:8" ht="15" x14ac:dyDescent="0.25">
      <c r="A810" s="95"/>
      <c r="B810" s="95"/>
      <c r="C810" s="95"/>
      <c r="D810" s="92"/>
      <c r="E810" s="96"/>
      <c r="F810" s="97"/>
      <c r="G810" s="94"/>
      <c r="H810" s="96"/>
    </row>
    <row r="811" spans="1:8" ht="15" x14ac:dyDescent="0.25">
      <c r="A811" s="95"/>
      <c r="B811" s="95"/>
      <c r="C811" s="95"/>
      <c r="D811" s="92"/>
      <c r="E811" s="96"/>
      <c r="F811" s="97"/>
      <c r="G811" s="94"/>
      <c r="H811" s="96"/>
    </row>
    <row r="812" spans="1:8" ht="15" x14ac:dyDescent="0.25">
      <c r="A812" s="95"/>
      <c r="B812" s="95"/>
      <c r="C812" s="95"/>
      <c r="D812" s="92"/>
      <c r="E812" s="96"/>
      <c r="F812" s="97"/>
      <c r="G812" s="94"/>
      <c r="H812" s="96"/>
    </row>
    <row r="813" spans="1:8" ht="15" x14ac:dyDescent="0.25">
      <c r="A813" s="95"/>
      <c r="B813" s="95"/>
      <c r="C813" s="95"/>
      <c r="D813" s="92"/>
      <c r="E813" s="96"/>
      <c r="F813" s="97"/>
      <c r="G813" s="94"/>
      <c r="H813" s="96"/>
    </row>
    <row r="814" spans="1:8" ht="15" x14ac:dyDescent="0.25">
      <c r="A814" s="95"/>
      <c r="B814" s="95"/>
      <c r="C814" s="95"/>
      <c r="D814" s="92"/>
      <c r="E814" s="96"/>
      <c r="F814" s="97"/>
      <c r="G814" s="94"/>
      <c r="H814" s="96"/>
    </row>
    <row r="815" spans="1:8" ht="15" x14ac:dyDescent="0.25">
      <c r="A815" s="95"/>
      <c r="B815" s="95"/>
      <c r="C815" s="95"/>
      <c r="D815" s="92"/>
      <c r="E815" s="96"/>
      <c r="F815" s="97"/>
      <c r="G815" s="94"/>
      <c r="H815" s="96"/>
    </row>
    <row r="816" spans="1:8" ht="15" x14ac:dyDescent="0.25">
      <c r="A816" s="95"/>
      <c r="B816" s="95"/>
      <c r="C816" s="95"/>
      <c r="D816" s="92"/>
      <c r="E816" s="96"/>
      <c r="F816" s="97"/>
      <c r="G816" s="94"/>
      <c r="H816" s="96"/>
    </row>
    <row r="817" spans="1:8" ht="15" x14ac:dyDescent="0.25">
      <c r="A817" s="95"/>
      <c r="B817" s="95"/>
      <c r="C817" s="95"/>
      <c r="D817" s="92"/>
      <c r="E817" s="96"/>
      <c r="F817" s="97"/>
      <c r="G817" s="94"/>
      <c r="H817" s="96"/>
    </row>
    <row r="818" spans="1:8" ht="15" x14ac:dyDescent="0.25">
      <c r="A818" s="95"/>
      <c r="B818" s="95"/>
      <c r="C818" s="95"/>
      <c r="D818" s="92"/>
      <c r="E818" s="96"/>
      <c r="F818" s="97"/>
      <c r="G818" s="94"/>
      <c r="H818" s="96"/>
    </row>
    <row r="819" spans="1:8" ht="15" x14ac:dyDescent="0.25">
      <c r="A819" s="95"/>
      <c r="B819" s="95"/>
      <c r="C819" s="95"/>
      <c r="D819" s="92"/>
      <c r="E819" s="96"/>
      <c r="F819" s="97"/>
      <c r="G819" s="94"/>
      <c r="H819" s="96"/>
    </row>
    <row r="820" spans="1:8" ht="15" x14ac:dyDescent="0.25">
      <c r="A820" s="95"/>
      <c r="B820" s="95"/>
      <c r="C820" s="95"/>
      <c r="D820" s="92"/>
      <c r="E820" s="96"/>
      <c r="F820" s="97"/>
      <c r="G820" s="94"/>
      <c r="H820" s="96"/>
    </row>
    <row r="821" spans="1:8" ht="15" x14ac:dyDescent="0.25">
      <c r="A821" s="95"/>
      <c r="B821" s="95"/>
      <c r="C821" s="95"/>
      <c r="D821" s="92"/>
      <c r="E821" s="96"/>
      <c r="F821" s="97"/>
      <c r="G821" s="94"/>
      <c r="H821" s="96"/>
    </row>
    <row r="822" spans="1:8" ht="15" x14ac:dyDescent="0.25">
      <c r="A822" s="95"/>
      <c r="B822" s="95"/>
      <c r="C822" s="95"/>
      <c r="D822" s="92"/>
      <c r="E822" s="96"/>
      <c r="F822" s="97"/>
      <c r="G822" s="94"/>
      <c r="H822" s="96"/>
    </row>
    <row r="823" spans="1:8" ht="15" x14ac:dyDescent="0.25">
      <c r="A823" s="95"/>
      <c r="B823" s="95"/>
      <c r="C823" s="95"/>
      <c r="D823" s="92"/>
      <c r="E823" s="96"/>
      <c r="F823" s="97"/>
      <c r="G823" s="94"/>
      <c r="H823" s="96"/>
    </row>
    <row r="824" spans="1:8" ht="15" x14ac:dyDescent="0.25">
      <c r="A824" s="95"/>
      <c r="B824" s="95"/>
      <c r="C824" s="95"/>
      <c r="D824" s="92"/>
      <c r="E824" s="96"/>
      <c r="F824" s="97"/>
      <c r="G824" s="94"/>
      <c r="H824" s="96"/>
    </row>
    <row r="825" spans="1:8" ht="15" x14ac:dyDescent="0.25">
      <c r="A825" s="95"/>
      <c r="B825" s="95"/>
      <c r="C825" s="95"/>
      <c r="D825" s="92"/>
      <c r="E825" s="96"/>
      <c r="F825" s="97"/>
      <c r="G825" s="94"/>
      <c r="H825" s="96"/>
    </row>
    <row r="826" spans="1:8" ht="15" x14ac:dyDescent="0.25">
      <c r="A826" s="95"/>
      <c r="B826" s="95"/>
      <c r="C826" s="95"/>
      <c r="D826" s="92"/>
      <c r="E826" s="96"/>
      <c r="F826" s="97"/>
      <c r="G826" s="94"/>
      <c r="H826" s="96"/>
    </row>
    <row r="827" spans="1:8" ht="15" x14ac:dyDescent="0.25">
      <c r="A827" s="95"/>
      <c r="B827" s="95"/>
      <c r="C827" s="95"/>
      <c r="D827" s="92"/>
      <c r="E827" s="96"/>
      <c r="F827" s="97"/>
      <c r="G827" s="94"/>
      <c r="H827" s="96"/>
    </row>
    <row r="828" spans="1:8" ht="15" x14ac:dyDescent="0.25">
      <c r="A828" s="95"/>
      <c r="B828" s="95"/>
      <c r="C828" s="95"/>
      <c r="D828" s="92"/>
      <c r="E828" s="96"/>
      <c r="F828" s="97"/>
      <c r="G828" s="94"/>
      <c r="H828" s="96"/>
    </row>
    <row r="829" spans="1:8" ht="15" x14ac:dyDescent="0.25">
      <c r="A829" s="95"/>
      <c r="B829" s="95"/>
      <c r="C829" s="95"/>
      <c r="D829" s="92"/>
      <c r="E829" s="96"/>
      <c r="F829" s="97"/>
      <c r="G829" s="94"/>
      <c r="H829" s="96"/>
    </row>
    <row r="830" spans="1:8" ht="15" x14ac:dyDescent="0.25">
      <c r="A830" s="95"/>
      <c r="B830" s="95"/>
      <c r="C830" s="95"/>
      <c r="D830" s="92"/>
      <c r="E830" s="96"/>
      <c r="F830" s="97"/>
      <c r="G830" s="94"/>
      <c r="H830" s="96"/>
    </row>
    <row r="831" spans="1:8" ht="15" x14ac:dyDescent="0.25">
      <c r="A831" s="95"/>
      <c r="B831" s="95"/>
      <c r="C831" s="95"/>
      <c r="D831" s="92"/>
      <c r="E831" s="96"/>
      <c r="F831" s="97"/>
      <c r="G831" s="94"/>
      <c r="H831" s="96"/>
    </row>
    <row r="832" spans="1:8" ht="15" x14ac:dyDescent="0.25">
      <c r="A832" s="95"/>
      <c r="B832" s="95"/>
      <c r="C832" s="95"/>
      <c r="D832" s="92"/>
      <c r="E832" s="96"/>
      <c r="F832" s="97"/>
      <c r="G832" s="94"/>
      <c r="H832" s="96"/>
    </row>
    <row r="833" spans="1:8" ht="15" x14ac:dyDescent="0.25">
      <c r="A833" s="95"/>
      <c r="B833" s="95"/>
      <c r="C833" s="95"/>
      <c r="D833" s="92"/>
      <c r="E833" s="96"/>
      <c r="F833" s="97"/>
      <c r="G833" s="94"/>
      <c r="H833" s="96"/>
    </row>
    <row r="834" spans="1:8" ht="15" x14ac:dyDescent="0.25">
      <c r="A834" s="95"/>
      <c r="B834" s="95"/>
      <c r="C834" s="95"/>
      <c r="D834" s="92"/>
      <c r="E834" s="96"/>
      <c r="F834" s="97"/>
      <c r="G834" s="94"/>
      <c r="H834" s="96"/>
    </row>
    <row r="835" spans="1:8" ht="15" x14ac:dyDescent="0.25">
      <c r="A835" s="95"/>
      <c r="B835" s="95"/>
      <c r="C835" s="95"/>
      <c r="D835" s="92"/>
      <c r="E835" s="96"/>
      <c r="F835" s="97"/>
      <c r="G835" s="94"/>
      <c r="H835" s="96"/>
    </row>
    <row r="836" spans="1:8" ht="15" x14ac:dyDescent="0.25">
      <c r="A836" s="95"/>
      <c r="B836" s="95"/>
      <c r="C836" s="95"/>
      <c r="D836" s="92"/>
      <c r="E836" s="96"/>
      <c r="F836" s="97"/>
      <c r="G836" s="94"/>
      <c r="H836" s="96"/>
    </row>
    <row r="837" spans="1:8" ht="15" x14ac:dyDescent="0.25">
      <c r="A837" s="95"/>
      <c r="B837" s="95"/>
      <c r="C837" s="95"/>
      <c r="D837" s="92"/>
      <c r="E837" s="96"/>
      <c r="F837" s="97"/>
      <c r="G837" s="94"/>
      <c r="H837" s="96"/>
    </row>
    <row r="838" spans="1:8" ht="15" x14ac:dyDescent="0.25">
      <c r="A838" s="95"/>
      <c r="B838" s="95"/>
      <c r="C838" s="95"/>
      <c r="D838" s="92"/>
      <c r="E838" s="96"/>
      <c r="F838" s="97"/>
      <c r="G838" s="94"/>
      <c r="H838" s="96"/>
    </row>
    <row r="839" spans="1:8" ht="15" x14ac:dyDescent="0.25">
      <c r="A839" s="95"/>
      <c r="B839" s="95"/>
      <c r="C839" s="95"/>
      <c r="D839" s="92"/>
      <c r="E839" s="96"/>
      <c r="F839" s="97"/>
      <c r="G839" s="94"/>
      <c r="H839" s="96"/>
    </row>
    <row r="840" spans="1:8" ht="15" x14ac:dyDescent="0.25">
      <c r="A840" s="95"/>
      <c r="B840" s="95"/>
      <c r="C840" s="95"/>
      <c r="D840" s="92"/>
      <c r="E840" s="96"/>
      <c r="F840" s="97"/>
      <c r="G840" s="94"/>
      <c r="H840" s="96"/>
    </row>
    <row r="841" spans="1:8" ht="15" x14ac:dyDescent="0.25">
      <c r="A841" s="95"/>
      <c r="B841" s="95"/>
      <c r="C841" s="95"/>
      <c r="D841" s="92"/>
      <c r="E841" s="96"/>
      <c r="F841" s="97"/>
      <c r="G841" s="94"/>
      <c r="H841" s="96"/>
    </row>
    <row r="842" spans="1:8" ht="15" x14ac:dyDescent="0.25">
      <c r="A842" s="95"/>
      <c r="B842" s="95"/>
      <c r="C842" s="95"/>
      <c r="D842" s="92"/>
      <c r="E842" s="96"/>
      <c r="F842" s="97"/>
      <c r="G842" s="94"/>
      <c r="H842" s="96"/>
    </row>
    <row r="843" spans="1:8" ht="15" x14ac:dyDescent="0.25">
      <c r="A843" s="95"/>
      <c r="B843" s="95"/>
      <c r="C843" s="95"/>
      <c r="D843" s="92"/>
      <c r="E843" s="96"/>
      <c r="F843" s="97"/>
      <c r="G843" s="94"/>
      <c r="H843" s="96"/>
    </row>
    <row r="844" spans="1:8" ht="15" x14ac:dyDescent="0.25">
      <c r="A844" s="95"/>
      <c r="B844" s="95"/>
      <c r="C844" s="95"/>
      <c r="D844" s="92"/>
      <c r="E844" s="96"/>
      <c r="F844" s="97"/>
      <c r="G844" s="94"/>
      <c r="H844" s="96"/>
    </row>
    <row r="845" spans="1:8" ht="15" x14ac:dyDescent="0.25">
      <c r="A845" s="95"/>
      <c r="B845" s="95"/>
      <c r="C845" s="95"/>
      <c r="D845" s="92"/>
      <c r="E845" s="96"/>
      <c r="F845" s="97"/>
      <c r="G845" s="94"/>
      <c r="H845" s="96"/>
    </row>
    <row r="846" spans="1:8" ht="15" x14ac:dyDescent="0.25">
      <c r="A846" s="95"/>
      <c r="B846" s="95"/>
      <c r="C846" s="95"/>
      <c r="D846" s="92"/>
      <c r="E846" s="96"/>
      <c r="F846" s="97"/>
      <c r="G846" s="94"/>
      <c r="H846" s="96"/>
    </row>
    <row r="847" spans="1:8" ht="15" x14ac:dyDescent="0.25">
      <c r="A847" s="95"/>
      <c r="B847" s="95"/>
      <c r="C847" s="95"/>
      <c r="D847" s="92"/>
      <c r="E847" s="96"/>
      <c r="F847" s="97"/>
      <c r="G847" s="94"/>
      <c r="H847" s="96"/>
    </row>
    <row r="848" spans="1:8" ht="15" x14ac:dyDescent="0.25">
      <c r="A848" s="95"/>
      <c r="B848" s="95"/>
      <c r="C848" s="95"/>
      <c r="D848" s="92"/>
      <c r="E848" s="96"/>
      <c r="F848" s="97"/>
      <c r="G848" s="94"/>
      <c r="H848" s="96"/>
    </row>
    <row r="849" spans="1:8" ht="15" x14ac:dyDescent="0.25">
      <c r="A849" s="95"/>
      <c r="B849" s="95"/>
      <c r="C849" s="95"/>
      <c r="D849" s="92"/>
      <c r="E849" s="96"/>
      <c r="F849" s="97"/>
      <c r="G849" s="94"/>
      <c r="H849" s="96"/>
    </row>
    <row r="850" spans="1:8" ht="15" x14ac:dyDescent="0.25">
      <c r="A850" s="95"/>
      <c r="B850" s="95"/>
      <c r="C850" s="95"/>
      <c r="D850" s="92"/>
      <c r="E850" s="96"/>
      <c r="F850" s="97"/>
      <c r="G850" s="94"/>
      <c r="H850" s="96"/>
    </row>
    <row r="851" spans="1:8" ht="15" x14ac:dyDescent="0.25">
      <c r="A851" s="95"/>
      <c r="B851" s="95"/>
      <c r="C851" s="95"/>
      <c r="D851" s="92"/>
      <c r="E851" s="96"/>
      <c r="F851" s="97"/>
      <c r="G851" s="94"/>
      <c r="H851" s="96"/>
    </row>
    <row r="852" spans="1:8" ht="15" x14ac:dyDescent="0.25">
      <c r="A852" s="95"/>
      <c r="B852" s="95"/>
      <c r="C852" s="95"/>
      <c r="D852" s="92"/>
      <c r="E852" s="96"/>
      <c r="F852" s="97"/>
      <c r="G852" s="94"/>
      <c r="H852" s="96"/>
    </row>
    <row r="853" spans="1:8" ht="15" x14ac:dyDescent="0.25">
      <c r="A853" s="95"/>
      <c r="B853" s="95"/>
      <c r="C853" s="95"/>
      <c r="D853" s="92"/>
      <c r="E853" s="96"/>
      <c r="F853" s="97"/>
      <c r="G853" s="94"/>
      <c r="H853" s="96"/>
    </row>
    <row r="854" spans="1:8" ht="15" x14ac:dyDescent="0.25">
      <c r="A854" s="95"/>
      <c r="B854" s="95"/>
      <c r="C854" s="95"/>
      <c r="D854" s="92"/>
      <c r="E854" s="96"/>
      <c r="F854" s="97"/>
      <c r="G854" s="94"/>
      <c r="H854" s="96"/>
    </row>
    <row r="855" spans="1:8" ht="15" x14ac:dyDescent="0.25">
      <c r="A855" s="95"/>
      <c r="B855" s="95"/>
      <c r="C855" s="95"/>
      <c r="D855" s="92"/>
      <c r="E855" s="96"/>
      <c r="F855" s="97"/>
      <c r="G855" s="94"/>
      <c r="H855" s="96"/>
    </row>
    <row r="856" spans="1:8" ht="15" x14ac:dyDescent="0.25">
      <c r="A856" s="95"/>
      <c r="B856" s="95"/>
      <c r="C856" s="95"/>
      <c r="D856" s="92"/>
      <c r="E856" s="96"/>
      <c r="F856" s="97"/>
      <c r="G856" s="94"/>
      <c r="H856" s="96"/>
    </row>
    <row r="857" spans="1:8" ht="15" x14ac:dyDescent="0.25">
      <c r="A857" s="95"/>
      <c r="B857" s="95"/>
      <c r="C857" s="95"/>
      <c r="D857" s="92"/>
      <c r="E857" s="96"/>
      <c r="F857" s="97"/>
      <c r="G857" s="94"/>
      <c r="H857" s="96"/>
    </row>
    <row r="858" spans="1:8" ht="15" x14ac:dyDescent="0.25">
      <c r="A858" s="95"/>
      <c r="B858" s="95"/>
      <c r="C858" s="95"/>
      <c r="D858" s="92"/>
      <c r="E858" s="96"/>
      <c r="F858" s="97"/>
      <c r="G858" s="94"/>
      <c r="H858" s="96"/>
    </row>
    <row r="859" spans="1:8" ht="15" x14ac:dyDescent="0.25">
      <c r="A859" s="95"/>
      <c r="B859" s="95"/>
      <c r="C859" s="95"/>
      <c r="D859" s="92"/>
      <c r="E859" s="96"/>
      <c r="F859" s="97"/>
      <c r="G859" s="94"/>
      <c r="H859" s="96"/>
    </row>
    <row r="860" spans="1:8" ht="15" x14ac:dyDescent="0.25">
      <c r="A860" s="95"/>
      <c r="B860" s="95"/>
      <c r="C860" s="95"/>
      <c r="D860" s="92"/>
      <c r="E860" s="96"/>
      <c r="F860" s="97"/>
      <c r="G860" s="94"/>
      <c r="H860" s="96"/>
    </row>
    <row r="861" spans="1:8" ht="15" x14ac:dyDescent="0.25">
      <c r="A861" s="95"/>
      <c r="B861" s="95"/>
      <c r="C861" s="95"/>
      <c r="D861" s="92"/>
      <c r="E861" s="96"/>
      <c r="F861" s="97"/>
      <c r="G861" s="94"/>
      <c r="H861" s="96"/>
    </row>
    <row r="862" spans="1:8" ht="15" x14ac:dyDescent="0.25">
      <c r="A862" s="95"/>
      <c r="B862" s="95"/>
      <c r="C862" s="95"/>
      <c r="D862" s="92"/>
      <c r="E862" s="96"/>
      <c r="F862" s="97"/>
      <c r="G862" s="94"/>
      <c r="H862" s="96"/>
    </row>
    <row r="863" spans="1:8" ht="15" x14ac:dyDescent="0.25">
      <c r="A863" s="95"/>
      <c r="B863" s="95"/>
      <c r="C863" s="95"/>
      <c r="D863" s="92"/>
      <c r="E863" s="96"/>
      <c r="F863" s="97"/>
      <c r="G863" s="94"/>
      <c r="H863" s="96"/>
    </row>
    <row r="864" spans="1:8" ht="15" x14ac:dyDescent="0.25">
      <c r="A864" s="95"/>
      <c r="B864" s="95"/>
      <c r="C864" s="95"/>
      <c r="D864" s="92"/>
      <c r="E864" s="96"/>
      <c r="F864" s="97"/>
      <c r="G864" s="94"/>
      <c r="H864" s="96"/>
    </row>
    <row r="865" spans="1:8" ht="15" x14ac:dyDescent="0.25">
      <c r="A865" s="95"/>
      <c r="B865" s="95"/>
      <c r="C865" s="95"/>
      <c r="D865" s="92"/>
      <c r="E865" s="96"/>
      <c r="F865" s="97"/>
      <c r="G865" s="94"/>
      <c r="H865" s="96"/>
    </row>
    <row r="866" spans="1:8" ht="15" x14ac:dyDescent="0.25">
      <c r="A866" s="95"/>
      <c r="B866" s="95"/>
      <c r="C866" s="95"/>
      <c r="D866" s="92"/>
      <c r="E866" s="96"/>
      <c r="F866" s="97"/>
      <c r="G866" s="94"/>
      <c r="H866" s="96"/>
    </row>
    <row r="867" spans="1:8" ht="15" x14ac:dyDescent="0.25">
      <c r="A867" s="95"/>
      <c r="B867" s="95"/>
      <c r="C867" s="95"/>
      <c r="D867" s="92"/>
      <c r="E867" s="96"/>
      <c r="F867" s="97"/>
      <c r="G867" s="94"/>
      <c r="H867" s="96"/>
    </row>
    <row r="868" spans="1:8" ht="15" x14ac:dyDescent="0.25">
      <c r="A868" s="95"/>
      <c r="B868" s="95"/>
      <c r="C868" s="95"/>
      <c r="D868" s="92"/>
      <c r="E868" s="96"/>
      <c r="F868" s="97"/>
      <c r="G868" s="94"/>
      <c r="H868" s="96"/>
    </row>
    <row r="869" spans="1:8" ht="15" x14ac:dyDescent="0.25">
      <c r="A869" s="95"/>
      <c r="B869" s="95"/>
      <c r="C869" s="95"/>
      <c r="D869" s="92"/>
      <c r="E869" s="96"/>
      <c r="F869" s="97"/>
      <c r="G869" s="94"/>
      <c r="H869" s="96"/>
    </row>
    <row r="870" spans="1:8" ht="15" x14ac:dyDescent="0.25">
      <c r="A870" s="95"/>
      <c r="B870" s="95"/>
      <c r="C870" s="95"/>
      <c r="D870" s="92"/>
      <c r="E870" s="96"/>
      <c r="F870" s="97"/>
      <c r="G870" s="94"/>
      <c r="H870" s="96"/>
    </row>
    <row r="871" spans="1:8" ht="15" x14ac:dyDescent="0.25">
      <c r="A871" s="95"/>
      <c r="B871" s="95"/>
      <c r="C871" s="95"/>
      <c r="D871" s="92"/>
      <c r="E871" s="96"/>
      <c r="F871" s="97"/>
      <c r="G871" s="94"/>
      <c r="H871" s="96"/>
    </row>
    <row r="872" spans="1:8" ht="15" x14ac:dyDescent="0.25">
      <c r="A872" s="95"/>
      <c r="B872" s="95"/>
      <c r="C872" s="95"/>
      <c r="D872" s="92"/>
      <c r="E872" s="96"/>
      <c r="F872" s="97"/>
      <c r="G872" s="94"/>
      <c r="H872" s="96"/>
    </row>
    <row r="873" spans="1:8" ht="15" x14ac:dyDescent="0.25">
      <c r="A873" s="95"/>
      <c r="B873" s="95"/>
      <c r="C873" s="95"/>
      <c r="D873" s="92"/>
      <c r="E873" s="96"/>
      <c r="F873" s="97"/>
      <c r="G873" s="94"/>
      <c r="H873" s="96"/>
    </row>
    <row r="874" spans="1:8" ht="15" x14ac:dyDescent="0.25">
      <c r="A874" s="95"/>
      <c r="B874" s="95"/>
      <c r="C874" s="95"/>
      <c r="D874" s="92"/>
      <c r="E874" s="96"/>
      <c r="F874" s="97"/>
      <c r="G874" s="94"/>
      <c r="H874" s="96"/>
    </row>
    <row r="875" spans="1:8" ht="15" x14ac:dyDescent="0.25">
      <c r="A875" s="95"/>
      <c r="B875" s="95"/>
      <c r="C875" s="95"/>
      <c r="D875" s="92"/>
      <c r="E875" s="96"/>
      <c r="F875" s="97"/>
      <c r="G875" s="94"/>
      <c r="H875" s="96"/>
    </row>
    <row r="876" spans="1:8" ht="15" x14ac:dyDescent="0.25">
      <c r="A876" s="95"/>
      <c r="B876" s="95"/>
      <c r="C876" s="95"/>
      <c r="D876" s="92"/>
      <c r="E876" s="96"/>
      <c r="F876" s="97"/>
      <c r="G876" s="94"/>
      <c r="H876" s="96"/>
    </row>
    <row r="877" spans="1:8" ht="15" x14ac:dyDescent="0.25">
      <c r="A877" s="95"/>
      <c r="B877" s="95"/>
      <c r="C877" s="95"/>
      <c r="D877" s="92"/>
      <c r="E877" s="96"/>
      <c r="F877" s="97"/>
      <c r="G877" s="94"/>
      <c r="H877" s="96"/>
    </row>
    <row r="878" spans="1:8" ht="15" x14ac:dyDescent="0.25">
      <c r="A878" s="95"/>
      <c r="B878" s="95"/>
      <c r="C878" s="95"/>
      <c r="D878" s="92"/>
      <c r="E878" s="96"/>
      <c r="F878" s="97"/>
      <c r="G878" s="94"/>
      <c r="H878" s="96"/>
    </row>
    <row r="879" spans="1:8" ht="15" x14ac:dyDescent="0.25">
      <c r="A879" s="95"/>
      <c r="B879" s="95"/>
      <c r="C879" s="95"/>
      <c r="D879" s="92"/>
      <c r="E879" s="96"/>
      <c r="F879" s="97"/>
      <c r="G879" s="94"/>
      <c r="H879" s="96"/>
    </row>
    <row r="880" spans="1:8" ht="15" x14ac:dyDescent="0.25">
      <c r="A880" s="95"/>
      <c r="B880" s="95"/>
      <c r="C880" s="95"/>
      <c r="D880" s="92"/>
      <c r="E880" s="96"/>
      <c r="F880" s="97"/>
      <c r="G880" s="94"/>
      <c r="H880" s="96"/>
    </row>
    <row r="881" spans="1:8" ht="15" x14ac:dyDescent="0.25">
      <c r="A881" s="95"/>
      <c r="B881" s="95"/>
      <c r="C881" s="95"/>
      <c r="D881" s="92"/>
      <c r="E881" s="96"/>
      <c r="F881" s="97"/>
      <c r="G881" s="94"/>
      <c r="H881" s="96"/>
    </row>
    <row r="882" spans="1:8" ht="15" x14ac:dyDescent="0.25">
      <c r="A882" s="95"/>
      <c r="B882" s="95"/>
      <c r="C882" s="95"/>
      <c r="D882" s="92"/>
      <c r="E882" s="96"/>
      <c r="F882" s="97"/>
      <c r="G882" s="94"/>
      <c r="H882" s="96"/>
    </row>
    <row r="883" spans="1:8" ht="15" x14ac:dyDescent="0.25">
      <c r="A883" s="95"/>
      <c r="B883" s="95"/>
      <c r="C883" s="95"/>
      <c r="D883" s="92"/>
      <c r="E883" s="96"/>
      <c r="F883" s="97"/>
      <c r="G883" s="94"/>
      <c r="H883" s="96"/>
    </row>
    <row r="884" spans="1:8" ht="15" x14ac:dyDescent="0.25">
      <c r="A884" s="95"/>
      <c r="B884" s="95"/>
      <c r="C884" s="95"/>
      <c r="D884" s="92"/>
      <c r="E884" s="96"/>
      <c r="F884" s="97"/>
      <c r="G884" s="94"/>
      <c r="H884" s="96"/>
    </row>
    <row r="885" spans="1:8" ht="15" x14ac:dyDescent="0.25">
      <c r="A885" s="95"/>
      <c r="B885" s="95"/>
      <c r="C885" s="95"/>
      <c r="D885" s="92"/>
      <c r="E885" s="96"/>
      <c r="F885" s="97"/>
      <c r="G885" s="94"/>
      <c r="H885" s="96"/>
    </row>
    <row r="886" spans="1:8" ht="15" x14ac:dyDescent="0.25">
      <c r="A886" s="95"/>
      <c r="B886" s="95"/>
      <c r="C886" s="95"/>
      <c r="D886" s="92"/>
      <c r="E886" s="96"/>
      <c r="F886" s="97"/>
      <c r="G886" s="94"/>
      <c r="H886" s="96"/>
    </row>
    <row r="887" spans="1:8" ht="15" x14ac:dyDescent="0.25">
      <c r="A887" s="95"/>
      <c r="B887" s="95"/>
      <c r="C887" s="95"/>
      <c r="D887" s="92"/>
      <c r="E887" s="96"/>
      <c r="F887" s="97"/>
      <c r="G887" s="94"/>
      <c r="H887" s="96"/>
    </row>
    <row r="888" spans="1:8" ht="15" x14ac:dyDescent="0.25">
      <c r="A888" s="95"/>
      <c r="B888" s="95"/>
      <c r="C888" s="95"/>
      <c r="D888" s="92"/>
      <c r="E888" s="96"/>
      <c r="F888" s="97"/>
      <c r="G888" s="94"/>
      <c r="H888" s="96"/>
    </row>
    <row r="889" spans="1:8" ht="15" x14ac:dyDescent="0.25">
      <c r="A889" s="95"/>
      <c r="B889" s="95"/>
      <c r="C889" s="95"/>
      <c r="D889" s="92"/>
      <c r="E889" s="96"/>
      <c r="F889" s="97"/>
      <c r="G889" s="94"/>
      <c r="H889" s="96"/>
    </row>
    <row r="890" spans="1:8" ht="15" x14ac:dyDescent="0.25">
      <c r="A890" s="95"/>
      <c r="B890" s="95"/>
      <c r="C890" s="95"/>
      <c r="D890" s="92"/>
      <c r="E890" s="96"/>
      <c r="F890" s="97"/>
      <c r="G890" s="94"/>
      <c r="H890" s="96"/>
    </row>
    <row r="891" spans="1:8" ht="15" x14ac:dyDescent="0.25">
      <c r="A891" s="95"/>
      <c r="B891" s="95"/>
      <c r="C891" s="95"/>
      <c r="D891" s="92"/>
      <c r="E891" s="96"/>
      <c r="F891" s="97"/>
      <c r="G891" s="94"/>
      <c r="H891" s="96"/>
    </row>
    <row r="892" spans="1:8" ht="15" x14ac:dyDescent="0.25">
      <c r="A892" s="95"/>
      <c r="B892" s="95"/>
      <c r="C892" s="95"/>
      <c r="D892" s="92"/>
      <c r="E892" s="96"/>
      <c r="F892" s="97"/>
      <c r="G892" s="94"/>
      <c r="H892" s="96"/>
    </row>
    <row r="893" spans="1:8" ht="15" x14ac:dyDescent="0.25">
      <c r="A893" s="95"/>
      <c r="B893" s="95"/>
      <c r="C893" s="95"/>
      <c r="D893" s="92"/>
      <c r="E893" s="96"/>
      <c r="F893" s="97"/>
      <c r="G893" s="94"/>
      <c r="H893" s="96"/>
    </row>
    <row r="894" spans="1:8" ht="15" x14ac:dyDescent="0.25">
      <c r="A894" s="95"/>
      <c r="B894" s="95"/>
      <c r="C894" s="95"/>
      <c r="D894" s="92"/>
      <c r="E894" s="96"/>
      <c r="F894" s="97"/>
      <c r="G894" s="94"/>
      <c r="H894" s="96"/>
    </row>
    <row r="895" spans="1:8" ht="15" x14ac:dyDescent="0.25">
      <c r="A895" s="95"/>
      <c r="B895" s="95"/>
      <c r="C895" s="95"/>
      <c r="D895" s="92"/>
      <c r="E895" s="96"/>
      <c r="F895" s="97"/>
      <c r="G895" s="94"/>
      <c r="H895" s="96"/>
    </row>
    <row r="896" spans="1:8" ht="15" x14ac:dyDescent="0.25">
      <c r="A896" s="95"/>
      <c r="B896" s="95"/>
      <c r="C896" s="95"/>
      <c r="D896" s="92"/>
      <c r="E896" s="96"/>
      <c r="F896" s="97"/>
      <c r="G896" s="94"/>
      <c r="H896" s="96"/>
    </row>
    <row r="897" spans="1:8" ht="15" x14ac:dyDescent="0.25">
      <c r="A897" s="95"/>
      <c r="B897" s="95"/>
      <c r="C897" s="95"/>
      <c r="D897" s="92"/>
      <c r="E897" s="96"/>
      <c r="F897" s="97"/>
      <c r="G897" s="94"/>
      <c r="H897" s="96"/>
    </row>
    <row r="898" spans="1:8" ht="15" x14ac:dyDescent="0.25">
      <c r="A898" s="95"/>
      <c r="B898" s="95"/>
      <c r="C898" s="95"/>
      <c r="D898" s="92"/>
      <c r="E898" s="96"/>
      <c r="F898" s="97"/>
      <c r="G898" s="94"/>
      <c r="H898" s="96"/>
    </row>
    <row r="899" spans="1:8" ht="15" x14ac:dyDescent="0.25">
      <c r="A899" s="95"/>
      <c r="B899" s="95"/>
      <c r="C899" s="95"/>
      <c r="D899" s="92"/>
      <c r="E899" s="96"/>
      <c r="F899" s="97"/>
      <c r="G899" s="94"/>
      <c r="H899" s="96"/>
    </row>
    <row r="900" spans="1:8" ht="15" x14ac:dyDescent="0.25">
      <c r="A900" s="95"/>
      <c r="B900" s="95"/>
      <c r="C900" s="95"/>
      <c r="D900" s="92"/>
      <c r="E900" s="96"/>
      <c r="F900" s="97"/>
      <c r="G900" s="94"/>
      <c r="H900" s="96"/>
    </row>
    <row r="901" spans="1:8" ht="15" x14ac:dyDescent="0.25">
      <c r="A901" s="95"/>
      <c r="B901" s="95"/>
      <c r="C901" s="95"/>
      <c r="D901" s="92"/>
      <c r="E901" s="96"/>
      <c r="F901" s="97"/>
      <c r="G901" s="94"/>
      <c r="H901" s="96"/>
    </row>
    <row r="902" spans="1:8" ht="15" x14ac:dyDescent="0.25">
      <c r="A902" s="95"/>
      <c r="B902" s="95"/>
      <c r="C902" s="95"/>
      <c r="D902" s="92"/>
      <c r="E902" s="96"/>
      <c r="F902" s="97"/>
      <c r="G902" s="94"/>
      <c r="H902" s="96"/>
    </row>
    <row r="903" spans="1:8" ht="15" x14ac:dyDescent="0.25">
      <c r="A903" s="95"/>
      <c r="B903" s="95"/>
      <c r="C903" s="95"/>
      <c r="D903" s="92"/>
      <c r="E903" s="96"/>
      <c r="F903" s="97"/>
      <c r="G903" s="94"/>
      <c r="H903" s="96"/>
    </row>
    <row r="904" spans="1:8" ht="15" x14ac:dyDescent="0.25">
      <c r="A904" s="95"/>
      <c r="B904" s="95"/>
      <c r="C904" s="95"/>
      <c r="D904" s="92"/>
      <c r="E904" s="96"/>
      <c r="F904" s="97"/>
      <c r="G904" s="94"/>
      <c r="H904" s="96"/>
    </row>
    <row r="905" spans="1:8" ht="15" x14ac:dyDescent="0.25">
      <c r="A905" s="95"/>
      <c r="B905" s="95"/>
      <c r="C905" s="95"/>
      <c r="D905" s="92"/>
      <c r="E905" s="96"/>
      <c r="F905" s="97"/>
      <c r="G905" s="94"/>
      <c r="H905" s="96"/>
    </row>
    <row r="906" spans="1:8" ht="15" x14ac:dyDescent="0.25">
      <c r="A906" s="95"/>
      <c r="B906" s="95"/>
      <c r="C906" s="95"/>
      <c r="D906" s="92"/>
      <c r="E906" s="96"/>
      <c r="F906" s="97"/>
      <c r="G906" s="94"/>
      <c r="H906" s="96"/>
    </row>
    <row r="907" spans="1:8" ht="15" x14ac:dyDescent="0.25">
      <c r="A907" s="95"/>
      <c r="B907" s="95"/>
      <c r="C907" s="95"/>
      <c r="D907" s="92"/>
      <c r="E907" s="96"/>
      <c r="F907" s="97"/>
      <c r="G907" s="94"/>
      <c r="H907" s="96"/>
    </row>
    <row r="908" spans="1:8" ht="15" x14ac:dyDescent="0.25">
      <c r="A908" s="95"/>
      <c r="B908" s="95"/>
      <c r="C908" s="95"/>
      <c r="D908" s="92"/>
      <c r="E908" s="96"/>
      <c r="F908" s="97"/>
      <c r="G908" s="94"/>
      <c r="H908" s="96"/>
    </row>
    <row r="909" spans="1:8" ht="15" x14ac:dyDescent="0.25">
      <c r="A909" s="95"/>
      <c r="B909" s="95"/>
      <c r="C909" s="95"/>
      <c r="D909" s="92"/>
      <c r="E909" s="96"/>
      <c r="F909" s="97"/>
      <c r="G909" s="94"/>
      <c r="H909" s="96"/>
    </row>
    <row r="910" spans="1:8" ht="15" x14ac:dyDescent="0.25">
      <c r="A910" s="95"/>
      <c r="B910" s="95"/>
      <c r="C910" s="95"/>
      <c r="D910" s="92"/>
      <c r="E910" s="96"/>
      <c r="F910" s="97"/>
      <c r="G910" s="94"/>
      <c r="H910" s="96"/>
    </row>
    <row r="911" spans="1:8" ht="15" x14ac:dyDescent="0.25">
      <c r="A911" s="95"/>
      <c r="B911" s="95"/>
      <c r="C911" s="95"/>
      <c r="D911" s="92"/>
      <c r="E911" s="96"/>
      <c r="F911" s="97"/>
      <c r="G911" s="94"/>
      <c r="H911" s="96"/>
    </row>
    <row r="912" spans="1:8" ht="15" x14ac:dyDescent="0.25">
      <c r="A912" s="95"/>
      <c r="B912" s="95"/>
      <c r="C912" s="95"/>
      <c r="D912" s="92"/>
      <c r="E912" s="96"/>
      <c r="F912" s="97"/>
      <c r="G912" s="94"/>
      <c r="H912" s="96"/>
    </row>
    <row r="913" spans="1:8" ht="15" x14ac:dyDescent="0.25">
      <c r="A913" s="95"/>
      <c r="B913" s="95"/>
      <c r="C913" s="95"/>
      <c r="D913" s="92"/>
      <c r="E913" s="96"/>
      <c r="F913" s="97"/>
      <c r="G913" s="94"/>
      <c r="H913" s="96"/>
    </row>
    <row r="914" spans="1:8" ht="15" x14ac:dyDescent="0.25">
      <c r="A914" s="95"/>
      <c r="B914" s="95"/>
      <c r="C914" s="95"/>
      <c r="D914" s="92"/>
      <c r="E914" s="96"/>
      <c r="F914" s="97"/>
      <c r="G914" s="94"/>
      <c r="H914" s="96"/>
    </row>
    <row r="915" spans="1:8" ht="15" x14ac:dyDescent="0.25">
      <c r="A915" s="95"/>
      <c r="B915" s="95"/>
      <c r="C915" s="95"/>
      <c r="D915" s="92"/>
      <c r="E915" s="96"/>
      <c r="F915" s="97"/>
      <c r="G915" s="94"/>
      <c r="H915" s="96"/>
    </row>
    <row r="916" spans="1:8" ht="15" x14ac:dyDescent="0.25">
      <c r="A916" s="95"/>
      <c r="B916" s="95"/>
      <c r="C916" s="95"/>
      <c r="D916" s="92"/>
      <c r="E916" s="96"/>
      <c r="F916" s="97"/>
      <c r="G916" s="94"/>
      <c r="H916" s="96"/>
    </row>
    <row r="917" spans="1:8" ht="15" x14ac:dyDescent="0.25">
      <c r="A917" s="95"/>
      <c r="B917" s="95"/>
      <c r="C917" s="95"/>
      <c r="D917" s="92"/>
      <c r="E917" s="96"/>
      <c r="F917" s="97"/>
      <c r="G917" s="94"/>
      <c r="H917" s="96"/>
    </row>
    <row r="918" spans="1:8" ht="15" x14ac:dyDescent="0.25">
      <c r="A918" s="95"/>
      <c r="B918" s="95"/>
      <c r="C918" s="95"/>
      <c r="D918" s="92"/>
      <c r="E918" s="96"/>
      <c r="F918" s="97"/>
      <c r="G918" s="94"/>
      <c r="H918" s="96"/>
    </row>
    <row r="919" spans="1:8" ht="15" x14ac:dyDescent="0.25">
      <c r="A919" s="95"/>
      <c r="B919" s="95"/>
      <c r="C919" s="95"/>
      <c r="D919" s="92"/>
      <c r="E919" s="96"/>
      <c r="F919" s="97"/>
      <c r="G919" s="94"/>
      <c r="H919" s="96"/>
    </row>
    <row r="920" spans="1:8" ht="15" x14ac:dyDescent="0.25">
      <c r="A920" s="95"/>
      <c r="B920" s="95"/>
      <c r="C920" s="95"/>
      <c r="D920" s="92"/>
      <c r="E920" s="96"/>
      <c r="F920" s="97"/>
      <c r="G920" s="94"/>
      <c r="H920" s="96"/>
    </row>
    <row r="921" spans="1:8" ht="15" x14ac:dyDescent="0.25">
      <c r="A921" s="95"/>
      <c r="B921" s="95"/>
      <c r="C921" s="95"/>
      <c r="D921" s="92"/>
      <c r="E921" s="96"/>
      <c r="F921" s="97"/>
      <c r="G921" s="94"/>
      <c r="H921" s="96"/>
    </row>
    <row r="922" spans="1:8" ht="15" x14ac:dyDescent="0.25">
      <c r="A922" s="95"/>
      <c r="B922" s="95"/>
      <c r="C922" s="95"/>
      <c r="D922" s="92"/>
      <c r="E922" s="96"/>
      <c r="F922" s="97"/>
      <c r="G922" s="94"/>
      <c r="H922" s="96"/>
    </row>
    <row r="923" spans="1:8" ht="15" x14ac:dyDescent="0.25">
      <c r="A923" s="95"/>
      <c r="B923" s="95"/>
      <c r="C923" s="95"/>
      <c r="D923" s="92"/>
      <c r="E923" s="96"/>
      <c r="F923" s="97"/>
      <c r="G923" s="94"/>
      <c r="H923" s="96"/>
    </row>
    <row r="924" spans="1:8" ht="15" x14ac:dyDescent="0.25">
      <c r="A924" s="95"/>
      <c r="B924" s="95"/>
      <c r="C924" s="95"/>
      <c r="D924" s="92"/>
      <c r="E924" s="96"/>
      <c r="F924" s="97"/>
      <c r="G924" s="94"/>
      <c r="H924" s="96"/>
    </row>
    <row r="925" spans="1:8" ht="15" x14ac:dyDescent="0.25">
      <c r="A925" s="95"/>
      <c r="B925" s="95"/>
      <c r="C925" s="95"/>
      <c r="D925" s="92"/>
      <c r="E925" s="96"/>
      <c r="F925" s="97"/>
      <c r="G925" s="94"/>
      <c r="H925" s="96"/>
    </row>
    <row r="926" spans="1:8" ht="15" x14ac:dyDescent="0.25">
      <c r="A926" s="95"/>
      <c r="B926" s="95"/>
      <c r="C926" s="95"/>
      <c r="D926" s="92"/>
      <c r="E926" s="96"/>
      <c r="F926" s="97"/>
      <c r="G926" s="94"/>
      <c r="H926" s="96"/>
    </row>
    <row r="927" spans="1:8" ht="15" x14ac:dyDescent="0.25">
      <c r="A927" s="95"/>
      <c r="B927" s="95"/>
      <c r="C927" s="95"/>
      <c r="D927" s="92"/>
      <c r="E927" s="96"/>
      <c r="F927" s="97"/>
      <c r="G927" s="94"/>
      <c r="H927" s="96"/>
    </row>
    <row r="928" spans="1:8" ht="15" x14ac:dyDescent="0.25">
      <c r="A928" s="95"/>
      <c r="B928" s="95"/>
      <c r="C928" s="95"/>
      <c r="D928" s="92"/>
      <c r="E928" s="96"/>
      <c r="F928" s="97"/>
      <c r="G928" s="94"/>
      <c r="H928" s="96"/>
    </row>
    <row r="929" spans="1:8" ht="15" x14ac:dyDescent="0.25">
      <c r="A929" s="95"/>
      <c r="B929" s="95"/>
      <c r="C929" s="95"/>
      <c r="D929" s="92"/>
      <c r="E929" s="96"/>
      <c r="F929" s="97"/>
      <c r="G929" s="94"/>
      <c r="H929" s="96"/>
    </row>
    <row r="930" spans="1:8" ht="15" x14ac:dyDescent="0.25">
      <c r="A930" s="95"/>
      <c r="B930" s="95"/>
      <c r="C930" s="95"/>
      <c r="D930" s="92"/>
      <c r="E930" s="96"/>
      <c r="F930" s="97"/>
      <c r="G930" s="94"/>
      <c r="H930" s="96"/>
    </row>
    <row r="931" spans="1:8" ht="15" x14ac:dyDescent="0.25">
      <c r="A931" s="95"/>
      <c r="B931" s="95"/>
      <c r="C931" s="95"/>
      <c r="D931" s="92"/>
      <c r="E931" s="96"/>
      <c r="F931" s="97"/>
      <c r="G931" s="94"/>
      <c r="H931" s="96"/>
    </row>
    <row r="932" spans="1:8" ht="15" x14ac:dyDescent="0.25">
      <c r="A932" s="95"/>
      <c r="B932" s="95"/>
      <c r="C932" s="95"/>
      <c r="D932" s="92"/>
      <c r="E932" s="96"/>
      <c r="F932" s="97"/>
      <c r="G932" s="94"/>
      <c r="H932" s="96"/>
    </row>
    <row r="933" spans="1:8" ht="15" x14ac:dyDescent="0.25">
      <c r="A933" s="95"/>
      <c r="B933" s="95"/>
      <c r="C933" s="95"/>
      <c r="D933" s="92"/>
      <c r="E933" s="96"/>
      <c r="F933" s="97"/>
      <c r="G933" s="94"/>
      <c r="H933" s="96"/>
    </row>
    <row r="934" spans="1:8" ht="15" x14ac:dyDescent="0.25">
      <c r="A934" s="95"/>
      <c r="B934" s="95"/>
      <c r="C934" s="95"/>
      <c r="D934" s="92"/>
      <c r="E934" s="96"/>
      <c r="F934" s="97"/>
      <c r="G934" s="94"/>
      <c r="H934" s="96"/>
    </row>
    <row r="935" spans="1:8" ht="15" x14ac:dyDescent="0.25">
      <c r="A935" s="95"/>
      <c r="B935" s="95"/>
      <c r="C935" s="95"/>
      <c r="D935" s="92"/>
      <c r="E935" s="96"/>
      <c r="F935" s="97"/>
      <c r="G935" s="94"/>
      <c r="H935" s="96"/>
    </row>
    <row r="936" spans="1:8" ht="15" x14ac:dyDescent="0.25">
      <c r="A936" s="95"/>
      <c r="B936" s="95"/>
      <c r="C936" s="95"/>
      <c r="D936" s="92"/>
      <c r="E936" s="96"/>
      <c r="F936" s="97"/>
      <c r="G936" s="94"/>
      <c r="H936" s="96"/>
    </row>
    <row r="937" spans="1:8" ht="15" x14ac:dyDescent="0.25">
      <c r="A937" s="95"/>
      <c r="B937" s="95"/>
      <c r="C937" s="95"/>
      <c r="D937" s="92"/>
      <c r="E937" s="96"/>
      <c r="F937" s="97"/>
      <c r="G937" s="94"/>
      <c r="H937" s="96"/>
    </row>
    <row r="938" spans="1:8" ht="15" x14ac:dyDescent="0.25">
      <c r="A938" s="95"/>
      <c r="B938" s="95"/>
      <c r="C938" s="95"/>
      <c r="D938" s="92"/>
      <c r="E938" s="96"/>
      <c r="F938" s="97"/>
      <c r="G938" s="94"/>
      <c r="H938" s="96"/>
    </row>
    <row r="939" spans="1:8" ht="15" x14ac:dyDescent="0.25">
      <c r="A939" s="95"/>
      <c r="B939" s="95"/>
      <c r="C939" s="95"/>
      <c r="D939" s="92"/>
      <c r="E939" s="96"/>
      <c r="F939" s="97"/>
      <c r="G939" s="94"/>
      <c r="H939" s="96"/>
    </row>
    <row r="940" spans="1:8" ht="15" x14ac:dyDescent="0.25">
      <c r="A940" s="95"/>
      <c r="B940" s="95"/>
      <c r="C940" s="95"/>
      <c r="D940" s="92"/>
      <c r="E940" s="96"/>
      <c r="F940" s="97"/>
      <c r="G940" s="94"/>
      <c r="H940" s="96"/>
    </row>
    <row r="941" spans="1:8" ht="15" x14ac:dyDescent="0.25">
      <c r="A941" s="95"/>
      <c r="B941" s="95"/>
      <c r="C941" s="95"/>
      <c r="D941" s="92"/>
      <c r="E941" s="96"/>
      <c r="F941" s="97"/>
      <c r="G941" s="94"/>
      <c r="H941" s="96"/>
    </row>
    <row r="942" spans="1:8" ht="15" x14ac:dyDescent="0.25">
      <c r="A942" s="95"/>
      <c r="B942" s="95"/>
      <c r="C942" s="95"/>
      <c r="D942" s="92"/>
      <c r="E942" s="96"/>
      <c r="F942" s="97"/>
      <c r="G942" s="94"/>
      <c r="H942" s="96"/>
    </row>
    <row r="943" spans="1:8" ht="15" x14ac:dyDescent="0.25">
      <c r="A943" s="95"/>
      <c r="B943" s="95"/>
      <c r="C943" s="95"/>
      <c r="D943" s="92"/>
      <c r="E943" s="96"/>
      <c r="F943" s="97"/>
      <c r="G943" s="94"/>
      <c r="H943" s="96"/>
    </row>
    <row r="944" spans="1:8" ht="15" x14ac:dyDescent="0.25">
      <c r="A944" s="95"/>
      <c r="B944" s="95"/>
      <c r="C944" s="95"/>
      <c r="D944" s="92"/>
      <c r="E944" s="96"/>
      <c r="F944" s="97"/>
      <c r="G944" s="94"/>
      <c r="H944" s="96"/>
    </row>
    <row r="945" spans="1:8" ht="15" x14ac:dyDescent="0.25">
      <c r="A945" s="95"/>
      <c r="B945" s="95"/>
      <c r="C945" s="95"/>
      <c r="D945" s="92"/>
      <c r="E945" s="96"/>
      <c r="F945" s="97"/>
      <c r="G945" s="94"/>
      <c r="H945" s="96"/>
    </row>
    <row r="946" spans="1:8" ht="15" x14ac:dyDescent="0.25">
      <c r="A946" s="95"/>
      <c r="B946" s="95"/>
      <c r="C946" s="95"/>
      <c r="D946" s="92"/>
      <c r="E946" s="96"/>
      <c r="F946" s="97"/>
      <c r="G946" s="94"/>
      <c r="H946" s="96"/>
    </row>
    <row r="947" spans="1:8" ht="15" x14ac:dyDescent="0.25">
      <c r="A947" s="95"/>
      <c r="B947" s="95"/>
      <c r="C947" s="95"/>
      <c r="D947" s="92"/>
      <c r="E947" s="96"/>
      <c r="F947" s="97"/>
      <c r="G947" s="94"/>
      <c r="H947" s="96"/>
    </row>
    <row r="948" spans="1:8" ht="15" x14ac:dyDescent="0.25">
      <c r="A948" s="95"/>
      <c r="B948" s="95"/>
      <c r="C948" s="95"/>
      <c r="D948" s="92"/>
      <c r="E948" s="96"/>
      <c r="F948" s="97"/>
      <c r="G948" s="94"/>
      <c r="H948" s="96"/>
    </row>
    <row r="949" spans="1:8" ht="15" x14ac:dyDescent="0.25">
      <c r="A949" s="95"/>
      <c r="B949" s="95"/>
      <c r="C949" s="95"/>
      <c r="D949" s="92"/>
      <c r="E949" s="96"/>
      <c r="F949" s="97"/>
      <c r="G949" s="94"/>
      <c r="H949" s="96"/>
    </row>
    <row r="950" spans="1:8" ht="15" x14ac:dyDescent="0.25">
      <c r="A950" s="95"/>
      <c r="B950" s="95"/>
      <c r="C950" s="95"/>
      <c r="D950" s="92"/>
      <c r="E950" s="96"/>
      <c r="F950" s="97"/>
      <c r="G950" s="94"/>
      <c r="H950" s="96"/>
    </row>
    <row r="951" spans="1:8" ht="15" x14ac:dyDescent="0.25">
      <c r="A951" s="95"/>
      <c r="B951" s="95"/>
      <c r="C951" s="95"/>
      <c r="D951" s="92"/>
      <c r="E951" s="96"/>
      <c r="F951" s="97"/>
      <c r="G951" s="94"/>
      <c r="H951" s="96"/>
    </row>
    <row r="952" spans="1:8" ht="15" x14ac:dyDescent="0.25">
      <c r="A952" s="95"/>
      <c r="B952" s="95"/>
      <c r="C952" s="95"/>
      <c r="D952" s="92"/>
      <c r="E952" s="96"/>
      <c r="F952" s="97"/>
      <c r="G952" s="94"/>
      <c r="H952" s="96"/>
    </row>
    <row r="953" spans="1:8" ht="15" x14ac:dyDescent="0.25">
      <c r="A953" s="95"/>
      <c r="B953" s="95"/>
      <c r="C953" s="95"/>
      <c r="D953" s="92"/>
      <c r="E953" s="96"/>
      <c r="F953" s="97"/>
      <c r="G953" s="94"/>
      <c r="H953" s="96"/>
    </row>
    <row r="954" spans="1:8" ht="15" x14ac:dyDescent="0.25">
      <c r="A954" s="95"/>
      <c r="B954" s="95"/>
      <c r="C954" s="95"/>
      <c r="D954" s="92"/>
      <c r="E954" s="96"/>
      <c r="F954" s="97"/>
      <c r="G954" s="94"/>
      <c r="H954" s="96"/>
    </row>
    <row r="955" spans="1:8" ht="15" x14ac:dyDescent="0.25">
      <c r="A955" s="95"/>
      <c r="B955" s="95"/>
      <c r="C955" s="95"/>
      <c r="D955" s="92"/>
      <c r="E955" s="96"/>
      <c r="F955" s="97"/>
      <c r="G955" s="94"/>
      <c r="H955" s="96"/>
    </row>
    <row r="956" spans="1:8" ht="15" x14ac:dyDescent="0.25">
      <c r="A956" s="95"/>
      <c r="B956" s="95"/>
      <c r="C956" s="95"/>
      <c r="D956" s="92"/>
      <c r="E956" s="96"/>
      <c r="F956" s="97"/>
      <c r="G956" s="94"/>
      <c r="H956" s="96"/>
    </row>
    <row r="957" spans="1:8" ht="15" x14ac:dyDescent="0.25">
      <c r="A957" s="95"/>
      <c r="B957" s="95"/>
      <c r="C957" s="95"/>
      <c r="D957" s="92"/>
      <c r="E957" s="96"/>
      <c r="F957" s="97"/>
      <c r="G957" s="94"/>
      <c r="H957" s="96"/>
    </row>
    <row r="958" spans="1:8" ht="15" x14ac:dyDescent="0.25">
      <c r="A958" s="95"/>
      <c r="B958" s="95"/>
      <c r="C958" s="95"/>
      <c r="D958" s="92"/>
      <c r="E958" s="96"/>
      <c r="F958" s="97"/>
      <c r="G958" s="94"/>
      <c r="H958" s="96"/>
    </row>
    <row r="959" spans="1:8" ht="15" x14ac:dyDescent="0.25">
      <c r="A959" s="95"/>
      <c r="B959" s="95"/>
      <c r="C959" s="95"/>
      <c r="D959" s="92"/>
      <c r="E959" s="96"/>
      <c r="F959" s="97"/>
      <c r="G959" s="94"/>
      <c r="H959" s="96"/>
    </row>
    <row r="960" spans="1:8" ht="15" x14ac:dyDescent="0.25">
      <c r="A960" s="95"/>
      <c r="B960" s="95"/>
      <c r="C960" s="95"/>
      <c r="D960" s="92"/>
      <c r="E960" s="96"/>
      <c r="F960" s="97"/>
      <c r="G960" s="94"/>
      <c r="H960" s="96"/>
    </row>
    <row r="961" spans="1:8" ht="15" x14ac:dyDescent="0.25">
      <c r="A961" s="95"/>
      <c r="B961" s="95"/>
      <c r="C961" s="95"/>
      <c r="D961" s="92"/>
      <c r="E961" s="96"/>
      <c r="F961" s="97"/>
      <c r="G961" s="94"/>
      <c r="H961" s="96"/>
    </row>
    <row r="962" spans="1:8" ht="15" x14ac:dyDescent="0.25">
      <c r="A962" s="95"/>
      <c r="B962" s="95"/>
      <c r="C962" s="95"/>
      <c r="D962" s="92"/>
      <c r="E962" s="96"/>
      <c r="F962" s="97"/>
      <c r="G962" s="94"/>
      <c r="H962" s="96"/>
    </row>
    <row r="963" spans="1:8" ht="15" x14ac:dyDescent="0.25">
      <c r="A963" s="95"/>
      <c r="B963" s="95"/>
      <c r="C963" s="95"/>
      <c r="D963" s="92"/>
      <c r="E963" s="96"/>
      <c r="F963" s="97"/>
      <c r="G963" s="94"/>
      <c r="H963" s="96"/>
    </row>
    <row r="964" spans="1:8" ht="15" x14ac:dyDescent="0.25">
      <c r="A964" s="95"/>
      <c r="B964" s="95"/>
      <c r="C964" s="95"/>
      <c r="D964" s="92"/>
      <c r="E964" s="96"/>
      <c r="F964" s="97"/>
      <c r="G964" s="94"/>
      <c r="H964" s="96"/>
    </row>
    <row r="965" spans="1:8" ht="15" x14ac:dyDescent="0.25">
      <c r="A965" s="95"/>
      <c r="B965" s="95"/>
      <c r="C965" s="95"/>
      <c r="D965" s="92"/>
      <c r="E965" s="96"/>
      <c r="F965" s="97"/>
      <c r="G965" s="94"/>
      <c r="H965" s="96"/>
    </row>
    <row r="966" spans="1:8" ht="15" x14ac:dyDescent="0.25">
      <c r="A966" s="95"/>
      <c r="B966" s="95"/>
      <c r="C966" s="95"/>
      <c r="D966" s="92"/>
      <c r="E966" s="96"/>
      <c r="F966" s="97"/>
      <c r="G966" s="94"/>
      <c r="H966" s="96"/>
    </row>
    <row r="967" spans="1:8" ht="15" x14ac:dyDescent="0.25">
      <c r="A967" s="95"/>
      <c r="B967" s="95"/>
      <c r="C967" s="95"/>
      <c r="D967" s="92"/>
      <c r="E967" s="96"/>
      <c r="F967" s="97"/>
      <c r="G967" s="94"/>
      <c r="H967" s="96"/>
    </row>
    <row r="968" spans="1:8" ht="15" x14ac:dyDescent="0.25">
      <c r="A968" s="95"/>
      <c r="B968" s="95"/>
      <c r="C968" s="95"/>
      <c r="D968" s="92"/>
      <c r="E968" s="96"/>
      <c r="F968" s="97"/>
      <c r="G968" s="94"/>
      <c r="H968" s="96"/>
    </row>
    <row r="969" spans="1:8" ht="15" x14ac:dyDescent="0.25">
      <c r="A969" s="95"/>
      <c r="B969" s="95"/>
      <c r="C969" s="95"/>
      <c r="D969" s="92"/>
      <c r="E969" s="96"/>
      <c r="F969" s="97"/>
      <c r="G969" s="94"/>
      <c r="H969" s="96"/>
    </row>
    <row r="970" spans="1:8" ht="15" x14ac:dyDescent="0.25">
      <c r="A970" s="95"/>
      <c r="B970" s="95"/>
      <c r="C970" s="95"/>
      <c r="D970" s="92"/>
      <c r="E970" s="96"/>
      <c r="F970" s="97"/>
      <c r="G970" s="94"/>
      <c r="H970" s="96"/>
    </row>
    <row r="971" spans="1:8" ht="15" x14ac:dyDescent="0.25">
      <c r="A971" s="95"/>
      <c r="B971" s="95"/>
      <c r="C971" s="95"/>
      <c r="D971" s="92"/>
      <c r="E971" s="96"/>
      <c r="F971" s="97"/>
      <c r="G971" s="94"/>
      <c r="H971" s="96"/>
    </row>
    <row r="972" spans="1:8" ht="15" x14ac:dyDescent="0.25">
      <c r="A972" s="95"/>
      <c r="B972" s="95"/>
      <c r="C972" s="95"/>
      <c r="D972" s="92"/>
      <c r="E972" s="96"/>
      <c r="F972" s="97"/>
      <c r="G972" s="94"/>
      <c r="H972" s="96"/>
    </row>
    <row r="973" spans="1:8" ht="15" x14ac:dyDescent="0.25">
      <c r="A973" s="95"/>
      <c r="B973" s="95"/>
      <c r="C973" s="95"/>
      <c r="D973" s="92"/>
      <c r="E973" s="96"/>
      <c r="F973" s="97"/>
      <c r="G973" s="94"/>
      <c r="H973" s="96"/>
    </row>
    <row r="974" spans="1:8" ht="15" x14ac:dyDescent="0.25">
      <c r="A974" s="95"/>
      <c r="B974" s="95"/>
      <c r="C974" s="95"/>
      <c r="D974" s="92"/>
      <c r="E974" s="96"/>
      <c r="F974" s="97"/>
      <c r="G974" s="94"/>
      <c r="H974" s="96"/>
    </row>
    <row r="975" spans="1:8" ht="15" x14ac:dyDescent="0.25">
      <c r="A975" s="95"/>
      <c r="B975" s="95"/>
      <c r="C975" s="95"/>
      <c r="D975" s="92"/>
      <c r="E975" s="96"/>
      <c r="F975" s="97"/>
      <c r="G975" s="94"/>
      <c r="H975" s="96"/>
    </row>
    <row r="976" spans="1:8" ht="15" x14ac:dyDescent="0.25">
      <c r="A976" s="95"/>
      <c r="B976" s="95"/>
      <c r="C976" s="95"/>
      <c r="D976" s="92"/>
      <c r="E976" s="96"/>
      <c r="F976" s="97"/>
      <c r="G976" s="94"/>
      <c r="H976" s="96"/>
    </row>
    <row r="977" spans="1:8" ht="15" x14ac:dyDescent="0.25">
      <c r="A977" s="95"/>
      <c r="B977" s="95"/>
      <c r="C977" s="95"/>
      <c r="D977" s="92"/>
      <c r="E977" s="96"/>
      <c r="F977" s="97"/>
      <c r="G977" s="94"/>
      <c r="H977" s="96"/>
    </row>
    <row r="978" spans="1:8" ht="15" x14ac:dyDescent="0.25">
      <c r="A978" s="95"/>
      <c r="B978" s="95"/>
      <c r="C978" s="95"/>
      <c r="D978" s="92"/>
      <c r="E978" s="96"/>
      <c r="F978" s="97"/>
      <c r="G978" s="94"/>
      <c r="H978" s="96"/>
    </row>
    <row r="979" spans="1:8" ht="15" x14ac:dyDescent="0.25">
      <c r="A979" s="95"/>
      <c r="B979" s="95"/>
      <c r="C979" s="95"/>
      <c r="D979" s="92"/>
      <c r="E979" s="96"/>
      <c r="F979" s="97"/>
      <c r="G979" s="94"/>
      <c r="H979" s="96"/>
    </row>
    <row r="980" spans="1:8" ht="15" x14ac:dyDescent="0.25">
      <c r="A980" s="95"/>
      <c r="B980" s="95"/>
      <c r="C980" s="95"/>
      <c r="D980" s="92"/>
      <c r="E980" s="96"/>
      <c r="F980" s="97"/>
      <c r="G980" s="94"/>
      <c r="H980" s="96"/>
    </row>
    <row r="981" spans="1:8" ht="15" x14ac:dyDescent="0.25">
      <c r="A981" s="95"/>
      <c r="B981" s="95"/>
      <c r="C981" s="95"/>
      <c r="D981" s="92"/>
      <c r="E981" s="96"/>
      <c r="F981" s="97"/>
      <c r="G981" s="94"/>
      <c r="H981" s="96"/>
    </row>
    <row r="982" spans="1:8" ht="15" x14ac:dyDescent="0.25">
      <c r="A982" s="95"/>
      <c r="B982" s="95"/>
      <c r="C982" s="95"/>
      <c r="D982" s="92"/>
      <c r="E982" s="96"/>
      <c r="F982" s="97"/>
      <c r="G982" s="94"/>
      <c r="H982" s="96"/>
    </row>
    <row r="983" spans="1:8" ht="15" x14ac:dyDescent="0.25">
      <c r="A983" s="95"/>
      <c r="B983" s="95"/>
      <c r="C983" s="95"/>
      <c r="D983" s="92"/>
      <c r="E983" s="96"/>
      <c r="F983" s="97"/>
      <c r="G983" s="94"/>
      <c r="H983" s="96"/>
    </row>
    <row r="984" spans="1:8" ht="15" x14ac:dyDescent="0.25">
      <c r="A984" s="95"/>
      <c r="B984" s="95"/>
      <c r="C984" s="95"/>
      <c r="D984" s="92"/>
      <c r="E984" s="96"/>
      <c r="F984" s="97"/>
      <c r="G984" s="94"/>
      <c r="H984" s="96"/>
    </row>
    <row r="985" spans="1:8" ht="15" x14ac:dyDescent="0.25">
      <c r="A985" s="95"/>
      <c r="B985" s="95"/>
      <c r="C985" s="95"/>
      <c r="D985" s="92"/>
      <c r="E985" s="96"/>
      <c r="F985" s="97"/>
      <c r="G985" s="94"/>
      <c r="H985" s="96"/>
    </row>
    <row r="986" spans="1:8" ht="15" x14ac:dyDescent="0.25">
      <c r="A986" s="95"/>
      <c r="B986" s="95"/>
      <c r="C986" s="95"/>
      <c r="D986" s="92"/>
      <c r="E986" s="96"/>
      <c r="F986" s="97"/>
      <c r="G986" s="94"/>
      <c r="H986" s="96"/>
    </row>
    <row r="987" spans="1:8" ht="15" x14ac:dyDescent="0.25">
      <c r="A987" s="95"/>
      <c r="B987" s="95"/>
      <c r="C987" s="95"/>
      <c r="D987" s="92"/>
      <c r="E987" s="96"/>
      <c r="F987" s="97"/>
      <c r="G987" s="94"/>
      <c r="H987" s="96"/>
    </row>
    <row r="988" spans="1:8" ht="15" x14ac:dyDescent="0.25">
      <c r="A988" s="95"/>
      <c r="B988" s="95"/>
      <c r="C988" s="95"/>
      <c r="D988" s="92"/>
      <c r="E988" s="96"/>
      <c r="F988" s="97"/>
      <c r="G988" s="94"/>
      <c r="H988" s="96"/>
    </row>
    <row r="989" spans="1:8" ht="15" x14ac:dyDescent="0.25">
      <c r="A989" s="95"/>
      <c r="B989" s="95"/>
      <c r="C989" s="95"/>
      <c r="D989" s="92"/>
      <c r="E989" s="96"/>
      <c r="F989" s="97"/>
      <c r="G989" s="94"/>
      <c r="H989" s="96"/>
    </row>
    <row r="990" spans="1:8" ht="15" x14ac:dyDescent="0.25">
      <c r="A990" s="95"/>
      <c r="B990" s="95"/>
      <c r="C990" s="95"/>
      <c r="D990" s="92"/>
      <c r="E990" s="96"/>
      <c r="F990" s="97"/>
      <c r="G990" s="94"/>
      <c r="H990" s="96"/>
    </row>
    <row r="991" spans="1:8" ht="15" x14ac:dyDescent="0.25">
      <c r="A991" s="95"/>
      <c r="B991" s="95"/>
      <c r="C991" s="95"/>
      <c r="D991" s="92"/>
      <c r="E991" s="96"/>
      <c r="F991" s="97"/>
      <c r="G991" s="94"/>
      <c r="H991" s="96"/>
    </row>
    <row r="992" spans="1:8" ht="15" x14ac:dyDescent="0.25">
      <c r="A992" s="95"/>
      <c r="B992" s="95"/>
      <c r="C992" s="95"/>
      <c r="D992" s="92"/>
      <c r="E992" s="96"/>
      <c r="F992" s="97"/>
      <c r="G992" s="94"/>
      <c r="H992" s="96"/>
    </row>
    <row r="993" spans="1:8" ht="15" x14ac:dyDescent="0.25">
      <c r="A993" s="95"/>
      <c r="B993" s="95"/>
      <c r="C993" s="95"/>
      <c r="D993" s="92"/>
      <c r="E993" s="96"/>
      <c r="F993" s="97"/>
      <c r="G993" s="94"/>
      <c r="H993" s="96"/>
    </row>
    <row r="994" spans="1:8" ht="15" x14ac:dyDescent="0.25">
      <c r="A994" s="95"/>
      <c r="B994" s="95"/>
      <c r="C994" s="95"/>
      <c r="D994" s="92"/>
      <c r="E994" s="96"/>
      <c r="F994" s="97"/>
      <c r="G994" s="94"/>
      <c r="H994" s="96"/>
    </row>
    <row r="995" spans="1:8" ht="15" x14ac:dyDescent="0.25">
      <c r="A995" s="95"/>
      <c r="B995" s="95"/>
      <c r="C995" s="95"/>
      <c r="D995" s="92"/>
      <c r="E995" s="96"/>
      <c r="F995" s="97"/>
      <c r="G995" s="94"/>
      <c r="H995" s="96"/>
    </row>
    <row r="996" spans="1:8" ht="15" x14ac:dyDescent="0.25">
      <c r="A996" s="95"/>
      <c r="B996" s="95"/>
      <c r="C996" s="95"/>
      <c r="D996" s="92"/>
      <c r="E996" s="96"/>
      <c r="F996" s="97"/>
      <c r="G996" s="94"/>
      <c r="H996" s="96"/>
    </row>
    <row r="997" spans="1:8" ht="15" x14ac:dyDescent="0.25">
      <c r="A997" s="95"/>
      <c r="B997" s="95"/>
      <c r="C997" s="95"/>
      <c r="D997" s="92"/>
      <c r="E997" s="96"/>
      <c r="F997" s="97"/>
      <c r="G997" s="94"/>
      <c r="H997" s="96"/>
    </row>
    <row r="998" spans="1:8" ht="15" x14ac:dyDescent="0.25">
      <c r="A998" s="95"/>
      <c r="B998" s="95"/>
      <c r="C998" s="95"/>
      <c r="D998" s="92"/>
      <c r="E998" s="96"/>
      <c r="F998" s="97"/>
      <c r="G998" s="94"/>
      <c r="H998" s="96"/>
    </row>
    <row r="999" spans="1:8" ht="15" x14ac:dyDescent="0.25">
      <c r="A999" s="95"/>
      <c r="B999" s="95"/>
      <c r="C999" s="95"/>
      <c r="D999" s="92"/>
      <c r="E999" s="96"/>
      <c r="F999" s="97"/>
      <c r="G999" s="94"/>
      <c r="H999" s="96"/>
    </row>
    <row r="1000" spans="1:8" ht="15" x14ac:dyDescent="0.25">
      <c r="A1000" s="95"/>
      <c r="B1000" s="95"/>
      <c r="C1000" s="95"/>
      <c r="D1000" s="92"/>
      <c r="E1000" s="96"/>
      <c r="F1000" s="97"/>
      <c r="G1000" s="94"/>
      <c r="H1000" s="96"/>
    </row>
    <row r="1001" spans="1:8" ht="15" x14ac:dyDescent="0.25">
      <c r="A1001" s="95"/>
      <c r="B1001" s="95"/>
      <c r="C1001" s="95"/>
      <c r="D1001" s="92"/>
      <c r="E1001" s="96"/>
      <c r="F1001" s="97"/>
      <c r="G1001" s="94"/>
      <c r="H1001" s="96"/>
    </row>
    <row r="1002" spans="1:8" ht="15" x14ac:dyDescent="0.25">
      <c r="A1002" s="95"/>
      <c r="B1002" s="95"/>
      <c r="C1002" s="95"/>
      <c r="D1002" s="92"/>
      <c r="E1002" s="96"/>
      <c r="F1002" s="97"/>
      <c r="G1002" s="94"/>
      <c r="H1002" s="96"/>
    </row>
    <row r="1003" spans="1:8" ht="15" x14ac:dyDescent="0.25">
      <c r="A1003" s="95"/>
      <c r="B1003" s="95"/>
      <c r="C1003" s="95"/>
      <c r="D1003" s="92"/>
      <c r="E1003" s="96"/>
      <c r="F1003" s="97"/>
      <c r="G1003" s="94"/>
      <c r="H1003" s="96"/>
    </row>
    <row r="1004" spans="1:8" ht="15" x14ac:dyDescent="0.25">
      <c r="A1004" s="95"/>
      <c r="B1004" s="95"/>
      <c r="C1004" s="95"/>
      <c r="D1004" s="92"/>
      <c r="E1004" s="96"/>
      <c r="F1004" s="97"/>
      <c r="G1004" s="94"/>
      <c r="H1004" s="96"/>
    </row>
    <row r="1005" spans="1:8" ht="15" x14ac:dyDescent="0.25">
      <c r="A1005" s="95"/>
      <c r="B1005" s="95"/>
      <c r="C1005" s="95"/>
      <c r="D1005" s="92"/>
      <c r="E1005" s="96"/>
      <c r="F1005" s="97"/>
      <c r="G1005" s="94"/>
      <c r="H1005" s="96"/>
    </row>
    <row r="1006" spans="1:8" ht="15" x14ac:dyDescent="0.25">
      <c r="A1006" s="95"/>
      <c r="B1006" s="95"/>
      <c r="C1006" s="95"/>
      <c r="D1006" s="92"/>
      <c r="E1006" s="96"/>
      <c r="F1006" s="97"/>
      <c r="G1006" s="94"/>
      <c r="H1006" s="96"/>
    </row>
    <row r="1007" spans="1:8" ht="15" x14ac:dyDescent="0.25">
      <c r="A1007" s="95"/>
      <c r="B1007" s="95"/>
      <c r="C1007" s="95"/>
      <c r="D1007" s="92"/>
      <c r="E1007" s="96"/>
      <c r="F1007" s="97"/>
      <c r="G1007" s="94"/>
      <c r="H1007" s="96"/>
    </row>
    <row r="1008" spans="1:8" ht="15" x14ac:dyDescent="0.25">
      <c r="A1008" s="95"/>
      <c r="B1008" s="95"/>
      <c r="C1008" s="95"/>
      <c r="D1008" s="92"/>
      <c r="E1008" s="96"/>
      <c r="F1008" s="97"/>
      <c r="G1008" s="94"/>
      <c r="H1008" s="96"/>
    </row>
    <row r="1009" spans="1:8" ht="15" x14ac:dyDescent="0.25">
      <c r="A1009" s="95"/>
      <c r="B1009" s="95"/>
      <c r="C1009" s="95"/>
      <c r="D1009" s="92"/>
      <c r="E1009" s="96"/>
      <c r="F1009" s="97"/>
      <c r="G1009" s="94"/>
      <c r="H1009" s="96"/>
    </row>
    <row r="1010" spans="1:8" ht="15" x14ac:dyDescent="0.25">
      <c r="A1010" s="95"/>
      <c r="B1010" s="95"/>
      <c r="C1010" s="95"/>
      <c r="D1010" s="92"/>
      <c r="E1010" s="96"/>
      <c r="F1010" s="97"/>
      <c r="G1010" s="94"/>
      <c r="H1010" s="96"/>
    </row>
    <row r="1011" spans="1:8" ht="15" x14ac:dyDescent="0.25">
      <c r="A1011" s="95"/>
      <c r="B1011" s="95"/>
      <c r="C1011" s="95"/>
      <c r="D1011" s="92"/>
      <c r="E1011" s="96"/>
      <c r="F1011" s="97"/>
      <c r="G1011" s="94"/>
      <c r="H1011" s="96"/>
    </row>
    <row r="1012" spans="1:8" ht="15" x14ac:dyDescent="0.25">
      <c r="A1012" s="95"/>
      <c r="B1012" s="95"/>
      <c r="C1012" s="95"/>
      <c r="D1012" s="92"/>
      <c r="E1012" s="96"/>
      <c r="F1012" s="97"/>
      <c r="G1012" s="94"/>
      <c r="H1012" s="96"/>
    </row>
    <row r="1013" spans="1:8" ht="15" x14ac:dyDescent="0.25">
      <c r="A1013" s="95"/>
      <c r="B1013" s="95"/>
      <c r="C1013" s="95"/>
      <c r="D1013" s="92"/>
      <c r="E1013" s="96"/>
      <c r="F1013" s="97"/>
      <c r="G1013" s="94"/>
      <c r="H1013" s="96"/>
    </row>
    <row r="1014" spans="1:8" ht="15" x14ac:dyDescent="0.25">
      <c r="A1014" s="95"/>
      <c r="B1014" s="95"/>
      <c r="C1014" s="95"/>
      <c r="D1014" s="92"/>
      <c r="E1014" s="96"/>
      <c r="F1014" s="97"/>
      <c r="G1014" s="94"/>
      <c r="H1014" s="96"/>
    </row>
    <row r="1015" spans="1:8" ht="15" x14ac:dyDescent="0.25">
      <c r="A1015" s="95"/>
      <c r="B1015" s="95"/>
      <c r="C1015" s="95"/>
      <c r="D1015" s="92"/>
      <c r="E1015" s="96"/>
      <c r="F1015" s="97"/>
      <c r="G1015" s="94"/>
      <c r="H1015" s="96"/>
    </row>
    <row r="1016" spans="1:8" ht="15" x14ac:dyDescent="0.25">
      <c r="A1016" s="95"/>
      <c r="B1016" s="95"/>
      <c r="C1016" s="95"/>
      <c r="D1016" s="92"/>
      <c r="E1016" s="96"/>
      <c r="F1016" s="97"/>
      <c r="G1016" s="94"/>
      <c r="H1016" s="96"/>
    </row>
    <row r="1017" spans="1:8" ht="15" x14ac:dyDescent="0.25">
      <c r="A1017" s="95"/>
      <c r="B1017" s="95"/>
      <c r="C1017" s="95"/>
      <c r="D1017" s="92"/>
      <c r="E1017" s="96"/>
      <c r="F1017" s="97"/>
      <c r="G1017" s="94"/>
      <c r="H1017" s="96"/>
    </row>
    <row r="1018" spans="1:8" ht="15" x14ac:dyDescent="0.25">
      <c r="A1018" s="95"/>
      <c r="B1018" s="95"/>
      <c r="C1018" s="95"/>
      <c r="D1018" s="92"/>
      <c r="E1018" s="96"/>
      <c r="F1018" s="97"/>
      <c r="G1018" s="94"/>
      <c r="H1018" s="96"/>
    </row>
    <row r="1019" spans="1:8" ht="15" x14ac:dyDescent="0.25">
      <c r="A1019" s="95"/>
      <c r="B1019" s="95"/>
      <c r="C1019" s="95"/>
      <c r="D1019" s="92"/>
      <c r="E1019" s="96"/>
      <c r="F1019" s="97"/>
      <c r="G1019" s="94"/>
      <c r="H1019" s="96"/>
    </row>
    <row r="1020" spans="1:8" ht="15" x14ac:dyDescent="0.25">
      <c r="A1020" s="95"/>
      <c r="B1020" s="95"/>
      <c r="C1020" s="95"/>
      <c r="D1020" s="92"/>
      <c r="E1020" s="96"/>
      <c r="F1020" s="97"/>
      <c r="G1020" s="94"/>
      <c r="H1020" s="96"/>
    </row>
    <row r="1021" spans="1:8" ht="15" x14ac:dyDescent="0.25">
      <c r="A1021" s="95"/>
      <c r="B1021" s="95"/>
      <c r="C1021" s="95"/>
      <c r="D1021" s="92"/>
      <c r="E1021" s="96"/>
      <c r="F1021" s="97"/>
      <c r="G1021" s="94"/>
      <c r="H1021" s="96"/>
    </row>
    <row r="1022" spans="1:8" ht="15" x14ac:dyDescent="0.25">
      <c r="A1022" s="95"/>
      <c r="B1022" s="95"/>
      <c r="C1022" s="95"/>
      <c r="D1022" s="92"/>
      <c r="E1022" s="96"/>
      <c r="F1022" s="97"/>
      <c r="G1022" s="94"/>
      <c r="H1022" s="96"/>
    </row>
    <row r="1023" spans="1:8" ht="15" x14ac:dyDescent="0.25">
      <c r="A1023" s="95"/>
      <c r="B1023" s="95"/>
      <c r="C1023" s="95"/>
      <c r="D1023" s="92"/>
      <c r="E1023" s="96"/>
      <c r="F1023" s="97"/>
      <c r="G1023" s="94"/>
      <c r="H1023" s="96"/>
    </row>
    <row r="1024" spans="1:8" ht="15" x14ac:dyDescent="0.25">
      <c r="A1024" s="95"/>
      <c r="B1024" s="95"/>
      <c r="C1024" s="95"/>
      <c r="D1024" s="92"/>
      <c r="E1024" s="96"/>
      <c r="F1024" s="97"/>
      <c r="G1024" s="94"/>
      <c r="H1024" s="96"/>
    </row>
    <row r="1025" spans="1:8" ht="15" x14ac:dyDescent="0.25">
      <c r="A1025" s="95"/>
      <c r="B1025" s="95"/>
      <c r="C1025" s="95"/>
      <c r="D1025" s="92"/>
      <c r="E1025" s="96"/>
      <c r="F1025" s="97"/>
      <c r="G1025" s="94"/>
      <c r="H1025" s="96"/>
    </row>
    <row r="1026" spans="1:8" ht="15" x14ac:dyDescent="0.25">
      <c r="A1026" s="95"/>
      <c r="B1026" s="95"/>
      <c r="C1026" s="95"/>
      <c r="D1026" s="92"/>
      <c r="E1026" s="96"/>
      <c r="F1026" s="97"/>
      <c r="G1026" s="94"/>
      <c r="H1026" s="96"/>
    </row>
    <row r="1027" spans="1:8" ht="15" x14ac:dyDescent="0.25">
      <c r="A1027" s="95"/>
      <c r="B1027" s="95"/>
      <c r="C1027" s="95"/>
      <c r="D1027" s="92"/>
      <c r="E1027" s="96"/>
      <c r="F1027" s="97"/>
      <c r="G1027" s="94"/>
      <c r="H1027" s="96"/>
    </row>
    <row r="1028" spans="1:8" ht="15" x14ac:dyDescent="0.25">
      <c r="A1028" s="95"/>
      <c r="B1028" s="95"/>
      <c r="C1028" s="95"/>
      <c r="D1028" s="92"/>
      <c r="E1028" s="96"/>
      <c r="F1028" s="97"/>
      <c r="G1028" s="94"/>
      <c r="H1028" s="96"/>
    </row>
    <row r="1029" spans="1:8" ht="15" x14ac:dyDescent="0.25">
      <c r="A1029" s="95"/>
      <c r="B1029" s="95"/>
      <c r="C1029" s="95"/>
      <c r="D1029" s="92"/>
      <c r="E1029" s="96"/>
      <c r="F1029" s="97"/>
      <c r="G1029" s="94"/>
      <c r="H1029" s="96"/>
    </row>
    <row r="1030" spans="1:8" ht="15" x14ac:dyDescent="0.25">
      <c r="A1030" s="95"/>
      <c r="B1030" s="95"/>
      <c r="C1030" s="95"/>
      <c r="D1030" s="92"/>
      <c r="E1030" s="96"/>
      <c r="F1030" s="97"/>
      <c r="G1030" s="94"/>
      <c r="H1030" s="96"/>
    </row>
    <row r="1031" spans="1:8" ht="15" x14ac:dyDescent="0.25">
      <c r="A1031" s="95"/>
      <c r="B1031" s="95"/>
      <c r="C1031" s="95"/>
      <c r="D1031" s="92"/>
      <c r="E1031" s="96"/>
      <c r="F1031" s="97"/>
      <c r="G1031" s="94"/>
      <c r="H1031" s="96"/>
    </row>
    <row r="1032" spans="1:8" ht="15" x14ac:dyDescent="0.25">
      <c r="A1032" s="95"/>
      <c r="B1032" s="95"/>
      <c r="C1032" s="95"/>
      <c r="D1032" s="92"/>
      <c r="E1032" s="96"/>
      <c r="F1032" s="97"/>
      <c r="G1032" s="94"/>
      <c r="H1032" s="96"/>
    </row>
    <row r="1033" spans="1:8" ht="15" x14ac:dyDescent="0.25">
      <c r="A1033" s="95"/>
      <c r="B1033" s="95"/>
      <c r="C1033" s="95"/>
      <c r="D1033" s="92"/>
      <c r="E1033" s="96"/>
      <c r="F1033" s="97"/>
      <c r="G1033" s="94"/>
      <c r="H1033" s="96"/>
    </row>
    <row r="1034" spans="1:8" ht="15" x14ac:dyDescent="0.25">
      <c r="A1034" s="95"/>
      <c r="B1034" s="95"/>
      <c r="C1034" s="95"/>
      <c r="D1034" s="92"/>
      <c r="E1034" s="96"/>
      <c r="F1034" s="97"/>
      <c r="G1034" s="94"/>
      <c r="H1034" s="96"/>
    </row>
    <row r="1035" spans="1:8" ht="15" x14ac:dyDescent="0.25">
      <c r="A1035" s="95"/>
      <c r="B1035" s="95"/>
      <c r="C1035" s="95"/>
      <c r="D1035" s="92"/>
      <c r="E1035" s="96"/>
      <c r="F1035" s="97"/>
      <c r="G1035" s="94"/>
      <c r="H1035" s="96"/>
    </row>
    <row r="1036" spans="1:8" ht="15" x14ac:dyDescent="0.25">
      <c r="A1036" s="95"/>
      <c r="B1036" s="95"/>
      <c r="C1036" s="95"/>
      <c r="D1036" s="92"/>
      <c r="E1036" s="96"/>
      <c r="F1036" s="97"/>
      <c r="G1036" s="94"/>
      <c r="H1036" s="96"/>
    </row>
    <row r="1037" spans="1:8" ht="15" x14ac:dyDescent="0.25">
      <c r="A1037" s="95"/>
      <c r="B1037" s="95"/>
      <c r="C1037" s="95"/>
      <c r="D1037" s="92"/>
      <c r="E1037" s="96"/>
      <c r="F1037" s="97"/>
      <c r="G1037" s="94"/>
      <c r="H1037" s="96"/>
    </row>
    <row r="1038" spans="1:8" ht="15" x14ac:dyDescent="0.25">
      <c r="A1038" s="95"/>
      <c r="B1038" s="95"/>
      <c r="C1038" s="95"/>
      <c r="D1038" s="92"/>
      <c r="E1038" s="96"/>
      <c r="F1038" s="97"/>
      <c r="G1038" s="94"/>
      <c r="H1038" s="96"/>
    </row>
    <row r="1039" spans="1:8" ht="15" x14ac:dyDescent="0.25">
      <c r="A1039" s="95"/>
      <c r="B1039" s="95"/>
      <c r="C1039" s="95"/>
      <c r="D1039" s="92"/>
      <c r="E1039" s="96"/>
      <c r="F1039" s="97"/>
      <c r="G1039" s="94"/>
      <c r="H1039" s="96"/>
    </row>
    <row r="1040" spans="1:8" ht="15" x14ac:dyDescent="0.25">
      <c r="A1040" s="95"/>
      <c r="B1040" s="95"/>
      <c r="C1040" s="95"/>
      <c r="D1040" s="92"/>
      <c r="E1040" s="96"/>
      <c r="F1040" s="97"/>
      <c r="G1040" s="94"/>
      <c r="H1040" s="96"/>
    </row>
    <row r="1041" spans="1:8" ht="15" x14ac:dyDescent="0.25">
      <c r="A1041" s="95"/>
      <c r="B1041" s="95"/>
      <c r="C1041" s="95"/>
      <c r="D1041" s="92"/>
      <c r="E1041" s="96"/>
      <c r="F1041" s="97"/>
      <c r="G1041" s="94"/>
      <c r="H1041" s="96"/>
    </row>
    <row r="1042" spans="1:8" ht="15" x14ac:dyDescent="0.25">
      <c r="A1042" s="95"/>
      <c r="B1042" s="95"/>
      <c r="C1042" s="95"/>
      <c r="D1042" s="92"/>
      <c r="E1042" s="96"/>
      <c r="F1042" s="97"/>
      <c r="G1042" s="94"/>
      <c r="H1042" s="96"/>
    </row>
    <row r="1043" spans="1:8" ht="15" x14ac:dyDescent="0.25">
      <c r="A1043" s="95"/>
      <c r="B1043" s="95"/>
      <c r="C1043" s="95"/>
      <c r="D1043" s="92"/>
      <c r="E1043" s="96"/>
      <c r="F1043" s="97"/>
      <c r="G1043" s="94"/>
      <c r="H1043" s="96"/>
    </row>
    <row r="1044" spans="1:8" ht="15" x14ac:dyDescent="0.25">
      <c r="A1044" s="95"/>
      <c r="B1044" s="95"/>
      <c r="C1044" s="95"/>
      <c r="D1044" s="92"/>
      <c r="E1044" s="96"/>
      <c r="F1044" s="97"/>
      <c r="G1044" s="94"/>
      <c r="H1044" s="96"/>
    </row>
    <row r="1045" spans="1:8" ht="15" x14ac:dyDescent="0.25">
      <c r="A1045" s="95"/>
      <c r="B1045" s="95"/>
      <c r="C1045" s="95"/>
      <c r="D1045" s="92"/>
      <c r="E1045" s="96"/>
      <c r="F1045" s="97"/>
      <c r="G1045" s="94"/>
      <c r="H1045" s="96"/>
    </row>
    <row r="1046" spans="1:8" ht="15" x14ac:dyDescent="0.25">
      <c r="A1046" s="95"/>
      <c r="B1046" s="95"/>
      <c r="C1046" s="95"/>
      <c r="D1046" s="92"/>
      <c r="E1046" s="96"/>
      <c r="F1046" s="97"/>
      <c r="G1046" s="94"/>
      <c r="H1046" s="96"/>
    </row>
    <row r="1047" spans="1:8" ht="15" x14ac:dyDescent="0.25">
      <c r="A1047" s="95"/>
      <c r="B1047" s="95"/>
      <c r="C1047" s="95"/>
      <c r="D1047" s="92"/>
      <c r="E1047" s="96"/>
      <c r="F1047" s="97"/>
      <c r="G1047" s="94"/>
      <c r="H1047" s="96"/>
    </row>
    <row r="1048" spans="1:8" ht="15" x14ac:dyDescent="0.25">
      <c r="A1048" s="95"/>
      <c r="B1048" s="95"/>
      <c r="C1048" s="95"/>
      <c r="D1048" s="92"/>
      <c r="E1048" s="96"/>
      <c r="F1048" s="97"/>
      <c r="G1048" s="94"/>
      <c r="H1048" s="96"/>
    </row>
    <row r="1049" spans="1:8" ht="15" x14ac:dyDescent="0.25">
      <c r="A1049" s="95"/>
      <c r="B1049" s="95"/>
      <c r="C1049" s="95"/>
      <c r="D1049" s="92"/>
      <c r="E1049" s="96"/>
      <c r="F1049" s="97"/>
      <c r="G1049" s="94"/>
      <c r="H1049" s="96"/>
    </row>
    <row r="1050" spans="1:8" ht="15" x14ac:dyDescent="0.25">
      <c r="A1050" s="95"/>
      <c r="B1050" s="95"/>
      <c r="C1050" s="95"/>
      <c r="D1050" s="92"/>
      <c r="E1050" s="96"/>
      <c r="F1050" s="97"/>
      <c r="G1050" s="94"/>
      <c r="H1050" s="96"/>
    </row>
    <row r="1051" spans="1:8" ht="15" x14ac:dyDescent="0.25">
      <c r="A1051" s="95"/>
      <c r="B1051" s="95"/>
      <c r="C1051" s="95"/>
      <c r="D1051" s="92"/>
      <c r="E1051" s="96"/>
      <c r="F1051" s="97"/>
      <c r="G1051" s="94"/>
      <c r="H1051" s="96"/>
    </row>
    <row r="1052" spans="1:8" ht="15" x14ac:dyDescent="0.25">
      <c r="A1052" s="95"/>
      <c r="B1052" s="95"/>
      <c r="C1052" s="95"/>
      <c r="D1052" s="92"/>
      <c r="E1052" s="96"/>
      <c r="F1052" s="97"/>
      <c r="G1052" s="94"/>
      <c r="H1052" s="96"/>
    </row>
    <row r="1053" spans="1:8" ht="15" x14ac:dyDescent="0.25">
      <c r="A1053" s="95"/>
      <c r="B1053" s="95"/>
      <c r="C1053" s="95"/>
      <c r="D1053" s="92"/>
      <c r="E1053" s="96"/>
      <c r="F1053" s="97"/>
      <c r="G1053" s="94"/>
      <c r="H1053" s="96"/>
    </row>
    <row r="1054" spans="1:8" ht="15" x14ac:dyDescent="0.25">
      <c r="A1054" s="95"/>
      <c r="B1054" s="95"/>
      <c r="C1054" s="95"/>
      <c r="D1054" s="92"/>
      <c r="E1054" s="96"/>
      <c r="F1054" s="97"/>
      <c r="G1054" s="94"/>
      <c r="H1054" s="96"/>
    </row>
    <row r="1055" spans="1:8" ht="15" x14ac:dyDescent="0.25">
      <c r="A1055" s="95"/>
      <c r="B1055" s="95"/>
      <c r="C1055" s="95"/>
      <c r="D1055" s="92"/>
      <c r="E1055" s="96"/>
      <c r="F1055" s="97"/>
      <c r="G1055" s="94"/>
      <c r="H1055" s="96"/>
    </row>
    <row r="1056" spans="1:8" ht="15" x14ac:dyDescent="0.25">
      <c r="A1056" s="95"/>
      <c r="B1056" s="95"/>
      <c r="C1056" s="95"/>
      <c r="D1056" s="92"/>
      <c r="E1056" s="96"/>
      <c r="F1056" s="97"/>
      <c r="G1056" s="94"/>
      <c r="H1056" s="96"/>
    </row>
    <row r="1057" spans="1:8" ht="15" x14ac:dyDescent="0.25">
      <c r="A1057" s="95"/>
      <c r="B1057" s="95"/>
      <c r="C1057" s="95"/>
      <c r="D1057" s="92"/>
      <c r="E1057" s="96"/>
      <c r="F1057" s="97"/>
      <c r="G1057" s="94"/>
      <c r="H1057" s="96"/>
    </row>
    <row r="1058" spans="1:8" ht="15" x14ac:dyDescent="0.25">
      <c r="A1058" s="95"/>
      <c r="B1058" s="95"/>
      <c r="C1058" s="95"/>
      <c r="D1058" s="92"/>
      <c r="E1058" s="96"/>
      <c r="F1058" s="97"/>
      <c r="G1058" s="94"/>
      <c r="H1058" s="96"/>
    </row>
    <row r="1059" spans="1:8" ht="15" x14ac:dyDescent="0.25">
      <c r="A1059" s="95"/>
      <c r="B1059" s="95"/>
      <c r="C1059" s="95"/>
      <c r="D1059" s="92"/>
      <c r="E1059" s="96"/>
      <c r="F1059" s="97"/>
      <c r="G1059" s="94"/>
      <c r="H1059" s="96"/>
    </row>
    <row r="1060" spans="1:8" ht="15" x14ac:dyDescent="0.25">
      <c r="A1060" s="95"/>
      <c r="B1060" s="95"/>
      <c r="C1060" s="95"/>
      <c r="D1060" s="92"/>
      <c r="E1060" s="96"/>
      <c r="F1060" s="97"/>
      <c r="G1060" s="94"/>
      <c r="H1060" s="96"/>
    </row>
    <row r="1061" spans="1:8" ht="15" x14ac:dyDescent="0.25">
      <c r="A1061" s="95"/>
      <c r="B1061" s="95"/>
      <c r="C1061" s="95"/>
      <c r="D1061" s="92"/>
      <c r="E1061" s="96"/>
      <c r="F1061" s="97"/>
      <c r="G1061" s="94"/>
      <c r="H1061" s="96"/>
    </row>
    <row r="1062" spans="1:8" ht="15" x14ac:dyDescent="0.25">
      <c r="A1062" s="95"/>
      <c r="B1062" s="95"/>
      <c r="C1062" s="95"/>
      <c r="D1062" s="92"/>
      <c r="E1062" s="96"/>
      <c r="F1062" s="97"/>
      <c r="G1062" s="94"/>
      <c r="H1062" s="96"/>
    </row>
    <row r="1063" spans="1:8" ht="15" x14ac:dyDescent="0.25">
      <c r="A1063" s="95"/>
      <c r="B1063" s="95"/>
      <c r="C1063" s="95"/>
      <c r="D1063" s="92"/>
      <c r="E1063" s="96"/>
      <c r="F1063" s="97"/>
      <c r="G1063" s="94"/>
      <c r="H1063" s="96"/>
    </row>
    <row r="1064" spans="1:8" ht="15" x14ac:dyDescent="0.25">
      <c r="A1064" s="95"/>
      <c r="B1064" s="95"/>
      <c r="C1064" s="95"/>
      <c r="D1064" s="92"/>
      <c r="E1064" s="96"/>
      <c r="F1064" s="97"/>
      <c r="G1064" s="94"/>
      <c r="H1064" s="96"/>
    </row>
    <row r="1065" spans="1:8" ht="15" x14ac:dyDescent="0.25">
      <c r="A1065" s="95"/>
      <c r="B1065" s="95"/>
      <c r="C1065" s="95"/>
      <c r="D1065" s="92"/>
      <c r="E1065" s="96"/>
      <c r="F1065" s="97"/>
      <c r="G1065" s="94"/>
      <c r="H1065" s="96"/>
    </row>
    <row r="1066" spans="1:8" ht="15" x14ac:dyDescent="0.25">
      <c r="A1066" s="95"/>
      <c r="B1066" s="95"/>
      <c r="C1066" s="95"/>
      <c r="D1066" s="92"/>
      <c r="E1066" s="96"/>
      <c r="F1066" s="97"/>
      <c r="G1066" s="94"/>
      <c r="H1066" s="96"/>
    </row>
    <row r="1067" spans="1:8" ht="15" x14ac:dyDescent="0.25">
      <c r="A1067" s="95"/>
      <c r="B1067" s="95"/>
      <c r="C1067" s="95"/>
      <c r="D1067" s="92"/>
      <c r="E1067" s="96"/>
      <c r="F1067" s="97"/>
      <c r="G1067" s="94"/>
      <c r="H1067" s="96"/>
    </row>
    <row r="1068" spans="1:8" ht="15" x14ac:dyDescent="0.25">
      <c r="A1068" s="95"/>
      <c r="B1068" s="95"/>
      <c r="C1068" s="95"/>
      <c r="D1068" s="92"/>
      <c r="E1068" s="96"/>
      <c r="F1068" s="97"/>
      <c r="G1068" s="94"/>
      <c r="H1068" s="96"/>
    </row>
    <row r="1069" spans="1:8" ht="15" x14ac:dyDescent="0.25">
      <c r="A1069" s="95"/>
      <c r="B1069" s="95"/>
      <c r="C1069" s="95"/>
      <c r="D1069" s="92"/>
      <c r="E1069" s="96"/>
      <c r="F1069" s="97"/>
      <c r="G1069" s="94"/>
      <c r="H1069" s="96"/>
    </row>
    <row r="1070" spans="1:8" ht="15" x14ac:dyDescent="0.25">
      <c r="A1070" s="95"/>
      <c r="B1070" s="95"/>
      <c r="C1070" s="95"/>
      <c r="D1070" s="92"/>
      <c r="E1070" s="96"/>
      <c r="F1070" s="97"/>
      <c r="G1070" s="94"/>
      <c r="H1070" s="96"/>
    </row>
    <row r="1071" spans="1:8" ht="15" x14ac:dyDescent="0.25">
      <c r="A1071" s="95"/>
      <c r="B1071" s="95"/>
      <c r="C1071" s="95"/>
      <c r="D1071" s="92"/>
      <c r="E1071" s="96"/>
      <c r="F1071" s="97"/>
      <c r="G1071" s="94"/>
      <c r="H1071" s="96"/>
    </row>
    <row r="1072" spans="1:8" ht="15" x14ac:dyDescent="0.25">
      <c r="A1072" s="95"/>
      <c r="B1072" s="95"/>
      <c r="C1072" s="95"/>
      <c r="D1072" s="92"/>
      <c r="E1072" s="96"/>
      <c r="F1072" s="97"/>
      <c r="G1072" s="94"/>
      <c r="H1072" s="96"/>
    </row>
    <row r="1073" spans="1:8" ht="15" x14ac:dyDescent="0.25">
      <c r="A1073" s="95"/>
      <c r="B1073" s="95"/>
      <c r="C1073" s="95"/>
      <c r="D1073" s="92"/>
      <c r="E1073" s="96"/>
      <c r="F1073" s="97"/>
      <c r="G1073" s="94"/>
      <c r="H1073" s="96"/>
    </row>
    <row r="1074" spans="1:8" ht="15" x14ac:dyDescent="0.25">
      <c r="A1074" s="95"/>
      <c r="B1074" s="95"/>
      <c r="C1074" s="95"/>
      <c r="D1074" s="92"/>
      <c r="E1074" s="96"/>
      <c r="F1074" s="97"/>
      <c r="G1074" s="94"/>
      <c r="H1074" s="96"/>
    </row>
    <row r="1075" spans="1:8" ht="15" x14ac:dyDescent="0.25">
      <c r="A1075" s="95"/>
      <c r="B1075" s="95"/>
      <c r="C1075" s="95"/>
      <c r="D1075" s="92"/>
      <c r="E1075" s="96"/>
      <c r="F1075" s="97"/>
      <c r="G1075" s="94"/>
      <c r="H1075" s="96"/>
    </row>
    <row r="1076" spans="1:8" ht="15" x14ac:dyDescent="0.25">
      <c r="A1076" s="95"/>
      <c r="B1076" s="95"/>
      <c r="C1076" s="95"/>
      <c r="D1076" s="92"/>
      <c r="E1076" s="96"/>
      <c r="F1076" s="97"/>
      <c r="G1076" s="94"/>
      <c r="H1076" s="96"/>
    </row>
    <row r="1077" spans="1:8" ht="15" x14ac:dyDescent="0.25">
      <c r="A1077" s="95"/>
      <c r="B1077" s="95"/>
      <c r="C1077" s="95"/>
      <c r="D1077" s="92"/>
      <c r="E1077" s="96"/>
      <c r="F1077" s="97"/>
      <c r="G1077" s="94"/>
      <c r="H1077" s="96"/>
    </row>
    <row r="1078" spans="1:8" ht="15" x14ac:dyDescent="0.25">
      <c r="A1078" s="95"/>
      <c r="B1078" s="95"/>
      <c r="C1078" s="95"/>
      <c r="D1078" s="92"/>
      <c r="E1078" s="96"/>
      <c r="F1078" s="97"/>
      <c r="G1078" s="94"/>
      <c r="H1078" s="96"/>
    </row>
    <row r="1079" spans="1:8" ht="15" x14ac:dyDescent="0.25">
      <c r="A1079" s="95"/>
      <c r="B1079" s="95"/>
      <c r="C1079" s="95"/>
      <c r="D1079" s="92"/>
      <c r="E1079" s="96"/>
      <c r="F1079" s="97"/>
      <c r="G1079" s="94"/>
      <c r="H1079" s="96"/>
    </row>
    <row r="1080" spans="1:8" ht="15" x14ac:dyDescent="0.25">
      <c r="A1080" s="95"/>
      <c r="B1080" s="95"/>
      <c r="C1080" s="95"/>
      <c r="D1080" s="92"/>
      <c r="E1080" s="96"/>
      <c r="F1080" s="97"/>
      <c r="G1080" s="94"/>
      <c r="H1080" s="96"/>
    </row>
    <row r="1081" spans="1:8" ht="15" x14ac:dyDescent="0.25">
      <c r="A1081" s="95"/>
      <c r="B1081" s="95"/>
      <c r="C1081" s="95"/>
      <c r="D1081" s="92"/>
      <c r="E1081" s="96"/>
      <c r="F1081" s="97"/>
      <c r="G1081" s="94"/>
      <c r="H1081" s="96"/>
    </row>
    <row r="1082" spans="1:8" ht="15" x14ac:dyDescent="0.25">
      <c r="A1082" s="95"/>
      <c r="B1082" s="95"/>
      <c r="C1082" s="95"/>
      <c r="D1082" s="92"/>
      <c r="E1082" s="96"/>
      <c r="F1082" s="97"/>
      <c r="G1082" s="94"/>
      <c r="H1082" s="96"/>
    </row>
    <row r="1083" spans="1:8" ht="15" x14ac:dyDescent="0.25">
      <c r="A1083" s="95"/>
      <c r="B1083" s="95"/>
      <c r="C1083" s="95"/>
      <c r="D1083" s="92"/>
      <c r="E1083" s="96"/>
      <c r="F1083" s="97"/>
      <c r="G1083" s="94"/>
      <c r="H1083" s="96"/>
    </row>
    <row r="1084" spans="1:8" ht="15" x14ac:dyDescent="0.25">
      <c r="A1084" s="95"/>
      <c r="B1084" s="95"/>
      <c r="C1084" s="95"/>
      <c r="D1084" s="92"/>
      <c r="E1084" s="96"/>
      <c r="F1084" s="97"/>
      <c r="G1084" s="94"/>
      <c r="H1084" s="96"/>
    </row>
    <row r="1085" spans="1:8" ht="15" x14ac:dyDescent="0.25">
      <c r="A1085" s="95"/>
      <c r="B1085" s="95"/>
      <c r="C1085" s="95"/>
      <c r="D1085" s="92"/>
      <c r="E1085" s="96"/>
      <c r="F1085" s="97"/>
      <c r="G1085" s="94"/>
      <c r="H1085" s="96"/>
    </row>
    <row r="1086" spans="1:8" ht="15" x14ac:dyDescent="0.25">
      <c r="A1086" s="95"/>
      <c r="B1086" s="95"/>
      <c r="C1086" s="95"/>
      <c r="D1086" s="92"/>
      <c r="E1086" s="96"/>
      <c r="F1086" s="97"/>
      <c r="G1086" s="94"/>
      <c r="H1086" s="96"/>
    </row>
    <row r="1087" spans="1:8" ht="15" x14ac:dyDescent="0.25">
      <c r="A1087" s="95"/>
      <c r="B1087" s="95"/>
      <c r="C1087" s="95"/>
      <c r="D1087" s="92"/>
      <c r="E1087" s="96"/>
      <c r="F1087" s="97"/>
      <c r="G1087" s="94"/>
      <c r="H1087" s="96"/>
    </row>
    <row r="1088" spans="1:8" ht="15" x14ac:dyDescent="0.25">
      <c r="A1088" s="95"/>
      <c r="B1088" s="95"/>
      <c r="C1088" s="95"/>
      <c r="D1088" s="92"/>
      <c r="E1088" s="96"/>
      <c r="F1088" s="97"/>
      <c r="G1088" s="94"/>
      <c r="H1088" s="96"/>
    </row>
    <row r="1089" spans="1:8" ht="15" x14ac:dyDescent="0.25">
      <c r="A1089" s="95"/>
      <c r="B1089" s="95"/>
      <c r="C1089" s="95"/>
      <c r="D1089" s="92"/>
      <c r="E1089" s="96"/>
      <c r="F1089" s="97"/>
      <c r="G1089" s="94"/>
      <c r="H1089" s="96"/>
    </row>
    <row r="1090" spans="1:8" ht="15" x14ac:dyDescent="0.25">
      <c r="A1090" s="95"/>
      <c r="B1090" s="95"/>
      <c r="C1090" s="95"/>
      <c r="D1090" s="92"/>
      <c r="E1090" s="96"/>
      <c r="F1090" s="97"/>
      <c r="G1090" s="94"/>
      <c r="H1090" s="96"/>
    </row>
    <row r="1091" spans="1:8" ht="15" x14ac:dyDescent="0.25">
      <c r="A1091" s="95"/>
      <c r="B1091" s="95"/>
      <c r="C1091" s="95"/>
      <c r="D1091" s="92"/>
      <c r="E1091" s="96"/>
      <c r="F1091" s="97"/>
      <c r="G1091" s="94"/>
      <c r="H1091" s="96"/>
    </row>
    <row r="1092" spans="1:8" ht="15" x14ac:dyDescent="0.25">
      <c r="A1092" s="95"/>
      <c r="B1092" s="95"/>
      <c r="C1092" s="95"/>
      <c r="D1092" s="92"/>
      <c r="E1092" s="96"/>
      <c r="F1092" s="97"/>
      <c r="G1092" s="94"/>
      <c r="H1092" s="96"/>
    </row>
    <row r="1093" spans="1:8" ht="15" x14ac:dyDescent="0.25">
      <c r="A1093" s="95"/>
      <c r="B1093" s="95"/>
      <c r="C1093" s="95"/>
      <c r="D1093" s="92"/>
      <c r="E1093" s="96"/>
      <c r="F1093" s="97"/>
      <c r="G1093" s="94"/>
      <c r="H1093" s="96"/>
    </row>
    <row r="1094" spans="1:8" ht="15" x14ac:dyDescent="0.25">
      <c r="A1094" s="95"/>
      <c r="B1094" s="95"/>
      <c r="C1094" s="95"/>
      <c r="D1094" s="92"/>
      <c r="E1094" s="96"/>
      <c r="F1094" s="97"/>
      <c r="G1094" s="94"/>
      <c r="H1094" s="96"/>
    </row>
    <row r="1095" spans="1:8" ht="15" x14ac:dyDescent="0.25">
      <c r="A1095" s="95"/>
      <c r="B1095" s="95"/>
      <c r="C1095" s="95"/>
      <c r="D1095" s="92"/>
      <c r="E1095" s="96"/>
      <c r="F1095" s="97"/>
      <c r="G1095" s="94"/>
      <c r="H1095" s="96"/>
    </row>
    <row r="1096" spans="1:8" ht="15" x14ac:dyDescent="0.25">
      <c r="A1096" s="95"/>
      <c r="B1096" s="95"/>
      <c r="C1096" s="95"/>
      <c r="D1096" s="92"/>
      <c r="E1096" s="96"/>
      <c r="F1096" s="97"/>
      <c r="G1096" s="94"/>
      <c r="H1096" s="96"/>
    </row>
    <row r="1097" spans="1:8" ht="15" x14ac:dyDescent="0.25">
      <c r="A1097" s="95"/>
      <c r="B1097" s="95"/>
      <c r="C1097" s="95"/>
      <c r="D1097" s="92"/>
      <c r="E1097" s="96"/>
      <c r="F1097" s="97"/>
      <c r="G1097" s="94"/>
      <c r="H1097" s="96"/>
    </row>
    <row r="1098" spans="1:8" ht="15" x14ac:dyDescent="0.25">
      <c r="A1098" s="95"/>
      <c r="B1098" s="95"/>
      <c r="C1098" s="95"/>
      <c r="D1098" s="92"/>
      <c r="E1098" s="96"/>
      <c r="F1098" s="97"/>
      <c r="G1098" s="94"/>
      <c r="H1098" s="96"/>
    </row>
    <row r="1099" spans="1:8" ht="15" x14ac:dyDescent="0.25">
      <c r="A1099" s="95"/>
      <c r="B1099" s="95"/>
      <c r="C1099" s="95"/>
      <c r="D1099" s="92"/>
      <c r="E1099" s="96"/>
      <c r="F1099" s="97"/>
      <c r="G1099" s="94"/>
      <c r="H1099" s="96"/>
    </row>
    <row r="1100" spans="1:8" ht="15" x14ac:dyDescent="0.25">
      <c r="A1100" s="95"/>
      <c r="B1100" s="95"/>
      <c r="C1100" s="95"/>
      <c r="D1100" s="92"/>
      <c r="E1100" s="96"/>
      <c r="F1100" s="97"/>
      <c r="G1100" s="94"/>
      <c r="H1100" s="96"/>
    </row>
    <row r="1101" spans="1:8" ht="15" x14ac:dyDescent="0.25">
      <c r="A1101" s="95"/>
      <c r="B1101" s="95"/>
      <c r="C1101" s="95"/>
      <c r="D1101" s="92"/>
      <c r="E1101" s="96"/>
      <c r="F1101" s="97"/>
      <c r="G1101" s="94"/>
      <c r="H1101" s="96"/>
    </row>
    <row r="1102" spans="1:8" ht="15" x14ac:dyDescent="0.25">
      <c r="A1102" s="95"/>
      <c r="B1102" s="95"/>
      <c r="C1102" s="95"/>
      <c r="D1102" s="92"/>
      <c r="E1102" s="96"/>
      <c r="F1102" s="97"/>
      <c r="G1102" s="94"/>
      <c r="H1102" s="96"/>
    </row>
    <row r="1103" spans="1:8" ht="15" x14ac:dyDescent="0.25">
      <c r="A1103" s="95"/>
      <c r="B1103" s="95"/>
      <c r="C1103" s="95"/>
      <c r="D1103" s="92"/>
      <c r="E1103" s="96"/>
      <c r="F1103" s="97"/>
      <c r="G1103" s="94"/>
      <c r="H1103" s="96"/>
    </row>
    <row r="1104" spans="1:8" ht="15" x14ac:dyDescent="0.25">
      <c r="A1104" s="95"/>
      <c r="B1104" s="95"/>
      <c r="C1104" s="95"/>
      <c r="D1104" s="92"/>
      <c r="E1104" s="96"/>
      <c r="F1104" s="97"/>
      <c r="G1104" s="94"/>
      <c r="H1104" s="96"/>
    </row>
    <row r="1105" spans="1:8" ht="15" x14ac:dyDescent="0.25">
      <c r="A1105" s="95"/>
      <c r="B1105" s="95"/>
      <c r="C1105" s="95"/>
      <c r="D1105" s="92"/>
      <c r="E1105" s="96"/>
      <c r="F1105" s="97"/>
      <c r="G1105" s="94"/>
      <c r="H1105" s="96"/>
    </row>
    <row r="1106" spans="1:8" ht="15" x14ac:dyDescent="0.25">
      <c r="A1106" s="95"/>
      <c r="B1106" s="95"/>
      <c r="C1106" s="95"/>
      <c r="D1106" s="92"/>
      <c r="E1106" s="96"/>
      <c r="F1106" s="97"/>
      <c r="G1106" s="94"/>
      <c r="H1106" s="96"/>
    </row>
    <row r="1107" spans="1:8" ht="15" x14ac:dyDescent="0.25">
      <c r="A1107" s="95"/>
      <c r="B1107" s="95"/>
      <c r="C1107" s="95"/>
      <c r="D1107" s="92"/>
      <c r="E1107" s="96"/>
      <c r="F1107" s="97"/>
      <c r="G1107" s="94"/>
      <c r="H1107" s="96"/>
    </row>
    <row r="1108" spans="1:8" ht="15" x14ac:dyDescent="0.25">
      <c r="A1108" s="95"/>
      <c r="B1108" s="95"/>
      <c r="C1108" s="95"/>
      <c r="D1108" s="92"/>
      <c r="E1108" s="96"/>
      <c r="F1108" s="97"/>
      <c r="G1108" s="94"/>
      <c r="H1108" s="96"/>
    </row>
    <row r="1109" spans="1:8" ht="15" x14ac:dyDescent="0.25">
      <c r="A1109" s="95"/>
      <c r="B1109" s="95"/>
      <c r="C1109" s="95"/>
      <c r="D1109" s="92"/>
      <c r="E1109" s="96"/>
      <c r="F1109" s="97"/>
      <c r="G1109" s="94"/>
      <c r="H1109" s="96"/>
    </row>
    <row r="1110" spans="1:8" ht="15" x14ac:dyDescent="0.25">
      <c r="A1110" s="95"/>
      <c r="B1110" s="95"/>
      <c r="C1110" s="95"/>
      <c r="D1110" s="92"/>
      <c r="E1110" s="96"/>
      <c r="F1110" s="97"/>
      <c r="G1110" s="94"/>
      <c r="H1110" s="96"/>
    </row>
    <row r="1111" spans="1:8" ht="15" x14ac:dyDescent="0.25">
      <c r="A1111" s="95"/>
      <c r="B1111" s="95"/>
      <c r="C1111" s="95"/>
      <c r="D1111" s="92"/>
      <c r="E1111" s="96"/>
      <c r="F1111" s="97"/>
      <c r="G1111" s="94"/>
      <c r="H1111" s="96"/>
    </row>
    <row r="1112" spans="1:8" ht="15" x14ac:dyDescent="0.25">
      <c r="A1112" s="95"/>
      <c r="B1112" s="95"/>
      <c r="C1112" s="95"/>
      <c r="D1112" s="92"/>
      <c r="E1112" s="96"/>
      <c r="F1112" s="97"/>
      <c r="G1112" s="94"/>
      <c r="H1112" s="96"/>
    </row>
    <row r="1113" spans="1:8" ht="15" x14ac:dyDescent="0.25">
      <c r="A1113" s="95"/>
      <c r="B1113" s="95"/>
      <c r="C1113" s="95"/>
      <c r="D1113" s="92"/>
      <c r="E1113" s="96"/>
      <c r="F1113" s="97"/>
      <c r="G1113" s="94"/>
      <c r="H1113" s="96"/>
    </row>
    <row r="1114" spans="1:8" ht="15" x14ac:dyDescent="0.25">
      <c r="A1114" s="95"/>
      <c r="B1114" s="95"/>
      <c r="C1114" s="95"/>
      <c r="D1114" s="92"/>
      <c r="E1114" s="96"/>
      <c r="F1114" s="97"/>
      <c r="G1114" s="94"/>
      <c r="H1114" s="96"/>
    </row>
    <row r="1115" spans="1:8" ht="15" x14ac:dyDescent="0.25">
      <c r="A1115" s="95"/>
      <c r="B1115" s="95"/>
      <c r="C1115" s="95"/>
      <c r="D1115" s="92"/>
      <c r="E1115" s="96"/>
      <c r="F1115" s="97"/>
      <c r="G1115" s="94"/>
      <c r="H1115" s="96"/>
    </row>
    <row r="1116" spans="1:8" ht="15" x14ac:dyDescent="0.25">
      <c r="A1116" s="95"/>
      <c r="B1116" s="95"/>
      <c r="C1116" s="95"/>
      <c r="D1116" s="92"/>
      <c r="E1116" s="96"/>
      <c r="F1116" s="97"/>
      <c r="G1116" s="94"/>
      <c r="H1116" s="96"/>
    </row>
    <row r="1117" spans="1:8" ht="15" x14ac:dyDescent="0.25">
      <c r="A1117" s="95"/>
      <c r="B1117" s="95"/>
      <c r="C1117" s="95"/>
      <c r="D1117" s="92"/>
      <c r="E1117" s="96"/>
      <c r="F1117" s="97"/>
      <c r="G1117" s="94"/>
      <c r="H1117" s="96"/>
    </row>
    <row r="1118" spans="1:8" ht="15" x14ac:dyDescent="0.25">
      <c r="A1118" s="95"/>
      <c r="B1118" s="95"/>
      <c r="C1118" s="95"/>
      <c r="D1118" s="92"/>
      <c r="E1118" s="96"/>
      <c r="F1118" s="97"/>
      <c r="G1118" s="94"/>
      <c r="H1118" s="96"/>
    </row>
    <row r="1119" spans="1:8" ht="15" x14ac:dyDescent="0.25">
      <c r="A1119" s="95"/>
      <c r="B1119" s="95"/>
      <c r="C1119" s="95"/>
      <c r="D1119" s="92"/>
      <c r="E1119" s="96"/>
      <c r="F1119" s="97"/>
      <c r="G1119" s="94"/>
      <c r="H1119" s="96"/>
    </row>
    <row r="1120" spans="1:8" ht="15" x14ac:dyDescent="0.25">
      <c r="A1120" s="95"/>
      <c r="B1120" s="95"/>
      <c r="C1120" s="95"/>
      <c r="D1120" s="92"/>
      <c r="E1120" s="96"/>
      <c r="F1120" s="97"/>
      <c r="G1120" s="94"/>
      <c r="H1120" s="96"/>
    </row>
    <row r="1121" spans="1:8" ht="15" x14ac:dyDescent="0.25">
      <c r="A1121" s="95"/>
      <c r="B1121" s="95"/>
      <c r="C1121" s="95"/>
      <c r="D1121" s="92"/>
      <c r="E1121" s="96"/>
      <c r="F1121" s="97"/>
      <c r="G1121" s="94"/>
      <c r="H1121" s="96"/>
    </row>
    <row r="1122" spans="1:8" ht="15" x14ac:dyDescent="0.25">
      <c r="A1122" s="95"/>
      <c r="B1122" s="95"/>
      <c r="C1122" s="95"/>
      <c r="D1122" s="92"/>
      <c r="E1122" s="96"/>
      <c r="F1122" s="97"/>
      <c r="G1122" s="94"/>
      <c r="H1122" s="96"/>
    </row>
    <row r="1123" spans="1:8" ht="15" x14ac:dyDescent="0.25">
      <c r="A1123" s="95"/>
      <c r="B1123" s="95"/>
      <c r="C1123" s="95"/>
      <c r="D1123" s="92"/>
      <c r="E1123" s="96"/>
      <c r="F1123" s="97"/>
      <c r="G1123" s="94"/>
      <c r="H1123" s="96"/>
    </row>
    <row r="1124" spans="1:8" ht="15" x14ac:dyDescent="0.25">
      <c r="A1124" s="95"/>
      <c r="B1124" s="95"/>
      <c r="C1124" s="95"/>
      <c r="D1124" s="92"/>
      <c r="E1124" s="96"/>
      <c r="F1124" s="97"/>
      <c r="G1124" s="94"/>
      <c r="H1124" s="96"/>
    </row>
    <row r="1125" spans="1:8" ht="15" x14ac:dyDescent="0.25">
      <c r="A1125" s="95"/>
      <c r="B1125" s="95"/>
      <c r="C1125" s="95"/>
      <c r="D1125" s="92"/>
      <c r="E1125" s="96"/>
      <c r="F1125" s="97"/>
      <c r="G1125" s="94"/>
      <c r="H1125" s="96"/>
    </row>
    <row r="1126" spans="1:8" ht="15" x14ac:dyDescent="0.25">
      <c r="A1126" s="95"/>
      <c r="B1126" s="95"/>
      <c r="C1126" s="95"/>
      <c r="D1126" s="92"/>
      <c r="E1126" s="96"/>
      <c r="F1126" s="97"/>
      <c r="G1126" s="94"/>
      <c r="H1126" s="96"/>
    </row>
    <row r="1127" spans="1:8" ht="15" x14ac:dyDescent="0.25">
      <c r="A1127" s="95"/>
      <c r="B1127" s="95"/>
      <c r="C1127" s="95"/>
      <c r="D1127" s="92"/>
      <c r="E1127" s="96"/>
      <c r="F1127" s="97"/>
      <c r="G1127" s="94"/>
      <c r="H1127" s="96"/>
    </row>
    <row r="1128" spans="1:8" ht="15" x14ac:dyDescent="0.25">
      <c r="A1128" s="95"/>
      <c r="B1128" s="95"/>
      <c r="C1128" s="95"/>
      <c r="D1128" s="92"/>
      <c r="E1128" s="96"/>
      <c r="F1128" s="97"/>
      <c r="G1128" s="94"/>
      <c r="H1128" s="96"/>
    </row>
    <row r="1129" spans="1:8" ht="15" x14ac:dyDescent="0.25">
      <c r="A1129" s="95"/>
      <c r="B1129" s="95"/>
      <c r="C1129" s="95"/>
      <c r="D1129" s="92"/>
      <c r="E1129" s="96"/>
      <c r="F1129" s="97"/>
      <c r="G1129" s="94"/>
      <c r="H1129" s="96"/>
    </row>
    <row r="1130" spans="1:8" ht="15" x14ac:dyDescent="0.25">
      <c r="A1130" s="95"/>
      <c r="B1130" s="95"/>
      <c r="C1130" s="95"/>
      <c r="D1130" s="92"/>
      <c r="E1130" s="96"/>
      <c r="F1130" s="97"/>
      <c r="G1130" s="94"/>
      <c r="H1130" s="96"/>
    </row>
    <row r="1131" spans="1:8" ht="15" x14ac:dyDescent="0.25">
      <c r="A1131" s="95"/>
      <c r="B1131" s="95"/>
      <c r="C1131" s="95"/>
      <c r="D1131" s="92"/>
      <c r="E1131" s="96"/>
      <c r="F1131" s="97"/>
      <c r="G1131" s="94"/>
      <c r="H1131" s="96"/>
    </row>
    <row r="1132" spans="1:8" ht="15" x14ac:dyDescent="0.25">
      <c r="A1132" s="95"/>
      <c r="B1132" s="95"/>
      <c r="C1132" s="95"/>
      <c r="D1132" s="92"/>
      <c r="E1132" s="96"/>
      <c r="F1132" s="97"/>
      <c r="G1132" s="94"/>
      <c r="H1132" s="96"/>
    </row>
    <row r="1133" spans="1:8" ht="15" x14ac:dyDescent="0.25">
      <c r="A1133" s="95"/>
      <c r="B1133" s="95"/>
      <c r="C1133" s="95"/>
      <c r="D1133" s="92"/>
      <c r="E1133" s="96"/>
      <c r="F1133" s="97"/>
      <c r="G1133" s="94"/>
      <c r="H1133" s="96"/>
    </row>
    <row r="1134" spans="1:8" ht="15" x14ac:dyDescent="0.25">
      <c r="A1134" s="95"/>
      <c r="B1134" s="95"/>
      <c r="C1134" s="95"/>
      <c r="D1134" s="92"/>
      <c r="E1134" s="96"/>
      <c r="F1134" s="97"/>
      <c r="G1134" s="94"/>
      <c r="H1134" s="96"/>
    </row>
    <row r="1135" spans="1:8" ht="15" x14ac:dyDescent="0.25">
      <c r="A1135" s="95"/>
      <c r="B1135" s="95"/>
      <c r="C1135" s="95"/>
      <c r="D1135" s="92"/>
      <c r="E1135" s="96"/>
      <c r="F1135" s="97"/>
      <c r="G1135" s="94"/>
      <c r="H1135" s="96"/>
    </row>
    <row r="1136" spans="1:8" ht="15" x14ac:dyDescent="0.25">
      <c r="A1136" s="95"/>
      <c r="B1136" s="95"/>
      <c r="C1136" s="95"/>
      <c r="D1136" s="92"/>
      <c r="E1136" s="96"/>
      <c r="F1136" s="97"/>
      <c r="G1136" s="94"/>
      <c r="H1136" s="96"/>
    </row>
    <row r="1137" spans="1:8" ht="15" x14ac:dyDescent="0.25">
      <c r="A1137" s="95"/>
      <c r="B1137" s="95"/>
      <c r="C1137" s="95"/>
      <c r="D1137" s="92"/>
      <c r="E1137" s="96"/>
      <c r="F1137" s="97"/>
      <c r="G1137" s="94"/>
      <c r="H1137" s="96"/>
    </row>
    <row r="1138" spans="1:8" ht="15" x14ac:dyDescent="0.25">
      <c r="A1138" s="95"/>
      <c r="B1138" s="95"/>
      <c r="C1138" s="95"/>
      <c r="D1138" s="92"/>
      <c r="E1138" s="96"/>
      <c r="F1138" s="97"/>
      <c r="G1138" s="94"/>
      <c r="H1138" s="96"/>
    </row>
    <row r="1139" spans="1:8" ht="15" x14ac:dyDescent="0.25">
      <c r="A1139" s="95"/>
      <c r="B1139" s="95"/>
      <c r="C1139" s="95"/>
      <c r="D1139" s="92"/>
      <c r="E1139" s="96"/>
      <c r="F1139" s="97"/>
      <c r="G1139" s="94"/>
      <c r="H1139" s="96"/>
    </row>
    <row r="1140" spans="1:8" ht="15" x14ac:dyDescent="0.25">
      <c r="A1140" s="95"/>
      <c r="B1140" s="95"/>
      <c r="C1140" s="95"/>
      <c r="D1140" s="92"/>
      <c r="E1140" s="96"/>
      <c r="F1140" s="97"/>
      <c r="G1140" s="94"/>
      <c r="H1140" s="96"/>
    </row>
    <row r="1141" spans="1:8" ht="15" x14ac:dyDescent="0.25">
      <c r="A1141" s="95"/>
      <c r="B1141" s="95"/>
      <c r="C1141" s="95"/>
      <c r="D1141" s="92"/>
      <c r="E1141" s="96"/>
      <c r="F1141" s="97"/>
      <c r="G1141" s="94"/>
      <c r="H1141" s="96"/>
    </row>
    <row r="1142" spans="1:8" ht="15" x14ac:dyDescent="0.25">
      <c r="A1142" s="95"/>
      <c r="B1142" s="95"/>
      <c r="C1142" s="95"/>
      <c r="D1142" s="92"/>
      <c r="E1142" s="96"/>
      <c r="F1142" s="97"/>
      <c r="G1142" s="94"/>
      <c r="H1142" s="96"/>
    </row>
    <row r="1143" spans="1:8" ht="15" x14ac:dyDescent="0.25">
      <c r="A1143" s="95"/>
      <c r="B1143" s="95"/>
      <c r="C1143" s="95"/>
      <c r="D1143" s="92"/>
      <c r="E1143" s="96"/>
      <c r="F1143" s="97"/>
      <c r="G1143" s="94"/>
      <c r="H1143" s="96"/>
    </row>
    <row r="1144" spans="1:8" ht="15" x14ac:dyDescent="0.25">
      <c r="A1144" s="95"/>
      <c r="B1144" s="95"/>
      <c r="C1144" s="95"/>
      <c r="D1144" s="92"/>
      <c r="E1144" s="96"/>
      <c r="F1144" s="97"/>
      <c r="G1144" s="94"/>
      <c r="H1144" s="96"/>
    </row>
    <row r="1145" spans="1:8" ht="15" x14ac:dyDescent="0.25">
      <c r="A1145" s="95"/>
      <c r="B1145" s="95"/>
      <c r="C1145" s="95"/>
      <c r="D1145" s="92"/>
      <c r="E1145" s="96"/>
      <c r="F1145" s="97"/>
      <c r="G1145" s="94"/>
      <c r="H1145" s="96"/>
    </row>
    <row r="1146" spans="1:8" ht="15" x14ac:dyDescent="0.25">
      <c r="A1146" s="95"/>
      <c r="B1146" s="95"/>
      <c r="C1146" s="95"/>
      <c r="D1146" s="92"/>
      <c r="E1146" s="96"/>
      <c r="F1146" s="97"/>
      <c r="G1146" s="94"/>
      <c r="H1146" s="96"/>
    </row>
    <row r="1147" spans="1:8" ht="15" x14ac:dyDescent="0.25">
      <c r="A1147" s="95"/>
      <c r="B1147" s="95"/>
      <c r="C1147" s="95"/>
      <c r="D1147" s="92"/>
      <c r="E1147" s="96"/>
      <c r="F1147" s="97"/>
      <c r="G1147" s="94"/>
      <c r="H1147" s="96"/>
    </row>
    <row r="1148" spans="1:8" ht="15" x14ac:dyDescent="0.25">
      <c r="A1148" s="95"/>
      <c r="B1148" s="95"/>
      <c r="C1148" s="95"/>
      <c r="D1148" s="92"/>
      <c r="E1148" s="96"/>
      <c r="F1148" s="97"/>
      <c r="G1148" s="94"/>
      <c r="H1148" s="96"/>
    </row>
    <row r="1149" spans="1:8" ht="15" x14ac:dyDescent="0.25">
      <c r="A1149" s="95"/>
      <c r="B1149" s="95"/>
      <c r="C1149" s="95"/>
      <c r="D1149" s="92"/>
      <c r="E1149" s="96"/>
      <c r="F1149" s="97"/>
      <c r="G1149" s="94"/>
      <c r="H1149" s="96"/>
    </row>
    <row r="1150" spans="1:8" ht="15" x14ac:dyDescent="0.25">
      <c r="A1150" s="95"/>
      <c r="B1150" s="95"/>
      <c r="C1150" s="95"/>
      <c r="D1150" s="92"/>
      <c r="E1150" s="96"/>
      <c r="F1150" s="97"/>
      <c r="G1150" s="94"/>
      <c r="H1150" s="96"/>
    </row>
    <row r="1151" spans="1:8" ht="15" x14ac:dyDescent="0.25">
      <c r="A1151" s="95"/>
      <c r="B1151" s="95"/>
      <c r="C1151" s="95"/>
      <c r="D1151" s="92"/>
      <c r="E1151" s="96"/>
      <c r="F1151" s="97"/>
      <c r="G1151" s="94"/>
      <c r="H1151" s="96"/>
    </row>
    <row r="1152" spans="1:8" ht="15" x14ac:dyDescent="0.25">
      <c r="A1152" s="95"/>
      <c r="B1152" s="95"/>
      <c r="C1152" s="95"/>
      <c r="D1152" s="92"/>
      <c r="E1152" s="96"/>
      <c r="F1152" s="97"/>
      <c r="G1152" s="94"/>
      <c r="H1152" s="96"/>
    </row>
    <row r="1153" spans="1:8" ht="15" x14ac:dyDescent="0.25">
      <c r="A1153" s="95"/>
      <c r="B1153" s="95"/>
      <c r="C1153" s="95"/>
      <c r="D1153" s="92"/>
      <c r="E1153" s="96"/>
      <c r="F1153" s="97"/>
      <c r="G1153" s="94"/>
      <c r="H1153" s="96"/>
    </row>
    <row r="1154" spans="1:8" ht="15" x14ac:dyDescent="0.25">
      <c r="A1154" s="95"/>
      <c r="B1154" s="95"/>
      <c r="C1154" s="95"/>
      <c r="D1154" s="92"/>
      <c r="E1154" s="96"/>
      <c r="F1154" s="97"/>
      <c r="G1154" s="94"/>
      <c r="H1154" s="96"/>
    </row>
    <row r="1155" spans="1:8" ht="15" x14ac:dyDescent="0.25">
      <c r="A1155" s="95"/>
      <c r="B1155" s="95"/>
      <c r="C1155" s="95"/>
      <c r="D1155" s="92"/>
      <c r="E1155" s="96"/>
      <c r="F1155" s="97"/>
      <c r="G1155" s="94"/>
      <c r="H1155" s="96"/>
    </row>
    <row r="1156" spans="1:8" ht="15" x14ac:dyDescent="0.25">
      <c r="A1156" s="95"/>
      <c r="B1156" s="95"/>
      <c r="C1156" s="95"/>
      <c r="D1156" s="92"/>
      <c r="E1156" s="96"/>
      <c r="F1156" s="97"/>
      <c r="G1156" s="94"/>
      <c r="H1156" s="96"/>
    </row>
    <row r="1157" spans="1:8" ht="15" x14ac:dyDescent="0.25">
      <c r="A1157" s="95"/>
      <c r="B1157" s="95"/>
      <c r="C1157" s="95"/>
      <c r="D1157" s="92"/>
      <c r="E1157" s="96"/>
      <c r="F1157" s="97"/>
      <c r="G1157" s="94"/>
      <c r="H1157" s="96"/>
    </row>
    <row r="1158" spans="1:8" ht="15" x14ac:dyDescent="0.25">
      <c r="A1158" s="95"/>
      <c r="B1158" s="95"/>
      <c r="C1158" s="95"/>
      <c r="D1158" s="92"/>
      <c r="E1158" s="96"/>
      <c r="F1158" s="97"/>
      <c r="G1158" s="94"/>
      <c r="H1158" s="96"/>
    </row>
    <row r="1159" spans="1:8" ht="15" x14ac:dyDescent="0.25">
      <c r="A1159" s="95"/>
      <c r="B1159" s="95"/>
      <c r="C1159" s="95"/>
      <c r="D1159" s="92"/>
      <c r="E1159" s="96"/>
      <c r="F1159" s="97"/>
      <c r="G1159" s="94"/>
      <c r="H1159" s="96"/>
    </row>
    <row r="1160" spans="1:8" ht="15" x14ac:dyDescent="0.25">
      <c r="A1160" s="95"/>
      <c r="B1160" s="95"/>
      <c r="C1160" s="95"/>
      <c r="D1160" s="92"/>
      <c r="E1160" s="96"/>
      <c r="F1160" s="97"/>
      <c r="G1160" s="94"/>
      <c r="H1160" s="96"/>
    </row>
    <row r="1161" spans="1:8" ht="15" x14ac:dyDescent="0.25">
      <c r="A1161" s="95"/>
      <c r="B1161" s="95"/>
      <c r="C1161" s="95"/>
      <c r="D1161" s="92"/>
      <c r="E1161" s="96"/>
      <c r="F1161" s="97"/>
      <c r="G1161" s="94"/>
      <c r="H1161" s="96"/>
    </row>
    <row r="1162" spans="1:8" ht="15" x14ac:dyDescent="0.25">
      <c r="A1162" s="95"/>
      <c r="B1162" s="95"/>
      <c r="C1162" s="95"/>
      <c r="D1162" s="92"/>
      <c r="E1162" s="96"/>
      <c r="F1162" s="97"/>
      <c r="G1162" s="94"/>
      <c r="H1162" s="96"/>
    </row>
    <row r="1163" spans="1:8" ht="15" x14ac:dyDescent="0.25">
      <c r="A1163" s="95"/>
      <c r="B1163" s="95"/>
      <c r="C1163" s="95"/>
      <c r="D1163" s="92"/>
      <c r="E1163" s="96"/>
      <c r="F1163" s="97"/>
      <c r="G1163" s="94"/>
      <c r="H1163" s="96"/>
    </row>
    <row r="1164" spans="1:8" ht="15" x14ac:dyDescent="0.25">
      <c r="A1164" s="95"/>
      <c r="B1164" s="95"/>
      <c r="C1164" s="95"/>
      <c r="D1164" s="92"/>
      <c r="E1164" s="96"/>
      <c r="F1164" s="97"/>
      <c r="G1164" s="94"/>
      <c r="H1164" s="96"/>
    </row>
    <row r="1165" spans="1:8" ht="15" x14ac:dyDescent="0.25">
      <c r="A1165" s="95"/>
      <c r="B1165" s="95"/>
      <c r="C1165" s="95"/>
      <c r="D1165" s="92"/>
      <c r="E1165" s="96"/>
      <c r="F1165" s="97"/>
      <c r="G1165" s="94"/>
      <c r="H1165" s="96"/>
    </row>
    <row r="1166" spans="1:8" ht="15" x14ac:dyDescent="0.25">
      <c r="A1166" s="95"/>
      <c r="B1166" s="95"/>
      <c r="C1166" s="95"/>
      <c r="D1166" s="92"/>
      <c r="E1166" s="96"/>
      <c r="F1166" s="97"/>
      <c r="G1166" s="94"/>
      <c r="H1166" s="96"/>
    </row>
    <row r="1167" spans="1:8" ht="15" x14ac:dyDescent="0.25">
      <c r="A1167" s="95"/>
      <c r="B1167" s="95"/>
      <c r="C1167" s="95"/>
      <c r="D1167" s="92"/>
      <c r="E1167" s="96"/>
      <c r="F1167" s="97"/>
      <c r="G1167" s="94"/>
      <c r="H1167" s="96"/>
    </row>
    <row r="1168" spans="1:8" ht="15" x14ac:dyDescent="0.25">
      <c r="A1168" s="95"/>
      <c r="B1168" s="95"/>
      <c r="C1168" s="95"/>
      <c r="D1168" s="92"/>
      <c r="E1168" s="96"/>
      <c r="F1168" s="97"/>
      <c r="G1168" s="94"/>
      <c r="H1168" s="96"/>
    </row>
    <row r="1169" spans="1:8" ht="15" x14ac:dyDescent="0.25">
      <c r="A1169" s="95"/>
      <c r="B1169" s="95"/>
      <c r="C1169" s="95"/>
      <c r="D1169" s="92"/>
      <c r="E1169" s="96"/>
      <c r="F1169" s="97"/>
      <c r="G1169" s="94"/>
      <c r="H1169" s="96"/>
    </row>
    <row r="1170" spans="1:8" ht="15" x14ac:dyDescent="0.25">
      <c r="A1170" s="95"/>
      <c r="B1170" s="95"/>
      <c r="C1170" s="95"/>
      <c r="D1170" s="92"/>
      <c r="E1170" s="96"/>
      <c r="F1170" s="97"/>
      <c r="G1170" s="94"/>
      <c r="H1170" s="96"/>
    </row>
    <row r="1171" spans="1:8" ht="15" x14ac:dyDescent="0.25">
      <c r="A1171" s="95"/>
      <c r="B1171" s="95"/>
      <c r="C1171" s="95"/>
      <c r="D1171" s="92"/>
      <c r="E1171" s="96"/>
      <c r="F1171" s="97"/>
      <c r="G1171" s="94"/>
      <c r="H1171" s="96"/>
    </row>
    <row r="1172" spans="1:8" ht="15" x14ac:dyDescent="0.25">
      <c r="A1172" s="95"/>
      <c r="B1172" s="95"/>
      <c r="C1172" s="95"/>
      <c r="D1172" s="92"/>
      <c r="E1172" s="96"/>
      <c r="F1172" s="97"/>
      <c r="G1172" s="94"/>
      <c r="H1172" s="96"/>
    </row>
    <row r="1173" spans="1:8" ht="15" x14ac:dyDescent="0.25">
      <c r="A1173" s="95"/>
      <c r="B1173" s="95"/>
      <c r="C1173" s="95"/>
      <c r="D1173" s="92"/>
      <c r="E1173" s="96"/>
      <c r="F1173" s="97"/>
      <c r="G1173" s="94"/>
      <c r="H1173" s="96"/>
    </row>
    <row r="1174" spans="1:8" ht="15" x14ac:dyDescent="0.25">
      <c r="A1174" s="95"/>
      <c r="B1174" s="95"/>
      <c r="C1174" s="95"/>
      <c r="D1174" s="92"/>
      <c r="E1174" s="96"/>
      <c r="F1174" s="97"/>
      <c r="G1174" s="94"/>
      <c r="H1174" s="96"/>
    </row>
    <row r="1175" spans="1:8" ht="15" x14ac:dyDescent="0.25">
      <c r="A1175" s="95"/>
      <c r="B1175" s="95"/>
      <c r="C1175" s="95"/>
      <c r="D1175" s="92"/>
      <c r="E1175" s="96"/>
      <c r="F1175" s="97"/>
      <c r="G1175" s="94"/>
      <c r="H1175" s="96"/>
    </row>
    <row r="1176" spans="1:8" ht="15" x14ac:dyDescent="0.25">
      <c r="A1176" s="95"/>
      <c r="B1176" s="95"/>
      <c r="C1176" s="95"/>
      <c r="D1176" s="92"/>
      <c r="E1176" s="96"/>
      <c r="F1176" s="97"/>
      <c r="G1176" s="94"/>
      <c r="H1176" s="96"/>
    </row>
    <row r="1177" spans="1:8" ht="15" x14ac:dyDescent="0.25">
      <c r="A1177" s="95"/>
      <c r="B1177" s="95"/>
      <c r="C1177" s="95"/>
      <c r="D1177" s="92"/>
      <c r="E1177" s="96"/>
      <c r="F1177" s="97"/>
      <c r="G1177" s="94"/>
      <c r="H1177" s="96"/>
    </row>
    <row r="1178" spans="1:8" ht="15" x14ac:dyDescent="0.25">
      <c r="A1178" s="95"/>
      <c r="B1178" s="95"/>
      <c r="C1178" s="95"/>
      <c r="D1178" s="92"/>
      <c r="E1178" s="96"/>
      <c r="F1178" s="97"/>
      <c r="G1178" s="94"/>
      <c r="H1178" s="96"/>
    </row>
    <row r="1179" spans="1:8" ht="15" x14ac:dyDescent="0.25">
      <c r="A1179" s="95"/>
      <c r="B1179" s="95"/>
      <c r="C1179" s="95"/>
      <c r="D1179" s="92"/>
      <c r="E1179" s="96"/>
      <c r="F1179" s="97"/>
      <c r="G1179" s="94"/>
      <c r="H1179" s="96"/>
    </row>
    <row r="1180" spans="1:8" ht="15" x14ac:dyDescent="0.25">
      <c r="A1180" s="95"/>
      <c r="B1180" s="95"/>
      <c r="C1180" s="95"/>
      <c r="D1180" s="92"/>
      <c r="E1180" s="96"/>
      <c r="F1180" s="97"/>
      <c r="G1180" s="94"/>
      <c r="H1180" s="96"/>
    </row>
    <row r="1181" spans="1:8" ht="15" x14ac:dyDescent="0.25">
      <c r="A1181" s="95"/>
      <c r="B1181" s="95"/>
      <c r="C1181" s="95"/>
      <c r="D1181" s="92"/>
      <c r="E1181" s="96"/>
      <c r="F1181" s="97"/>
      <c r="G1181" s="94"/>
      <c r="H1181" s="96"/>
    </row>
    <row r="1182" spans="1:8" ht="15" x14ac:dyDescent="0.25">
      <c r="A1182" s="95"/>
      <c r="B1182" s="95"/>
      <c r="C1182" s="95"/>
      <c r="D1182" s="92"/>
      <c r="E1182" s="96"/>
      <c r="F1182" s="97"/>
      <c r="G1182" s="94"/>
      <c r="H1182" s="96"/>
    </row>
    <row r="1183" spans="1:8" ht="15" x14ac:dyDescent="0.25">
      <c r="A1183" s="95"/>
      <c r="B1183" s="95"/>
      <c r="C1183" s="95"/>
      <c r="D1183" s="92"/>
      <c r="E1183" s="96"/>
      <c r="F1183" s="97"/>
      <c r="G1183" s="94"/>
      <c r="H1183" s="96"/>
    </row>
    <row r="1184" spans="1:8" ht="15" x14ac:dyDescent="0.25">
      <c r="A1184" s="95"/>
      <c r="B1184" s="95"/>
      <c r="C1184" s="95"/>
      <c r="D1184" s="92"/>
      <c r="E1184" s="96"/>
      <c r="F1184" s="97"/>
      <c r="G1184" s="94"/>
      <c r="H1184" s="96"/>
    </row>
    <row r="1185" spans="1:8" ht="15" x14ac:dyDescent="0.25">
      <c r="A1185" s="95"/>
      <c r="B1185" s="95"/>
      <c r="C1185" s="95"/>
      <c r="D1185" s="92"/>
      <c r="E1185" s="96"/>
      <c r="F1185" s="97"/>
      <c r="G1185" s="94"/>
      <c r="H1185" s="96"/>
    </row>
    <row r="1186" spans="1:8" ht="15" x14ac:dyDescent="0.25">
      <c r="A1186" s="95"/>
      <c r="B1186" s="95"/>
      <c r="C1186" s="95"/>
      <c r="D1186" s="92"/>
      <c r="E1186" s="96"/>
      <c r="F1186" s="97"/>
      <c r="G1186" s="94"/>
      <c r="H1186" s="96"/>
    </row>
    <row r="1187" spans="1:8" ht="15" x14ac:dyDescent="0.25">
      <c r="A1187" s="95"/>
      <c r="B1187" s="95"/>
      <c r="C1187" s="95"/>
      <c r="D1187" s="92"/>
      <c r="E1187" s="96"/>
      <c r="F1187" s="97"/>
      <c r="G1187" s="94"/>
      <c r="H1187" s="96"/>
    </row>
    <row r="1188" spans="1:8" ht="15" x14ac:dyDescent="0.25">
      <c r="A1188" s="95"/>
      <c r="B1188" s="95"/>
      <c r="C1188" s="95"/>
      <c r="D1188" s="92"/>
      <c r="E1188" s="96"/>
      <c r="F1188" s="97"/>
      <c r="G1188" s="94"/>
      <c r="H1188" s="96"/>
    </row>
    <row r="1189" spans="1:8" ht="15" x14ac:dyDescent="0.25">
      <c r="A1189" s="95"/>
      <c r="B1189" s="95"/>
      <c r="C1189" s="95"/>
      <c r="D1189" s="92"/>
      <c r="E1189" s="96"/>
      <c r="F1189" s="97"/>
      <c r="G1189" s="94"/>
      <c r="H1189" s="96"/>
    </row>
    <row r="1190" spans="1:8" ht="15" x14ac:dyDescent="0.25">
      <c r="A1190" s="95"/>
      <c r="B1190" s="95"/>
      <c r="C1190" s="95"/>
      <c r="D1190" s="92"/>
      <c r="E1190" s="96"/>
      <c r="F1190" s="97"/>
      <c r="G1190" s="94"/>
      <c r="H1190" s="96"/>
    </row>
    <row r="1191" spans="1:8" ht="15" x14ac:dyDescent="0.25">
      <c r="A1191" s="95"/>
      <c r="B1191" s="95"/>
      <c r="C1191" s="95"/>
      <c r="D1191" s="92"/>
      <c r="E1191" s="96"/>
      <c r="F1191" s="97"/>
      <c r="G1191" s="94"/>
      <c r="H1191" s="96"/>
    </row>
    <row r="1192" spans="1:8" ht="15" x14ac:dyDescent="0.25">
      <c r="A1192" s="95"/>
      <c r="B1192" s="95"/>
      <c r="C1192" s="95"/>
      <c r="D1192" s="92"/>
      <c r="E1192" s="96"/>
      <c r="F1192" s="97"/>
      <c r="G1192" s="94"/>
      <c r="H1192" s="96"/>
    </row>
    <row r="1193" spans="1:8" ht="15" x14ac:dyDescent="0.25">
      <c r="A1193" s="95"/>
      <c r="B1193" s="95"/>
      <c r="C1193" s="95"/>
      <c r="D1193" s="92"/>
      <c r="E1193" s="96"/>
      <c r="F1193" s="97"/>
      <c r="G1193" s="94"/>
      <c r="H1193" s="96"/>
    </row>
    <row r="1194" spans="1:8" ht="15" x14ac:dyDescent="0.25">
      <c r="A1194" s="95"/>
      <c r="B1194" s="95"/>
      <c r="C1194" s="95"/>
      <c r="D1194" s="92"/>
      <c r="E1194" s="96"/>
      <c r="F1194" s="97"/>
      <c r="G1194" s="94"/>
      <c r="H1194" s="96"/>
    </row>
    <row r="1195" spans="1:8" ht="15" x14ac:dyDescent="0.25">
      <c r="A1195" s="95"/>
      <c r="B1195" s="95"/>
      <c r="C1195" s="95"/>
      <c r="D1195" s="92"/>
      <c r="E1195" s="96"/>
      <c r="F1195" s="97"/>
      <c r="G1195" s="94"/>
      <c r="H1195" s="96"/>
    </row>
    <row r="1196" spans="1:8" ht="15" x14ac:dyDescent="0.25">
      <c r="A1196" s="95"/>
      <c r="B1196" s="95"/>
      <c r="C1196" s="95"/>
      <c r="D1196" s="92"/>
      <c r="E1196" s="96"/>
      <c r="F1196" s="97"/>
      <c r="G1196" s="94"/>
      <c r="H1196" s="96"/>
    </row>
    <row r="1197" spans="1:8" ht="15" x14ac:dyDescent="0.25">
      <c r="A1197" s="95"/>
      <c r="B1197" s="95"/>
      <c r="C1197" s="95"/>
      <c r="D1197" s="92"/>
      <c r="E1197" s="96"/>
      <c r="F1197" s="97"/>
      <c r="G1197" s="94"/>
      <c r="H1197" s="96"/>
    </row>
    <row r="1198" spans="1:8" ht="15" x14ac:dyDescent="0.25">
      <c r="A1198" s="95"/>
      <c r="B1198" s="95"/>
      <c r="C1198" s="95"/>
      <c r="D1198" s="92"/>
      <c r="E1198" s="96"/>
      <c r="F1198" s="97"/>
      <c r="G1198" s="94"/>
      <c r="H1198" s="96"/>
    </row>
    <row r="1199" spans="1:8" ht="15" x14ac:dyDescent="0.25">
      <c r="A1199" s="95"/>
      <c r="B1199" s="95"/>
      <c r="C1199" s="95"/>
      <c r="D1199" s="92"/>
      <c r="E1199" s="96"/>
      <c r="F1199" s="97"/>
      <c r="G1199" s="94"/>
      <c r="H1199" s="96"/>
    </row>
    <row r="1200" spans="1:8" ht="15" x14ac:dyDescent="0.25">
      <c r="A1200" s="95"/>
      <c r="B1200" s="95"/>
      <c r="C1200" s="95"/>
      <c r="D1200" s="92"/>
      <c r="E1200" s="96"/>
      <c r="F1200" s="97"/>
      <c r="G1200" s="94"/>
      <c r="H1200" s="96"/>
    </row>
    <row r="1201" spans="1:8" ht="15" x14ac:dyDescent="0.25">
      <c r="A1201" s="95"/>
      <c r="B1201" s="95"/>
      <c r="C1201" s="95"/>
      <c r="D1201" s="92"/>
      <c r="E1201" s="96"/>
      <c r="F1201" s="97"/>
      <c r="G1201" s="94"/>
      <c r="H1201" s="96"/>
    </row>
    <row r="1202" spans="1:8" ht="15" x14ac:dyDescent="0.25">
      <c r="A1202" s="95"/>
      <c r="B1202" s="95"/>
      <c r="C1202" s="95"/>
      <c r="D1202" s="92"/>
      <c r="E1202" s="96"/>
      <c r="F1202" s="97"/>
      <c r="G1202" s="94"/>
      <c r="H1202" s="96"/>
    </row>
    <row r="1203" spans="1:8" ht="15" x14ac:dyDescent="0.25">
      <c r="A1203" s="95"/>
      <c r="B1203" s="95"/>
      <c r="C1203" s="95"/>
      <c r="D1203" s="92"/>
      <c r="E1203" s="96"/>
      <c r="F1203" s="97"/>
      <c r="G1203" s="94"/>
      <c r="H1203" s="96"/>
    </row>
    <row r="1204" spans="1:8" ht="15" x14ac:dyDescent="0.25">
      <c r="A1204" s="95"/>
      <c r="B1204" s="95"/>
      <c r="C1204" s="95"/>
      <c r="D1204" s="92"/>
      <c r="E1204" s="96"/>
      <c r="F1204" s="97"/>
      <c r="G1204" s="94"/>
      <c r="H1204" s="96"/>
    </row>
    <row r="1205" spans="1:8" ht="15" x14ac:dyDescent="0.25">
      <c r="A1205" s="95"/>
      <c r="B1205" s="95"/>
      <c r="C1205" s="95"/>
      <c r="D1205" s="92"/>
      <c r="E1205" s="96"/>
      <c r="F1205" s="97"/>
      <c r="G1205" s="94"/>
      <c r="H1205" s="96"/>
    </row>
    <row r="1206" spans="1:8" ht="15" x14ac:dyDescent="0.25">
      <c r="A1206" s="95"/>
      <c r="B1206" s="95"/>
      <c r="C1206" s="95"/>
      <c r="D1206" s="92"/>
      <c r="E1206" s="96"/>
      <c r="F1206" s="97"/>
      <c r="G1206" s="94"/>
      <c r="H1206" s="96"/>
    </row>
    <row r="1207" spans="1:8" ht="15" x14ac:dyDescent="0.25">
      <c r="A1207" s="95"/>
      <c r="B1207" s="95"/>
      <c r="C1207" s="95"/>
      <c r="D1207" s="92"/>
      <c r="E1207" s="96"/>
      <c r="F1207" s="97"/>
      <c r="G1207" s="94"/>
      <c r="H1207" s="96"/>
    </row>
    <row r="1208" spans="1:8" ht="15" x14ac:dyDescent="0.25">
      <c r="A1208" s="95"/>
      <c r="B1208" s="95"/>
      <c r="C1208" s="95"/>
      <c r="D1208" s="92"/>
      <c r="E1208" s="96"/>
      <c r="F1208" s="97"/>
      <c r="G1208" s="94"/>
      <c r="H1208" s="96"/>
    </row>
    <row r="1209" spans="1:8" ht="15" x14ac:dyDescent="0.25">
      <c r="A1209" s="95"/>
      <c r="B1209" s="95"/>
      <c r="C1209" s="95"/>
      <c r="D1209" s="92"/>
      <c r="E1209" s="96"/>
      <c r="F1209" s="97"/>
      <c r="G1209" s="94"/>
      <c r="H1209" s="96"/>
    </row>
    <row r="1210" spans="1:8" ht="15" x14ac:dyDescent="0.25">
      <c r="A1210" s="95"/>
      <c r="B1210" s="95"/>
      <c r="C1210" s="95"/>
      <c r="D1210" s="92"/>
      <c r="E1210" s="96"/>
      <c r="F1210" s="97"/>
      <c r="G1210" s="94"/>
      <c r="H1210" s="96"/>
    </row>
    <row r="1211" spans="1:8" ht="15" x14ac:dyDescent="0.25">
      <c r="A1211" s="95"/>
      <c r="B1211" s="95"/>
      <c r="C1211" s="95"/>
      <c r="D1211" s="92"/>
      <c r="E1211" s="96"/>
      <c r="F1211" s="97"/>
      <c r="G1211" s="94"/>
      <c r="H1211" s="96"/>
    </row>
    <row r="1212" spans="1:8" ht="15" x14ac:dyDescent="0.25">
      <c r="A1212" s="95"/>
      <c r="B1212" s="95"/>
      <c r="C1212" s="95"/>
      <c r="D1212" s="92"/>
      <c r="E1212" s="96"/>
      <c r="F1212" s="97"/>
      <c r="G1212" s="94"/>
      <c r="H1212" s="96"/>
    </row>
    <row r="1213" spans="1:8" ht="15" x14ac:dyDescent="0.25">
      <c r="A1213" s="95"/>
      <c r="B1213" s="95"/>
      <c r="C1213" s="95"/>
      <c r="D1213" s="92"/>
      <c r="E1213" s="96"/>
      <c r="F1213" s="97"/>
      <c r="G1213" s="94"/>
      <c r="H1213" s="96"/>
    </row>
    <row r="1214" spans="1:8" ht="15" x14ac:dyDescent="0.25">
      <c r="A1214" s="95"/>
      <c r="B1214" s="95"/>
      <c r="C1214" s="95"/>
      <c r="D1214" s="92"/>
      <c r="E1214" s="96"/>
      <c r="F1214" s="97"/>
      <c r="G1214" s="94"/>
      <c r="H1214" s="96"/>
    </row>
    <row r="1215" spans="1:8" ht="15" x14ac:dyDescent="0.25">
      <c r="A1215" s="95"/>
      <c r="B1215" s="95"/>
      <c r="C1215" s="95"/>
      <c r="D1215" s="92"/>
      <c r="E1215" s="96"/>
      <c r="F1215" s="97"/>
      <c r="G1215" s="94"/>
      <c r="H1215" s="96"/>
    </row>
    <row r="1216" spans="1:8" ht="15" x14ac:dyDescent="0.25">
      <c r="A1216" s="95"/>
      <c r="B1216" s="95"/>
      <c r="C1216" s="95"/>
      <c r="D1216" s="92"/>
      <c r="E1216" s="96"/>
      <c r="F1216" s="97"/>
      <c r="G1216" s="94"/>
      <c r="H1216" s="96"/>
    </row>
    <row r="1217" spans="1:8" ht="15" x14ac:dyDescent="0.25">
      <c r="A1217" s="95"/>
      <c r="B1217" s="95"/>
      <c r="C1217" s="95"/>
      <c r="D1217" s="92"/>
      <c r="E1217" s="96"/>
      <c r="F1217" s="97"/>
      <c r="G1217" s="94"/>
      <c r="H1217" s="96"/>
    </row>
    <row r="1218" spans="1:8" ht="15" x14ac:dyDescent="0.25">
      <c r="A1218" s="95"/>
      <c r="B1218" s="95"/>
      <c r="C1218" s="95"/>
      <c r="D1218" s="92"/>
      <c r="E1218" s="96"/>
      <c r="F1218" s="97"/>
      <c r="G1218" s="94"/>
      <c r="H1218" s="96"/>
    </row>
    <row r="1219" spans="1:8" ht="15" x14ac:dyDescent="0.25">
      <c r="A1219" s="95"/>
      <c r="B1219" s="95"/>
      <c r="C1219" s="95"/>
      <c r="D1219" s="92"/>
      <c r="E1219" s="96"/>
      <c r="F1219" s="97"/>
      <c r="G1219" s="94"/>
      <c r="H1219" s="96"/>
    </row>
    <row r="1220" spans="1:8" ht="15" x14ac:dyDescent="0.25">
      <c r="A1220" s="95"/>
      <c r="B1220" s="95"/>
      <c r="C1220" s="95"/>
      <c r="D1220" s="92"/>
      <c r="E1220" s="96"/>
      <c r="F1220" s="97"/>
      <c r="G1220" s="94"/>
      <c r="H1220" s="96"/>
    </row>
    <row r="1221" spans="1:8" ht="15" x14ac:dyDescent="0.25">
      <c r="A1221" s="95"/>
      <c r="B1221" s="95"/>
      <c r="C1221" s="95"/>
      <c r="D1221" s="92"/>
      <c r="E1221" s="96"/>
      <c r="F1221" s="97"/>
      <c r="G1221" s="94"/>
      <c r="H1221" s="96"/>
    </row>
    <row r="1222" spans="1:8" ht="15" x14ac:dyDescent="0.25">
      <c r="A1222" s="95"/>
      <c r="B1222" s="95"/>
      <c r="C1222" s="95"/>
      <c r="D1222" s="92"/>
      <c r="E1222" s="96"/>
      <c r="F1222" s="97"/>
      <c r="G1222" s="94"/>
      <c r="H1222" s="96"/>
    </row>
    <row r="1223" spans="1:8" ht="15" x14ac:dyDescent="0.25">
      <c r="A1223" s="95"/>
      <c r="B1223" s="95"/>
      <c r="C1223" s="95"/>
      <c r="D1223" s="92"/>
      <c r="E1223" s="96"/>
      <c r="F1223" s="97"/>
      <c r="G1223" s="94"/>
      <c r="H1223" s="96"/>
    </row>
    <row r="1224" spans="1:8" ht="15" x14ac:dyDescent="0.25">
      <c r="A1224" s="95"/>
      <c r="B1224" s="95"/>
      <c r="C1224" s="95"/>
      <c r="D1224" s="92"/>
      <c r="E1224" s="96"/>
      <c r="F1224" s="97"/>
      <c r="G1224" s="94"/>
      <c r="H1224" s="96"/>
    </row>
    <row r="1225" spans="1:8" ht="15" x14ac:dyDescent="0.25">
      <c r="A1225" s="95"/>
      <c r="B1225" s="95"/>
      <c r="C1225" s="95"/>
      <c r="D1225" s="92"/>
      <c r="E1225" s="96"/>
      <c r="F1225" s="97"/>
      <c r="G1225" s="94"/>
      <c r="H1225" s="96"/>
    </row>
    <row r="1226" spans="1:8" ht="15" x14ac:dyDescent="0.25">
      <c r="A1226" s="95"/>
      <c r="B1226" s="95"/>
      <c r="C1226" s="95"/>
      <c r="D1226" s="92"/>
      <c r="E1226" s="96"/>
      <c r="F1226" s="97"/>
      <c r="G1226" s="94"/>
      <c r="H1226" s="96"/>
    </row>
    <row r="1227" spans="1:8" ht="15" x14ac:dyDescent="0.25">
      <c r="A1227" s="95"/>
      <c r="B1227" s="95"/>
      <c r="C1227" s="95"/>
      <c r="D1227" s="92"/>
      <c r="E1227" s="96"/>
      <c r="F1227" s="97"/>
      <c r="G1227" s="94"/>
      <c r="H1227" s="96"/>
    </row>
    <row r="1228" spans="1:8" ht="15" x14ac:dyDescent="0.25">
      <c r="A1228" s="95"/>
      <c r="B1228" s="95"/>
      <c r="C1228" s="95"/>
      <c r="D1228" s="92"/>
      <c r="E1228" s="96"/>
      <c r="F1228" s="97"/>
      <c r="G1228" s="94"/>
      <c r="H1228" s="96"/>
    </row>
    <row r="1229" spans="1:8" ht="15" x14ac:dyDescent="0.25">
      <c r="A1229" s="95"/>
      <c r="B1229" s="95"/>
      <c r="C1229" s="95"/>
      <c r="D1229" s="92"/>
      <c r="E1229" s="96"/>
      <c r="F1229" s="97"/>
      <c r="G1229" s="94"/>
      <c r="H1229" s="96"/>
    </row>
    <row r="1230" spans="1:8" ht="15" x14ac:dyDescent="0.25">
      <c r="A1230" s="95"/>
      <c r="B1230" s="95"/>
      <c r="C1230" s="95"/>
      <c r="D1230" s="92"/>
      <c r="E1230" s="96"/>
      <c r="F1230" s="97"/>
      <c r="G1230" s="94"/>
      <c r="H1230" s="96"/>
    </row>
    <row r="1231" spans="1:8" ht="15" x14ac:dyDescent="0.25">
      <c r="A1231" s="95"/>
      <c r="B1231" s="95"/>
      <c r="C1231" s="95"/>
      <c r="D1231" s="92"/>
      <c r="E1231" s="96"/>
      <c r="F1231" s="97"/>
      <c r="G1231" s="94"/>
      <c r="H1231" s="96"/>
    </row>
    <row r="1232" spans="1:8" ht="15" x14ac:dyDescent="0.25">
      <c r="A1232" s="95"/>
      <c r="B1232" s="95"/>
      <c r="C1232" s="95"/>
      <c r="D1232" s="92"/>
      <c r="E1232" s="96"/>
      <c r="F1232" s="97"/>
      <c r="G1232" s="94"/>
      <c r="H1232" s="96"/>
    </row>
    <row r="1233" spans="1:8" ht="15" x14ac:dyDescent="0.25">
      <c r="A1233" s="95"/>
      <c r="B1233" s="95"/>
      <c r="C1233" s="95"/>
      <c r="D1233" s="92"/>
      <c r="E1233" s="96"/>
      <c r="F1233" s="97"/>
      <c r="G1233" s="94"/>
      <c r="H1233" s="96"/>
    </row>
    <row r="1234" spans="1:8" ht="15" x14ac:dyDescent="0.25">
      <c r="A1234" s="95"/>
      <c r="B1234" s="95"/>
      <c r="C1234" s="95"/>
      <c r="D1234" s="92"/>
      <c r="E1234" s="96"/>
      <c r="F1234" s="97"/>
      <c r="G1234" s="94"/>
      <c r="H1234" s="96"/>
    </row>
    <row r="1235" spans="1:8" ht="15" x14ac:dyDescent="0.25">
      <c r="A1235" s="95"/>
      <c r="B1235" s="95"/>
      <c r="C1235" s="95"/>
      <c r="D1235" s="92"/>
      <c r="E1235" s="96"/>
      <c r="F1235" s="97"/>
      <c r="G1235" s="94"/>
      <c r="H1235" s="96"/>
    </row>
    <row r="1236" spans="1:8" ht="15" x14ac:dyDescent="0.25">
      <c r="A1236" s="95"/>
      <c r="B1236" s="95"/>
      <c r="C1236" s="95"/>
      <c r="D1236" s="92"/>
      <c r="E1236" s="96"/>
      <c r="F1236" s="97"/>
      <c r="G1236" s="94"/>
      <c r="H1236" s="96"/>
    </row>
    <row r="1237" spans="1:8" ht="15" x14ac:dyDescent="0.25">
      <c r="A1237" s="95"/>
      <c r="B1237" s="95"/>
      <c r="C1237" s="95"/>
      <c r="D1237" s="92"/>
      <c r="E1237" s="96"/>
      <c r="F1237" s="97"/>
      <c r="G1237" s="94"/>
      <c r="H1237" s="96"/>
    </row>
    <row r="1238" spans="1:8" ht="15" x14ac:dyDescent="0.25">
      <c r="A1238" s="95"/>
      <c r="B1238" s="95"/>
      <c r="C1238" s="95"/>
      <c r="D1238" s="92"/>
      <c r="E1238" s="96"/>
      <c r="F1238" s="97"/>
      <c r="G1238" s="94"/>
      <c r="H1238" s="96"/>
    </row>
    <row r="1239" spans="1:8" ht="15" x14ac:dyDescent="0.25">
      <c r="A1239" s="95"/>
      <c r="B1239" s="95"/>
      <c r="C1239" s="95"/>
      <c r="D1239" s="92"/>
      <c r="E1239" s="96"/>
      <c r="F1239" s="97"/>
      <c r="G1239" s="94"/>
      <c r="H1239" s="96"/>
    </row>
    <row r="1240" spans="1:8" ht="15" x14ac:dyDescent="0.25">
      <c r="A1240" s="95"/>
      <c r="B1240" s="95"/>
      <c r="C1240" s="95"/>
      <c r="D1240" s="92"/>
      <c r="E1240" s="96"/>
      <c r="F1240" s="97"/>
      <c r="G1240" s="94"/>
      <c r="H1240" s="96"/>
    </row>
    <row r="1241" spans="1:8" ht="15" x14ac:dyDescent="0.25">
      <c r="A1241" s="95"/>
      <c r="B1241" s="95"/>
      <c r="C1241" s="95"/>
      <c r="D1241" s="92"/>
      <c r="E1241" s="96"/>
      <c r="F1241" s="97"/>
      <c r="G1241" s="94"/>
      <c r="H1241" s="96"/>
    </row>
    <row r="1242" spans="1:8" ht="15" x14ac:dyDescent="0.25">
      <c r="A1242" s="95"/>
      <c r="B1242" s="95"/>
      <c r="C1242" s="95"/>
      <c r="D1242" s="92"/>
      <c r="E1242" s="96"/>
      <c r="F1242" s="97"/>
      <c r="G1242" s="94"/>
      <c r="H1242" s="96"/>
    </row>
    <row r="1243" spans="1:8" ht="15" x14ac:dyDescent="0.25">
      <c r="A1243" s="95"/>
      <c r="B1243" s="95"/>
      <c r="C1243" s="95"/>
      <c r="D1243" s="92"/>
      <c r="E1243" s="96"/>
      <c r="F1243" s="97"/>
      <c r="G1243" s="94"/>
      <c r="H1243" s="96"/>
    </row>
    <row r="1244" spans="1:8" ht="15" x14ac:dyDescent="0.25">
      <c r="A1244" s="95"/>
      <c r="B1244" s="95"/>
      <c r="C1244" s="95"/>
      <c r="D1244" s="92"/>
      <c r="E1244" s="96"/>
      <c r="F1244" s="97"/>
      <c r="G1244" s="94"/>
      <c r="H1244" s="96"/>
    </row>
    <row r="1245" spans="1:8" ht="15" x14ac:dyDescent="0.25">
      <c r="A1245" s="95"/>
      <c r="B1245" s="95"/>
      <c r="C1245" s="95"/>
      <c r="D1245" s="92"/>
      <c r="E1245" s="96"/>
      <c r="F1245" s="97"/>
      <c r="G1245" s="94"/>
      <c r="H1245" s="96"/>
    </row>
    <row r="1246" spans="1:8" ht="15" x14ac:dyDescent="0.25">
      <c r="A1246" s="95"/>
      <c r="B1246" s="95"/>
      <c r="C1246" s="95"/>
      <c r="D1246" s="92"/>
      <c r="E1246" s="96"/>
      <c r="F1246" s="97"/>
      <c r="G1246" s="94"/>
      <c r="H1246" s="96"/>
    </row>
    <row r="1247" spans="1:8" ht="15" x14ac:dyDescent="0.25">
      <c r="A1247" s="95"/>
      <c r="B1247" s="95"/>
      <c r="C1247" s="95"/>
      <c r="D1247" s="92"/>
      <c r="E1247" s="96"/>
      <c r="F1247" s="97"/>
      <c r="G1247" s="94"/>
      <c r="H1247" s="96"/>
    </row>
    <row r="1248" spans="1:8" ht="15" x14ac:dyDescent="0.25">
      <c r="A1248" s="95"/>
      <c r="B1248" s="95"/>
      <c r="C1248" s="95"/>
      <c r="D1248" s="92"/>
      <c r="E1248" s="96"/>
      <c r="F1248" s="97"/>
      <c r="G1248" s="94"/>
      <c r="H1248" s="96"/>
    </row>
    <row r="1249" spans="1:8" ht="15" x14ac:dyDescent="0.25">
      <c r="A1249" s="95"/>
      <c r="B1249" s="95"/>
      <c r="C1249" s="95"/>
      <c r="D1249" s="92"/>
      <c r="E1249" s="96"/>
      <c r="F1249" s="97"/>
      <c r="G1249" s="94"/>
      <c r="H1249" s="96"/>
    </row>
    <row r="1250" spans="1:8" ht="15" x14ac:dyDescent="0.25">
      <c r="A1250" s="95"/>
      <c r="B1250" s="95"/>
      <c r="C1250" s="95"/>
      <c r="D1250" s="92"/>
      <c r="E1250" s="96"/>
      <c r="F1250" s="97"/>
      <c r="G1250" s="94"/>
      <c r="H1250" s="96"/>
    </row>
    <row r="1251" spans="1:8" ht="15" x14ac:dyDescent="0.25">
      <c r="A1251" s="95"/>
      <c r="B1251" s="95"/>
      <c r="C1251" s="95"/>
      <c r="D1251" s="92"/>
      <c r="E1251" s="96"/>
      <c r="F1251" s="97"/>
      <c r="G1251" s="94"/>
      <c r="H1251" s="96"/>
    </row>
    <row r="1252" spans="1:8" ht="15" x14ac:dyDescent="0.25">
      <c r="A1252" s="95"/>
      <c r="B1252" s="95"/>
      <c r="C1252" s="95"/>
      <c r="D1252" s="92"/>
      <c r="E1252" s="96"/>
      <c r="F1252" s="97"/>
      <c r="G1252" s="94"/>
      <c r="H1252" s="96"/>
    </row>
    <row r="1253" spans="1:8" ht="15" x14ac:dyDescent="0.25">
      <c r="A1253" s="95"/>
      <c r="B1253" s="95"/>
      <c r="C1253" s="95"/>
      <c r="D1253" s="92"/>
      <c r="E1253" s="96"/>
      <c r="F1253" s="97"/>
      <c r="G1253" s="94"/>
      <c r="H1253" s="96"/>
    </row>
    <row r="1254" spans="1:8" ht="15" x14ac:dyDescent="0.25">
      <c r="A1254" s="95"/>
      <c r="B1254" s="95"/>
      <c r="C1254" s="95"/>
      <c r="D1254" s="92"/>
      <c r="E1254" s="96"/>
      <c r="F1254" s="97"/>
      <c r="G1254" s="94"/>
      <c r="H1254" s="96"/>
    </row>
    <row r="1255" spans="1:8" ht="15" x14ac:dyDescent="0.25">
      <c r="A1255" s="95"/>
      <c r="B1255" s="95"/>
      <c r="C1255" s="95"/>
      <c r="D1255" s="92"/>
      <c r="E1255" s="96"/>
      <c r="F1255" s="97"/>
      <c r="G1255" s="94"/>
      <c r="H1255" s="96"/>
    </row>
    <row r="1256" spans="1:8" ht="15" x14ac:dyDescent="0.25">
      <c r="A1256" s="95"/>
      <c r="B1256" s="95"/>
      <c r="C1256" s="95"/>
      <c r="D1256" s="92"/>
      <c r="E1256" s="96"/>
      <c r="F1256" s="97"/>
      <c r="G1256" s="94"/>
      <c r="H1256" s="96"/>
    </row>
    <row r="1257" spans="1:8" ht="15" x14ac:dyDescent="0.25">
      <c r="A1257" s="95"/>
      <c r="B1257" s="95"/>
      <c r="C1257" s="95"/>
      <c r="D1257" s="92"/>
      <c r="E1257" s="96"/>
      <c r="F1257" s="97"/>
      <c r="G1257" s="94"/>
      <c r="H1257" s="96"/>
    </row>
    <row r="1258" spans="1:8" ht="15" x14ac:dyDescent="0.25">
      <c r="A1258" s="95"/>
      <c r="B1258" s="95"/>
      <c r="C1258" s="95"/>
      <c r="D1258" s="92"/>
      <c r="E1258" s="96"/>
      <c r="F1258" s="97"/>
      <c r="G1258" s="94"/>
      <c r="H1258" s="96"/>
    </row>
    <row r="1259" spans="1:8" ht="15" x14ac:dyDescent="0.25">
      <c r="A1259" s="95"/>
      <c r="B1259" s="95"/>
      <c r="C1259" s="95"/>
      <c r="D1259" s="92"/>
      <c r="E1259" s="96"/>
      <c r="F1259" s="97"/>
      <c r="G1259" s="94"/>
      <c r="H1259" s="96"/>
    </row>
    <row r="1260" spans="1:8" ht="15" x14ac:dyDescent="0.25">
      <c r="A1260" s="95"/>
      <c r="B1260" s="95"/>
      <c r="C1260" s="95"/>
      <c r="D1260" s="92"/>
      <c r="E1260" s="96"/>
      <c r="F1260" s="97"/>
      <c r="G1260" s="94"/>
      <c r="H1260" s="96"/>
    </row>
    <row r="1261" spans="1:8" ht="15" x14ac:dyDescent="0.25">
      <c r="A1261" s="95"/>
      <c r="B1261" s="95"/>
      <c r="C1261" s="95"/>
      <c r="D1261" s="92"/>
      <c r="E1261" s="96"/>
      <c r="F1261" s="97"/>
      <c r="G1261" s="94"/>
      <c r="H1261" s="96"/>
    </row>
    <row r="1262" spans="1:8" ht="15" x14ac:dyDescent="0.25">
      <c r="A1262" s="95"/>
      <c r="B1262" s="95"/>
      <c r="C1262" s="95"/>
      <c r="D1262" s="92"/>
      <c r="E1262" s="96"/>
      <c r="F1262" s="97"/>
      <c r="G1262" s="94"/>
      <c r="H1262" s="96"/>
    </row>
    <row r="1263" spans="1:8" ht="15" x14ac:dyDescent="0.25">
      <c r="A1263" s="95"/>
      <c r="B1263" s="95"/>
      <c r="C1263" s="95"/>
      <c r="D1263" s="92"/>
      <c r="E1263" s="96"/>
      <c r="F1263" s="97"/>
      <c r="G1263" s="94"/>
      <c r="H1263" s="96"/>
    </row>
    <row r="1264" spans="1:8" ht="15" x14ac:dyDescent="0.25">
      <c r="A1264" s="95"/>
      <c r="B1264" s="95"/>
      <c r="C1264" s="95"/>
      <c r="D1264" s="92"/>
      <c r="E1264" s="96"/>
      <c r="F1264" s="97"/>
      <c r="G1264" s="94"/>
      <c r="H1264" s="96"/>
    </row>
    <row r="1265" spans="1:8" ht="15" x14ac:dyDescent="0.25">
      <c r="A1265" s="95"/>
      <c r="B1265" s="95"/>
      <c r="C1265" s="95"/>
      <c r="D1265" s="92"/>
      <c r="E1265" s="96"/>
      <c r="F1265" s="97"/>
      <c r="G1265" s="94"/>
      <c r="H1265" s="96"/>
    </row>
    <row r="1266" spans="1:8" ht="15" x14ac:dyDescent="0.25">
      <c r="A1266" s="95"/>
      <c r="B1266" s="95"/>
      <c r="C1266" s="95"/>
      <c r="D1266" s="92"/>
      <c r="E1266" s="96"/>
      <c r="F1266" s="97"/>
      <c r="G1266" s="94"/>
      <c r="H1266" s="96"/>
    </row>
    <row r="1267" spans="1:8" ht="15" x14ac:dyDescent="0.25">
      <c r="A1267" s="95"/>
      <c r="B1267" s="95"/>
      <c r="C1267" s="95"/>
      <c r="D1267" s="92"/>
      <c r="E1267" s="96"/>
      <c r="F1267" s="97"/>
      <c r="G1267" s="94"/>
      <c r="H1267" s="96"/>
    </row>
    <row r="1268" spans="1:8" ht="15" x14ac:dyDescent="0.25">
      <c r="A1268" s="95"/>
      <c r="B1268" s="95"/>
      <c r="C1268" s="95"/>
      <c r="D1268" s="92"/>
      <c r="E1268" s="96"/>
      <c r="F1268" s="97"/>
      <c r="G1268" s="94"/>
      <c r="H1268" s="96"/>
    </row>
    <row r="1269" spans="1:8" ht="15" x14ac:dyDescent="0.25">
      <c r="A1269" s="95"/>
      <c r="B1269" s="95"/>
      <c r="C1269" s="95"/>
      <c r="D1269" s="92"/>
      <c r="E1269" s="96"/>
      <c r="F1269" s="97"/>
      <c r="G1269" s="94"/>
      <c r="H1269" s="96"/>
    </row>
    <row r="1270" spans="1:8" ht="15" x14ac:dyDescent="0.25">
      <c r="A1270" s="95"/>
      <c r="B1270" s="95"/>
      <c r="C1270" s="95"/>
      <c r="D1270" s="92"/>
      <c r="E1270" s="96"/>
      <c r="F1270" s="97"/>
      <c r="G1270" s="94"/>
      <c r="H1270" s="96"/>
    </row>
    <row r="1271" spans="1:8" ht="15" x14ac:dyDescent="0.25">
      <c r="A1271" s="95"/>
      <c r="B1271" s="95"/>
      <c r="C1271" s="95"/>
      <c r="D1271" s="92"/>
      <c r="E1271" s="96"/>
      <c r="F1271" s="97"/>
      <c r="G1271" s="94"/>
      <c r="H1271" s="96"/>
    </row>
    <row r="1272" spans="1:8" ht="15" x14ac:dyDescent="0.25">
      <c r="A1272" s="95"/>
      <c r="B1272" s="95"/>
      <c r="C1272" s="95"/>
      <c r="D1272" s="92"/>
      <c r="E1272" s="96"/>
      <c r="F1272" s="97"/>
      <c r="G1272" s="94"/>
      <c r="H1272" s="96"/>
    </row>
    <row r="1273" spans="1:8" ht="15" x14ac:dyDescent="0.25">
      <c r="A1273" s="95"/>
      <c r="B1273" s="95"/>
      <c r="C1273" s="95"/>
      <c r="D1273" s="92"/>
      <c r="E1273" s="96"/>
      <c r="F1273" s="97"/>
      <c r="G1273" s="94"/>
      <c r="H1273" s="96"/>
    </row>
    <row r="1274" spans="1:8" ht="15" x14ac:dyDescent="0.25">
      <c r="A1274" s="95"/>
      <c r="B1274" s="95"/>
      <c r="C1274" s="95"/>
      <c r="D1274" s="92"/>
      <c r="E1274" s="96"/>
      <c r="F1274" s="97"/>
      <c r="G1274" s="94"/>
      <c r="H1274" s="96"/>
    </row>
    <row r="1275" spans="1:8" ht="15" x14ac:dyDescent="0.25">
      <c r="A1275" s="95"/>
      <c r="B1275" s="95"/>
      <c r="C1275" s="95"/>
      <c r="D1275" s="92"/>
      <c r="E1275" s="96"/>
      <c r="F1275" s="97"/>
      <c r="G1275" s="94"/>
      <c r="H1275" s="96"/>
    </row>
    <row r="1276" spans="1:8" ht="15" x14ac:dyDescent="0.25">
      <c r="A1276" s="95"/>
      <c r="B1276" s="95"/>
      <c r="C1276" s="95"/>
      <c r="D1276" s="92"/>
      <c r="E1276" s="96"/>
      <c r="F1276" s="97"/>
      <c r="G1276" s="94"/>
      <c r="H1276" s="96"/>
    </row>
    <row r="1277" spans="1:8" ht="15" x14ac:dyDescent="0.25">
      <c r="A1277" s="95"/>
      <c r="B1277" s="95"/>
      <c r="C1277" s="95"/>
      <c r="D1277" s="92"/>
      <c r="E1277" s="96"/>
      <c r="F1277" s="97"/>
      <c r="G1277" s="94"/>
      <c r="H1277" s="96"/>
    </row>
    <row r="1278" spans="1:8" ht="15" x14ac:dyDescent="0.25">
      <c r="A1278" s="95"/>
      <c r="B1278" s="95"/>
      <c r="C1278" s="95"/>
      <c r="D1278" s="92"/>
      <c r="E1278" s="96"/>
      <c r="F1278" s="97"/>
      <c r="G1278" s="94"/>
      <c r="H1278" s="96"/>
    </row>
    <row r="1279" spans="1:8" ht="15" x14ac:dyDescent="0.25">
      <c r="A1279" s="95"/>
      <c r="B1279" s="95"/>
      <c r="C1279" s="95"/>
      <c r="D1279" s="92"/>
      <c r="E1279" s="96"/>
      <c r="F1279" s="97"/>
      <c r="G1279" s="94"/>
      <c r="H1279" s="96"/>
    </row>
    <row r="1280" spans="1:8" ht="15" x14ac:dyDescent="0.25">
      <c r="A1280" s="95"/>
      <c r="B1280" s="95"/>
      <c r="C1280" s="95"/>
      <c r="D1280" s="92"/>
      <c r="E1280" s="96"/>
      <c r="F1280" s="97"/>
      <c r="G1280" s="94"/>
      <c r="H1280" s="96"/>
    </row>
    <row r="1281" spans="1:8" ht="15" x14ac:dyDescent="0.25">
      <c r="A1281" s="95"/>
      <c r="B1281" s="95"/>
      <c r="C1281" s="95"/>
      <c r="D1281" s="92"/>
      <c r="E1281" s="96"/>
      <c r="F1281" s="97"/>
      <c r="G1281" s="94"/>
      <c r="H1281" s="96"/>
    </row>
    <row r="1282" spans="1:8" ht="15" x14ac:dyDescent="0.25">
      <c r="A1282" s="95"/>
      <c r="B1282" s="95"/>
      <c r="C1282" s="95"/>
      <c r="D1282" s="92"/>
      <c r="E1282" s="96"/>
      <c r="F1282" s="97"/>
      <c r="G1282" s="94"/>
      <c r="H1282" s="96"/>
    </row>
    <row r="1283" spans="1:8" ht="15" x14ac:dyDescent="0.25">
      <c r="A1283" s="95"/>
      <c r="B1283" s="95"/>
      <c r="C1283" s="95"/>
      <c r="D1283" s="92"/>
      <c r="E1283" s="96"/>
      <c r="F1283" s="97"/>
      <c r="G1283" s="94"/>
      <c r="H1283" s="96"/>
    </row>
    <row r="1284" spans="1:8" ht="15" x14ac:dyDescent="0.25">
      <c r="A1284" s="95"/>
      <c r="B1284" s="95"/>
      <c r="C1284" s="95"/>
      <c r="D1284" s="92"/>
      <c r="E1284" s="96"/>
      <c r="F1284" s="97"/>
      <c r="G1284" s="94"/>
      <c r="H1284" s="96"/>
    </row>
    <row r="1285" spans="1:8" ht="15" x14ac:dyDescent="0.25">
      <c r="A1285" s="95"/>
      <c r="B1285" s="95"/>
      <c r="C1285" s="95"/>
      <c r="D1285" s="92"/>
      <c r="E1285" s="96"/>
      <c r="F1285" s="97"/>
      <c r="G1285" s="94"/>
      <c r="H1285" s="96"/>
    </row>
    <row r="1286" spans="1:8" ht="15" x14ac:dyDescent="0.25">
      <c r="A1286" s="95"/>
      <c r="B1286" s="95"/>
      <c r="C1286" s="95"/>
      <c r="D1286" s="92"/>
      <c r="E1286" s="96"/>
      <c r="F1286" s="97"/>
      <c r="G1286" s="94"/>
      <c r="H1286" s="96"/>
    </row>
    <row r="1287" spans="1:8" ht="15" x14ac:dyDescent="0.25">
      <c r="A1287" s="95"/>
      <c r="B1287" s="95"/>
      <c r="C1287" s="95"/>
      <c r="D1287" s="92"/>
      <c r="E1287" s="96"/>
      <c r="F1287" s="97"/>
      <c r="G1287" s="94"/>
      <c r="H1287" s="96"/>
    </row>
    <row r="1288" spans="1:8" ht="15" x14ac:dyDescent="0.25">
      <c r="A1288" s="95"/>
      <c r="B1288" s="95"/>
      <c r="C1288" s="95"/>
      <c r="D1288" s="92"/>
      <c r="E1288" s="96"/>
      <c r="F1288" s="97"/>
      <c r="G1288" s="94"/>
      <c r="H1288" s="96"/>
    </row>
    <row r="1289" spans="1:8" ht="15" x14ac:dyDescent="0.25">
      <c r="A1289" s="95"/>
      <c r="B1289" s="95"/>
      <c r="C1289" s="95"/>
      <c r="D1289" s="92"/>
      <c r="E1289" s="96"/>
      <c r="F1289" s="97"/>
      <c r="G1289" s="94"/>
      <c r="H1289" s="96"/>
    </row>
    <row r="1290" spans="1:8" ht="15" x14ac:dyDescent="0.25">
      <c r="A1290" s="95"/>
      <c r="B1290" s="95"/>
      <c r="C1290" s="95"/>
      <c r="D1290" s="92"/>
      <c r="E1290" s="96"/>
      <c r="F1290" s="97"/>
      <c r="G1290" s="94"/>
      <c r="H1290" s="96"/>
    </row>
    <row r="1291" spans="1:8" ht="15" x14ac:dyDescent="0.25">
      <c r="A1291" s="95"/>
      <c r="B1291" s="95"/>
      <c r="C1291" s="95"/>
      <c r="D1291" s="92"/>
      <c r="E1291" s="96"/>
      <c r="F1291" s="97"/>
      <c r="G1291" s="94"/>
      <c r="H1291" s="96"/>
    </row>
    <row r="1292" spans="1:8" ht="15" x14ac:dyDescent="0.25">
      <c r="A1292" s="95"/>
      <c r="B1292" s="95"/>
      <c r="C1292" s="95"/>
      <c r="D1292" s="92"/>
      <c r="E1292" s="96"/>
      <c r="F1292" s="97"/>
      <c r="G1292" s="94"/>
      <c r="H1292" s="96"/>
    </row>
    <row r="1293" spans="1:8" ht="15" x14ac:dyDescent="0.25">
      <c r="A1293" s="95"/>
      <c r="B1293" s="95"/>
      <c r="C1293" s="95"/>
      <c r="D1293" s="92"/>
      <c r="E1293" s="96"/>
      <c r="F1293" s="97"/>
      <c r="G1293" s="94"/>
      <c r="H1293" s="96"/>
    </row>
    <row r="1294" spans="1:8" ht="15" x14ac:dyDescent="0.25">
      <c r="A1294" s="95"/>
      <c r="B1294" s="95"/>
      <c r="C1294" s="95"/>
      <c r="D1294" s="92"/>
      <c r="E1294" s="96"/>
      <c r="F1294" s="97"/>
      <c r="G1294" s="94"/>
      <c r="H1294" s="96"/>
    </row>
    <row r="1295" spans="1:8" ht="15" x14ac:dyDescent="0.25">
      <c r="A1295" s="95"/>
      <c r="B1295" s="95"/>
      <c r="C1295" s="95"/>
      <c r="D1295" s="92"/>
      <c r="E1295" s="96"/>
      <c r="F1295" s="97"/>
      <c r="G1295" s="94"/>
      <c r="H1295" s="96"/>
    </row>
    <row r="1296" spans="1:8" ht="15" x14ac:dyDescent="0.25">
      <c r="A1296" s="95"/>
      <c r="B1296" s="95"/>
      <c r="C1296" s="95"/>
      <c r="D1296" s="92"/>
      <c r="E1296" s="96"/>
      <c r="F1296" s="97"/>
      <c r="G1296" s="94"/>
      <c r="H1296" s="96"/>
    </row>
    <row r="1297" spans="1:8" ht="15" x14ac:dyDescent="0.25">
      <c r="A1297" s="95"/>
      <c r="B1297" s="95"/>
      <c r="C1297" s="95"/>
      <c r="D1297" s="92"/>
      <c r="E1297" s="96"/>
      <c r="F1297" s="97"/>
      <c r="G1297" s="94"/>
      <c r="H1297" s="96"/>
    </row>
    <row r="1298" spans="1:8" ht="15" x14ac:dyDescent="0.25">
      <c r="A1298" s="95"/>
      <c r="B1298" s="95"/>
      <c r="C1298" s="95"/>
      <c r="D1298" s="92"/>
      <c r="E1298" s="96"/>
      <c r="F1298" s="97"/>
      <c r="G1298" s="94"/>
      <c r="H1298" s="96"/>
    </row>
    <row r="1299" spans="1:8" ht="15" x14ac:dyDescent="0.25">
      <c r="A1299" s="95"/>
      <c r="B1299" s="95"/>
      <c r="C1299" s="95"/>
      <c r="D1299" s="92"/>
      <c r="E1299" s="96"/>
      <c r="F1299" s="97"/>
      <c r="G1299" s="94"/>
      <c r="H1299" s="96"/>
    </row>
    <row r="1300" spans="1:8" ht="15" x14ac:dyDescent="0.25">
      <c r="A1300" s="95"/>
      <c r="B1300" s="95"/>
      <c r="C1300" s="95"/>
      <c r="D1300" s="92"/>
      <c r="E1300" s="96"/>
      <c r="F1300" s="97"/>
      <c r="G1300" s="94"/>
      <c r="H1300" s="96"/>
    </row>
    <row r="1301" spans="1:8" ht="15" x14ac:dyDescent="0.25">
      <c r="A1301" s="95"/>
      <c r="B1301" s="95"/>
      <c r="C1301" s="95"/>
      <c r="D1301" s="92"/>
      <c r="E1301" s="96"/>
      <c r="F1301" s="97"/>
      <c r="G1301" s="94"/>
      <c r="H1301" s="96"/>
    </row>
    <row r="1302" spans="1:8" ht="15" x14ac:dyDescent="0.25">
      <c r="A1302" s="95"/>
      <c r="B1302" s="95"/>
      <c r="C1302" s="95"/>
      <c r="D1302" s="92"/>
      <c r="E1302" s="96"/>
      <c r="F1302" s="97"/>
      <c r="G1302" s="94"/>
      <c r="H1302" s="96"/>
    </row>
    <row r="1303" spans="1:8" ht="15" x14ac:dyDescent="0.25">
      <c r="A1303" s="95"/>
      <c r="B1303" s="95"/>
      <c r="C1303" s="95"/>
      <c r="D1303" s="92"/>
      <c r="E1303" s="96"/>
      <c r="F1303" s="97"/>
      <c r="G1303" s="94"/>
      <c r="H1303" s="96"/>
    </row>
    <row r="1304" spans="1:8" ht="15" x14ac:dyDescent="0.25">
      <c r="A1304" s="95"/>
      <c r="B1304" s="95"/>
      <c r="C1304" s="95"/>
      <c r="D1304" s="92"/>
      <c r="E1304" s="96"/>
      <c r="F1304" s="97"/>
      <c r="G1304" s="94"/>
      <c r="H1304" s="96"/>
    </row>
    <row r="1305" spans="1:8" ht="15" x14ac:dyDescent="0.25">
      <c r="A1305" s="95"/>
      <c r="B1305" s="95"/>
      <c r="C1305" s="95"/>
      <c r="D1305" s="92"/>
      <c r="E1305" s="96"/>
      <c r="F1305" s="97"/>
      <c r="G1305" s="94"/>
      <c r="H1305" s="96"/>
    </row>
    <row r="1306" spans="1:8" ht="15" x14ac:dyDescent="0.25">
      <c r="A1306" s="95"/>
      <c r="B1306" s="95"/>
      <c r="C1306" s="95"/>
      <c r="D1306" s="92"/>
      <c r="E1306" s="96"/>
      <c r="F1306" s="97"/>
      <c r="G1306" s="94"/>
      <c r="H1306" s="96"/>
    </row>
    <row r="1307" spans="1:8" ht="15" x14ac:dyDescent="0.25">
      <c r="A1307" s="95"/>
      <c r="B1307" s="95"/>
      <c r="C1307" s="95"/>
      <c r="D1307" s="92"/>
      <c r="E1307" s="96"/>
      <c r="F1307" s="97"/>
      <c r="G1307" s="94"/>
      <c r="H1307" s="96"/>
    </row>
    <row r="1308" spans="1:8" ht="15" x14ac:dyDescent="0.25">
      <c r="A1308" s="95"/>
      <c r="B1308" s="95"/>
      <c r="C1308" s="95"/>
      <c r="D1308" s="92"/>
      <c r="E1308" s="96"/>
      <c r="F1308" s="97"/>
      <c r="G1308" s="94"/>
      <c r="H1308" s="96"/>
    </row>
    <row r="1309" spans="1:8" ht="15" x14ac:dyDescent="0.25">
      <c r="A1309" s="95"/>
      <c r="B1309" s="95"/>
      <c r="C1309" s="95"/>
      <c r="D1309" s="92"/>
      <c r="E1309" s="96"/>
      <c r="F1309" s="97"/>
      <c r="G1309" s="94"/>
      <c r="H1309" s="96"/>
    </row>
    <row r="1310" spans="1:8" ht="15" x14ac:dyDescent="0.25">
      <c r="A1310" s="95"/>
      <c r="B1310" s="95"/>
      <c r="C1310" s="95"/>
      <c r="D1310" s="92"/>
      <c r="E1310" s="96"/>
      <c r="F1310" s="97"/>
      <c r="G1310" s="94"/>
      <c r="H1310" s="96"/>
    </row>
    <row r="1311" spans="1:8" ht="15" x14ac:dyDescent="0.25">
      <c r="A1311" s="95"/>
      <c r="B1311" s="95"/>
      <c r="C1311" s="95"/>
      <c r="D1311" s="92"/>
      <c r="E1311" s="96"/>
      <c r="F1311" s="97"/>
      <c r="G1311" s="94"/>
      <c r="H1311" s="96"/>
    </row>
    <row r="1312" spans="1:8" ht="15" x14ac:dyDescent="0.25">
      <c r="A1312" s="95"/>
      <c r="B1312" s="95"/>
      <c r="C1312" s="95"/>
      <c r="D1312" s="92"/>
      <c r="E1312" s="96"/>
      <c r="F1312" s="97"/>
      <c r="G1312" s="94"/>
      <c r="H1312" s="96"/>
    </row>
    <row r="1313" spans="1:8" ht="15" x14ac:dyDescent="0.25">
      <c r="A1313" s="95"/>
      <c r="B1313" s="95"/>
      <c r="C1313" s="95"/>
      <c r="D1313" s="92"/>
      <c r="E1313" s="96"/>
      <c r="F1313" s="97"/>
      <c r="G1313" s="94"/>
      <c r="H1313" s="96"/>
    </row>
    <row r="1314" spans="1:8" ht="15" x14ac:dyDescent="0.25">
      <c r="A1314" s="95"/>
      <c r="B1314" s="95"/>
      <c r="C1314" s="95"/>
      <c r="D1314" s="92"/>
      <c r="E1314" s="96"/>
      <c r="F1314" s="97"/>
      <c r="G1314" s="94"/>
      <c r="H1314" s="96"/>
    </row>
    <row r="1315" spans="1:8" ht="15" x14ac:dyDescent="0.25">
      <c r="A1315" s="95"/>
      <c r="B1315" s="95"/>
      <c r="C1315" s="95"/>
      <c r="D1315" s="92"/>
      <c r="E1315" s="96"/>
      <c r="F1315" s="97"/>
      <c r="G1315" s="94"/>
      <c r="H1315" s="96"/>
    </row>
    <row r="1316" spans="1:8" ht="15" x14ac:dyDescent="0.25">
      <c r="A1316" s="95"/>
      <c r="B1316" s="95"/>
      <c r="C1316" s="95"/>
      <c r="D1316" s="92"/>
      <c r="E1316" s="96"/>
      <c r="F1316" s="97"/>
      <c r="G1316" s="94"/>
      <c r="H1316" s="96"/>
    </row>
    <row r="1317" spans="1:8" ht="15" x14ac:dyDescent="0.25">
      <c r="A1317" s="95"/>
      <c r="B1317" s="95"/>
      <c r="C1317" s="95"/>
      <c r="D1317" s="92"/>
      <c r="E1317" s="96"/>
      <c r="F1317" s="97"/>
      <c r="G1317" s="94"/>
      <c r="H1317" s="96"/>
    </row>
    <row r="1318" spans="1:8" ht="15" x14ac:dyDescent="0.25">
      <c r="A1318" s="95"/>
      <c r="B1318" s="95"/>
      <c r="C1318" s="95"/>
      <c r="D1318" s="92"/>
      <c r="E1318" s="96"/>
      <c r="F1318" s="97"/>
      <c r="G1318" s="94"/>
      <c r="H1318" s="96"/>
    </row>
    <row r="1319" spans="1:8" ht="15" x14ac:dyDescent="0.25">
      <c r="A1319" s="95"/>
      <c r="B1319" s="95"/>
      <c r="C1319" s="95"/>
      <c r="D1319" s="92"/>
      <c r="E1319" s="96"/>
      <c r="F1319" s="97"/>
      <c r="G1319" s="94"/>
      <c r="H1319" s="96"/>
    </row>
    <row r="1320" spans="1:8" ht="15" x14ac:dyDescent="0.25">
      <c r="A1320" s="95"/>
      <c r="B1320" s="95"/>
      <c r="C1320" s="95"/>
      <c r="D1320" s="92"/>
      <c r="E1320" s="96"/>
      <c r="F1320" s="97"/>
      <c r="G1320" s="94"/>
      <c r="H1320" s="96"/>
    </row>
    <row r="1321" spans="1:8" ht="15" x14ac:dyDescent="0.25">
      <c r="A1321" s="95"/>
      <c r="B1321" s="95"/>
      <c r="C1321" s="95"/>
      <c r="D1321" s="92"/>
      <c r="E1321" s="96"/>
      <c r="F1321" s="97"/>
      <c r="G1321" s="94"/>
      <c r="H1321" s="96"/>
    </row>
    <row r="1322" spans="1:8" ht="15" x14ac:dyDescent="0.25">
      <c r="A1322" s="95"/>
      <c r="B1322" s="95"/>
      <c r="C1322" s="95"/>
      <c r="D1322" s="92"/>
      <c r="E1322" s="96"/>
      <c r="F1322" s="97"/>
      <c r="G1322" s="94"/>
      <c r="H1322" s="96"/>
    </row>
    <row r="1323" spans="1:8" ht="15" x14ac:dyDescent="0.25">
      <c r="A1323" s="95"/>
      <c r="B1323" s="95"/>
      <c r="C1323" s="95"/>
      <c r="D1323" s="92"/>
      <c r="E1323" s="96"/>
      <c r="F1323" s="97"/>
      <c r="G1323" s="94"/>
      <c r="H1323" s="96"/>
    </row>
    <row r="1324" spans="1:8" ht="15" x14ac:dyDescent="0.25">
      <c r="A1324" s="95"/>
      <c r="B1324" s="95"/>
      <c r="C1324" s="95"/>
      <c r="D1324" s="92"/>
      <c r="E1324" s="96"/>
      <c r="F1324" s="97"/>
      <c r="G1324" s="94"/>
      <c r="H1324" s="96"/>
    </row>
    <row r="1325" spans="1:8" ht="15" x14ac:dyDescent="0.25">
      <c r="A1325" s="95"/>
      <c r="B1325" s="95"/>
      <c r="C1325" s="95"/>
      <c r="D1325" s="92"/>
      <c r="E1325" s="96"/>
      <c r="F1325" s="97"/>
      <c r="G1325" s="94"/>
      <c r="H1325" s="96"/>
    </row>
    <row r="1326" spans="1:8" ht="15" x14ac:dyDescent="0.25">
      <c r="A1326" s="95"/>
      <c r="B1326" s="95"/>
      <c r="C1326" s="95"/>
      <c r="D1326" s="92"/>
      <c r="E1326" s="96"/>
      <c r="F1326" s="97"/>
      <c r="G1326" s="94"/>
      <c r="H1326" s="96"/>
    </row>
    <row r="1327" spans="1:8" ht="15" x14ac:dyDescent="0.25">
      <c r="A1327" s="95"/>
      <c r="B1327" s="95"/>
      <c r="C1327" s="95"/>
      <c r="D1327" s="92"/>
      <c r="E1327" s="96"/>
      <c r="F1327" s="97"/>
      <c r="G1327" s="94"/>
      <c r="H1327" s="96"/>
    </row>
    <row r="1328" spans="1:8" ht="15" x14ac:dyDescent="0.25">
      <c r="A1328" s="95"/>
      <c r="B1328" s="95"/>
      <c r="C1328" s="95"/>
      <c r="D1328" s="92"/>
      <c r="E1328" s="96"/>
      <c r="F1328" s="97"/>
      <c r="G1328" s="94"/>
      <c r="H1328" s="96"/>
    </row>
    <row r="1329" spans="1:8" ht="15" x14ac:dyDescent="0.25">
      <c r="A1329" s="95"/>
      <c r="B1329" s="95"/>
      <c r="C1329" s="95"/>
      <c r="D1329" s="92"/>
      <c r="E1329" s="96"/>
      <c r="F1329" s="97"/>
      <c r="G1329" s="94"/>
      <c r="H1329" s="96"/>
    </row>
    <row r="1330" spans="1:8" ht="15" x14ac:dyDescent="0.25">
      <c r="A1330" s="95"/>
      <c r="B1330" s="95"/>
      <c r="C1330" s="95"/>
      <c r="D1330" s="92"/>
      <c r="E1330" s="96"/>
      <c r="F1330" s="97"/>
      <c r="G1330" s="94"/>
      <c r="H1330" s="96"/>
    </row>
    <row r="1331" spans="1:8" ht="15" x14ac:dyDescent="0.25">
      <c r="A1331" s="95"/>
      <c r="B1331" s="95"/>
      <c r="C1331" s="95"/>
      <c r="D1331" s="92"/>
      <c r="E1331" s="96"/>
      <c r="F1331" s="97"/>
      <c r="G1331" s="94"/>
      <c r="H1331" s="96"/>
    </row>
    <row r="1332" spans="1:8" ht="15" x14ac:dyDescent="0.25">
      <c r="A1332" s="95"/>
      <c r="B1332" s="95"/>
      <c r="C1332" s="95"/>
      <c r="D1332" s="92"/>
      <c r="E1332" s="96"/>
      <c r="F1332" s="97"/>
      <c r="G1332" s="94"/>
      <c r="H1332" s="96"/>
    </row>
    <row r="1333" spans="1:8" ht="15" x14ac:dyDescent="0.25">
      <c r="A1333" s="95"/>
      <c r="B1333" s="95"/>
      <c r="C1333" s="95"/>
      <c r="D1333" s="92"/>
      <c r="E1333" s="96"/>
      <c r="F1333" s="97"/>
      <c r="G1333" s="94"/>
      <c r="H1333" s="96"/>
    </row>
    <row r="1334" spans="1:8" ht="15" x14ac:dyDescent="0.25">
      <c r="A1334" s="95"/>
      <c r="B1334" s="95"/>
      <c r="C1334" s="95"/>
      <c r="D1334" s="92"/>
      <c r="E1334" s="96"/>
      <c r="F1334" s="97"/>
      <c r="G1334" s="94"/>
      <c r="H1334" s="96"/>
    </row>
    <row r="1335" spans="1:8" ht="15" x14ac:dyDescent="0.25">
      <c r="A1335" s="95"/>
      <c r="B1335" s="95"/>
      <c r="C1335" s="95"/>
      <c r="D1335" s="92"/>
      <c r="E1335" s="96"/>
      <c r="F1335" s="97"/>
      <c r="G1335" s="94"/>
      <c r="H1335" s="96"/>
    </row>
    <row r="1336" spans="1:8" ht="15" x14ac:dyDescent="0.25">
      <c r="A1336" s="95"/>
      <c r="B1336" s="95"/>
      <c r="C1336" s="95"/>
      <c r="D1336" s="92"/>
      <c r="E1336" s="96"/>
      <c r="F1336" s="97"/>
      <c r="G1336" s="94"/>
      <c r="H1336" s="96"/>
    </row>
    <row r="1337" spans="1:8" ht="15" x14ac:dyDescent="0.25">
      <c r="A1337" s="95"/>
      <c r="B1337" s="95"/>
      <c r="C1337" s="95"/>
      <c r="D1337" s="92"/>
      <c r="E1337" s="96"/>
      <c r="F1337" s="97"/>
      <c r="G1337" s="94"/>
      <c r="H1337" s="96"/>
    </row>
    <row r="1338" spans="1:8" ht="15" x14ac:dyDescent="0.25">
      <c r="A1338" s="95"/>
      <c r="B1338" s="95"/>
      <c r="C1338" s="95"/>
      <c r="D1338" s="92"/>
      <c r="E1338" s="96"/>
      <c r="F1338" s="97"/>
      <c r="G1338" s="94"/>
      <c r="H1338" s="96"/>
    </row>
    <row r="1339" spans="1:8" ht="15" x14ac:dyDescent="0.25">
      <c r="A1339" s="95"/>
      <c r="B1339" s="95"/>
      <c r="C1339" s="95"/>
      <c r="D1339" s="92"/>
      <c r="E1339" s="96"/>
      <c r="F1339" s="97"/>
      <c r="G1339" s="94"/>
      <c r="H1339" s="96"/>
    </row>
    <row r="1340" spans="1:8" ht="15" x14ac:dyDescent="0.25">
      <c r="A1340" s="95"/>
      <c r="B1340" s="95"/>
      <c r="C1340" s="95"/>
      <c r="D1340" s="92"/>
      <c r="E1340" s="96"/>
      <c r="F1340" s="97"/>
      <c r="G1340" s="94"/>
      <c r="H1340" s="96"/>
    </row>
    <row r="1341" spans="1:8" ht="15" x14ac:dyDescent="0.25">
      <c r="A1341" s="95"/>
      <c r="B1341" s="95"/>
      <c r="C1341" s="95"/>
      <c r="D1341" s="92"/>
      <c r="E1341" s="96"/>
      <c r="F1341" s="97"/>
      <c r="G1341" s="94"/>
      <c r="H1341" s="96"/>
    </row>
    <row r="1342" spans="1:8" ht="15" x14ac:dyDescent="0.25">
      <c r="A1342" s="95"/>
      <c r="B1342" s="95"/>
      <c r="C1342" s="95"/>
      <c r="D1342" s="92"/>
      <c r="E1342" s="96"/>
      <c r="F1342" s="97"/>
      <c r="G1342" s="94"/>
      <c r="H1342" s="96"/>
    </row>
    <row r="1343" spans="1:8" ht="15" x14ac:dyDescent="0.25">
      <c r="A1343" s="95"/>
      <c r="B1343" s="95"/>
      <c r="C1343" s="95"/>
      <c r="D1343" s="92"/>
      <c r="E1343" s="96"/>
      <c r="F1343" s="97"/>
      <c r="G1343" s="94"/>
      <c r="H1343" s="96"/>
    </row>
    <row r="1344" spans="1:8" ht="15" x14ac:dyDescent="0.25">
      <c r="A1344" s="95"/>
      <c r="B1344" s="95"/>
      <c r="C1344" s="95"/>
      <c r="D1344" s="92"/>
      <c r="E1344" s="96"/>
      <c r="F1344" s="97"/>
      <c r="G1344" s="94"/>
      <c r="H1344" s="96"/>
    </row>
    <row r="1345" spans="1:8" ht="15" x14ac:dyDescent="0.25">
      <c r="A1345" s="95"/>
      <c r="B1345" s="95"/>
      <c r="C1345" s="95"/>
      <c r="D1345" s="92"/>
      <c r="E1345" s="96"/>
      <c r="F1345" s="97"/>
      <c r="G1345" s="94"/>
      <c r="H1345" s="96"/>
    </row>
    <row r="1346" spans="1:8" ht="15" x14ac:dyDescent="0.25">
      <c r="A1346" s="95"/>
      <c r="B1346" s="95"/>
      <c r="C1346" s="95"/>
      <c r="D1346" s="92"/>
      <c r="E1346" s="96"/>
      <c r="F1346" s="97"/>
      <c r="G1346" s="94"/>
      <c r="H1346" s="96"/>
    </row>
    <row r="1347" spans="1:8" ht="15" x14ac:dyDescent="0.25">
      <c r="A1347" s="95"/>
      <c r="B1347" s="95"/>
      <c r="C1347" s="95"/>
      <c r="D1347" s="92"/>
      <c r="E1347" s="96"/>
      <c r="F1347" s="97"/>
      <c r="G1347" s="94"/>
      <c r="H1347" s="96"/>
    </row>
    <row r="1348" spans="1:8" ht="15" x14ac:dyDescent="0.25">
      <c r="A1348" s="95"/>
      <c r="B1348" s="95"/>
      <c r="C1348" s="95"/>
      <c r="D1348" s="92"/>
      <c r="E1348" s="96"/>
      <c r="F1348" s="97"/>
      <c r="G1348" s="94"/>
      <c r="H1348" s="96"/>
    </row>
    <row r="1349" spans="1:8" ht="15" x14ac:dyDescent="0.25">
      <c r="A1349" s="95"/>
      <c r="B1349" s="95"/>
      <c r="C1349" s="95"/>
      <c r="D1349" s="92"/>
      <c r="E1349" s="96"/>
      <c r="F1349" s="97"/>
      <c r="G1349" s="94"/>
      <c r="H1349" s="96"/>
    </row>
    <row r="1350" spans="1:8" ht="15" x14ac:dyDescent="0.25">
      <c r="A1350" s="95"/>
      <c r="B1350" s="95"/>
      <c r="C1350" s="95"/>
      <c r="D1350" s="92"/>
      <c r="E1350" s="96"/>
      <c r="F1350" s="97"/>
      <c r="G1350" s="94"/>
      <c r="H1350" s="96"/>
    </row>
    <row r="1351" spans="1:8" ht="15" x14ac:dyDescent="0.25">
      <c r="A1351" s="95"/>
      <c r="B1351" s="95"/>
      <c r="C1351" s="95"/>
      <c r="D1351" s="92"/>
      <c r="E1351" s="96"/>
      <c r="F1351" s="97"/>
      <c r="G1351" s="94"/>
      <c r="H1351" s="96"/>
    </row>
    <row r="1352" spans="1:8" ht="15" x14ac:dyDescent="0.25">
      <c r="A1352" s="95"/>
      <c r="B1352" s="95"/>
      <c r="C1352" s="95"/>
      <c r="D1352" s="92"/>
      <c r="E1352" s="96"/>
      <c r="F1352" s="97"/>
      <c r="G1352" s="94"/>
      <c r="H1352" s="96"/>
    </row>
    <row r="1353" spans="1:8" ht="15" x14ac:dyDescent="0.25">
      <c r="A1353" s="95"/>
      <c r="B1353" s="95"/>
      <c r="C1353" s="95"/>
      <c r="D1353" s="92"/>
      <c r="E1353" s="96"/>
      <c r="F1353" s="97"/>
      <c r="G1353" s="94"/>
      <c r="H1353" s="96"/>
    </row>
    <row r="1354" spans="1:8" ht="15" x14ac:dyDescent="0.25">
      <c r="A1354" s="95"/>
      <c r="B1354" s="95"/>
      <c r="C1354" s="95"/>
      <c r="D1354" s="92"/>
      <c r="E1354" s="96"/>
      <c r="F1354" s="97"/>
      <c r="G1354" s="94"/>
      <c r="H1354" s="96"/>
    </row>
    <row r="1355" spans="1:8" ht="15" x14ac:dyDescent="0.25">
      <c r="A1355" s="95"/>
      <c r="B1355" s="95"/>
      <c r="C1355" s="95"/>
      <c r="D1355" s="92"/>
      <c r="E1355" s="96"/>
      <c r="F1355" s="97"/>
      <c r="G1355" s="94"/>
      <c r="H1355" s="96"/>
    </row>
    <row r="1356" spans="1:8" ht="15" x14ac:dyDescent="0.25">
      <c r="A1356" s="95"/>
      <c r="B1356" s="95"/>
      <c r="C1356" s="95"/>
      <c r="D1356" s="92"/>
      <c r="E1356" s="96"/>
      <c r="F1356" s="97"/>
      <c r="G1356" s="94"/>
      <c r="H1356" s="96"/>
    </row>
    <row r="1357" spans="1:8" ht="15" x14ac:dyDescent="0.25">
      <c r="A1357" s="95"/>
      <c r="B1357" s="95"/>
      <c r="C1357" s="95"/>
      <c r="D1357" s="92"/>
      <c r="E1357" s="96"/>
      <c r="F1357" s="97"/>
      <c r="G1357" s="94"/>
      <c r="H1357" s="96"/>
    </row>
    <row r="1358" spans="1:8" ht="15" x14ac:dyDescent="0.25">
      <c r="A1358" s="95"/>
      <c r="B1358" s="95"/>
      <c r="C1358" s="95"/>
      <c r="D1358" s="92"/>
      <c r="E1358" s="96"/>
      <c r="F1358" s="97"/>
      <c r="G1358" s="94"/>
      <c r="H1358" s="96"/>
    </row>
    <row r="1359" spans="1:8" ht="15" x14ac:dyDescent="0.25">
      <c r="A1359" s="95"/>
      <c r="B1359" s="95"/>
      <c r="C1359" s="95"/>
      <c r="D1359" s="92"/>
      <c r="E1359" s="96"/>
      <c r="F1359" s="97"/>
      <c r="G1359" s="94"/>
      <c r="H1359" s="96"/>
    </row>
    <row r="1360" spans="1:8" ht="15" x14ac:dyDescent="0.25">
      <c r="A1360" s="95"/>
      <c r="B1360" s="95"/>
      <c r="C1360" s="95"/>
      <c r="D1360" s="92"/>
      <c r="E1360" s="96"/>
      <c r="F1360" s="97"/>
      <c r="G1360" s="94"/>
      <c r="H1360" s="96"/>
    </row>
    <row r="1361" spans="1:8" ht="15" x14ac:dyDescent="0.25">
      <c r="A1361" s="95"/>
      <c r="B1361" s="95"/>
      <c r="C1361" s="95"/>
      <c r="D1361" s="92"/>
      <c r="E1361" s="96"/>
      <c r="F1361" s="97"/>
      <c r="G1361" s="94"/>
      <c r="H1361" s="96"/>
    </row>
    <row r="1362" spans="1:8" ht="15" x14ac:dyDescent="0.25">
      <c r="A1362" s="95"/>
      <c r="B1362" s="95"/>
      <c r="C1362" s="95"/>
      <c r="D1362" s="92"/>
      <c r="E1362" s="96"/>
      <c r="F1362" s="97"/>
      <c r="G1362" s="94"/>
      <c r="H1362" s="96"/>
    </row>
    <row r="1363" spans="1:8" ht="15" x14ac:dyDescent="0.25">
      <c r="A1363" s="95"/>
      <c r="B1363" s="95"/>
      <c r="C1363" s="95"/>
      <c r="D1363" s="92"/>
      <c r="E1363" s="96"/>
      <c r="F1363" s="97"/>
      <c r="G1363" s="94"/>
      <c r="H1363" s="96"/>
    </row>
    <row r="1364" spans="1:8" ht="15" x14ac:dyDescent="0.25">
      <c r="A1364" s="95"/>
      <c r="B1364" s="95"/>
      <c r="C1364" s="95"/>
      <c r="D1364" s="92"/>
      <c r="E1364" s="96"/>
      <c r="F1364" s="97"/>
      <c r="G1364" s="94"/>
      <c r="H1364" s="96"/>
    </row>
    <row r="1365" spans="1:8" ht="15" x14ac:dyDescent="0.25">
      <c r="A1365" s="95"/>
      <c r="B1365" s="95"/>
      <c r="C1365" s="95"/>
      <c r="D1365" s="92"/>
      <c r="E1365" s="96"/>
      <c r="F1365" s="97"/>
      <c r="G1365" s="94"/>
      <c r="H1365" s="96"/>
    </row>
    <row r="1366" spans="1:8" ht="15" x14ac:dyDescent="0.25">
      <c r="A1366" s="95"/>
      <c r="B1366" s="95"/>
      <c r="C1366" s="95"/>
      <c r="D1366" s="92"/>
      <c r="E1366" s="96"/>
      <c r="F1366" s="97"/>
      <c r="G1366" s="94"/>
      <c r="H1366" s="96"/>
    </row>
    <row r="1367" spans="1:8" ht="15" x14ac:dyDescent="0.25">
      <c r="A1367" s="95"/>
      <c r="B1367" s="95"/>
      <c r="C1367" s="95"/>
      <c r="D1367" s="92"/>
      <c r="E1367" s="96"/>
      <c r="F1367" s="97"/>
      <c r="G1367" s="94"/>
      <c r="H1367" s="96"/>
    </row>
    <row r="1368" spans="1:8" ht="15" x14ac:dyDescent="0.25">
      <c r="A1368" s="95"/>
      <c r="B1368" s="95"/>
      <c r="C1368" s="95"/>
      <c r="D1368" s="92"/>
      <c r="E1368" s="96"/>
      <c r="F1368" s="97"/>
      <c r="G1368" s="94"/>
      <c r="H1368" s="96"/>
    </row>
    <row r="1369" spans="1:8" ht="15" x14ac:dyDescent="0.25">
      <c r="A1369" s="95"/>
      <c r="B1369" s="95"/>
      <c r="C1369" s="95"/>
      <c r="D1369" s="92"/>
      <c r="E1369" s="96"/>
      <c r="F1369" s="97"/>
      <c r="G1369" s="94"/>
      <c r="H1369" s="96"/>
    </row>
    <row r="1370" spans="1:8" ht="15" x14ac:dyDescent="0.25">
      <c r="A1370" s="95"/>
      <c r="B1370" s="95"/>
      <c r="C1370" s="95"/>
      <c r="D1370" s="92"/>
      <c r="E1370" s="96"/>
      <c r="F1370" s="97"/>
      <c r="G1370" s="94"/>
      <c r="H1370" s="96"/>
    </row>
    <row r="1371" spans="1:8" ht="15" x14ac:dyDescent="0.25">
      <c r="A1371" s="95"/>
      <c r="B1371" s="95"/>
      <c r="C1371" s="95"/>
      <c r="D1371" s="92"/>
      <c r="E1371" s="96"/>
      <c r="F1371" s="97"/>
      <c r="G1371" s="94"/>
      <c r="H1371" s="96"/>
    </row>
    <row r="1372" spans="1:8" ht="15" x14ac:dyDescent="0.25">
      <c r="A1372" s="95"/>
      <c r="B1372" s="95"/>
      <c r="C1372" s="95"/>
      <c r="D1372" s="92"/>
      <c r="E1372" s="96"/>
      <c r="F1372" s="97"/>
      <c r="G1372" s="94"/>
      <c r="H1372" s="96"/>
    </row>
    <row r="1373" spans="1:8" ht="15" x14ac:dyDescent="0.25">
      <c r="A1373" s="95"/>
      <c r="B1373" s="95"/>
      <c r="C1373" s="95"/>
      <c r="D1373" s="92"/>
      <c r="E1373" s="96"/>
      <c r="F1373" s="97"/>
      <c r="G1373" s="94"/>
      <c r="H1373" s="96"/>
    </row>
    <row r="1374" spans="1:8" ht="15" x14ac:dyDescent="0.25">
      <c r="A1374" s="95"/>
      <c r="B1374" s="95"/>
      <c r="C1374" s="95"/>
      <c r="D1374" s="92"/>
      <c r="E1374" s="96"/>
      <c r="F1374" s="97"/>
      <c r="G1374" s="94"/>
      <c r="H1374" s="96"/>
    </row>
    <row r="1375" spans="1:8" ht="15" x14ac:dyDescent="0.25">
      <c r="A1375" s="95"/>
      <c r="B1375" s="95"/>
      <c r="C1375" s="95"/>
      <c r="D1375" s="92"/>
      <c r="E1375" s="96"/>
      <c r="F1375" s="97"/>
      <c r="G1375" s="94"/>
      <c r="H1375" s="96"/>
    </row>
    <row r="1376" spans="1:8" ht="15" x14ac:dyDescent="0.25">
      <c r="A1376" s="95"/>
      <c r="B1376" s="95"/>
      <c r="C1376" s="95"/>
      <c r="D1376" s="92"/>
      <c r="E1376" s="96"/>
      <c r="F1376" s="97"/>
      <c r="G1376" s="94"/>
      <c r="H1376" s="96"/>
    </row>
    <row r="1377" spans="1:8" ht="15" x14ac:dyDescent="0.25">
      <c r="A1377" s="95"/>
      <c r="B1377" s="95"/>
      <c r="C1377" s="95"/>
      <c r="D1377" s="92"/>
      <c r="E1377" s="96"/>
      <c r="F1377" s="97"/>
      <c r="G1377" s="94"/>
      <c r="H1377" s="96"/>
    </row>
    <row r="1378" spans="1:8" ht="15" x14ac:dyDescent="0.25">
      <c r="A1378" s="95"/>
      <c r="B1378" s="95"/>
      <c r="C1378" s="95"/>
      <c r="D1378" s="92"/>
      <c r="E1378" s="96"/>
      <c r="F1378" s="97"/>
      <c r="G1378" s="94"/>
      <c r="H1378" s="96"/>
    </row>
    <row r="1379" spans="1:8" ht="15" x14ac:dyDescent="0.25">
      <c r="A1379" s="95"/>
      <c r="B1379" s="95"/>
      <c r="C1379" s="95"/>
      <c r="D1379" s="92"/>
      <c r="E1379" s="96"/>
      <c r="F1379" s="97"/>
      <c r="G1379" s="94"/>
      <c r="H1379" s="96"/>
    </row>
    <row r="1380" spans="1:8" ht="15" x14ac:dyDescent="0.25">
      <c r="A1380" s="95"/>
      <c r="B1380" s="95"/>
      <c r="C1380" s="95"/>
      <c r="D1380" s="92"/>
      <c r="E1380" s="96"/>
      <c r="F1380" s="97"/>
      <c r="G1380" s="94"/>
      <c r="H1380" s="96"/>
    </row>
    <row r="1381" spans="1:8" ht="15" x14ac:dyDescent="0.25">
      <c r="A1381" s="95"/>
      <c r="B1381" s="95"/>
      <c r="C1381" s="95"/>
      <c r="D1381" s="92"/>
      <c r="E1381" s="96"/>
      <c r="F1381" s="97"/>
      <c r="G1381" s="94"/>
      <c r="H1381" s="96"/>
    </row>
    <row r="1382" spans="1:8" ht="15" x14ac:dyDescent="0.25">
      <c r="A1382" s="95"/>
      <c r="B1382" s="95"/>
      <c r="C1382" s="95"/>
      <c r="D1382" s="92"/>
      <c r="E1382" s="96"/>
      <c r="F1382" s="97"/>
      <c r="G1382" s="94"/>
      <c r="H1382" s="96"/>
    </row>
    <row r="1383" spans="1:8" ht="15" x14ac:dyDescent="0.25">
      <c r="A1383" s="95"/>
      <c r="B1383" s="95"/>
      <c r="C1383" s="95"/>
      <c r="D1383" s="92"/>
      <c r="E1383" s="96"/>
      <c r="F1383" s="97"/>
      <c r="G1383" s="94"/>
      <c r="H1383" s="96"/>
    </row>
    <row r="1384" spans="1:8" ht="15" x14ac:dyDescent="0.25">
      <c r="A1384" s="95"/>
      <c r="B1384" s="95"/>
      <c r="C1384" s="95"/>
      <c r="D1384" s="92"/>
      <c r="E1384" s="96"/>
      <c r="F1384" s="97"/>
      <c r="G1384" s="94"/>
      <c r="H1384" s="96"/>
    </row>
    <row r="1385" spans="1:8" ht="15" x14ac:dyDescent="0.25">
      <c r="A1385" s="95"/>
      <c r="B1385" s="95"/>
      <c r="C1385" s="95"/>
      <c r="D1385" s="92"/>
      <c r="E1385" s="96"/>
      <c r="F1385" s="97"/>
      <c r="G1385" s="94"/>
      <c r="H1385" s="96"/>
    </row>
    <row r="1386" spans="1:8" ht="15" x14ac:dyDescent="0.25">
      <c r="A1386" s="95"/>
      <c r="B1386" s="95"/>
      <c r="C1386" s="95"/>
      <c r="D1386" s="92"/>
      <c r="E1386" s="96"/>
      <c r="F1386" s="97"/>
      <c r="G1386" s="94"/>
      <c r="H1386" s="96"/>
    </row>
    <row r="1387" spans="1:8" ht="15" x14ac:dyDescent="0.25">
      <c r="A1387" s="95"/>
      <c r="B1387" s="95"/>
      <c r="C1387" s="95"/>
      <c r="D1387" s="92"/>
      <c r="E1387" s="96"/>
      <c r="F1387" s="97"/>
      <c r="G1387" s="94"/>
      <c r="H1387" s="96"/>
    </row>
    <row r="1388" spans="1:8" ht="15" x14ac:dyDescent="0.25">
      <c r="A1388" s="95"/>
      <c r="B1388" s="95"/>
      <c r="C1388" s="95"/>
      <c r="D1388" s="92"/>
      <c r="E1388" s="96"/>
      <c r="F1388" s="97"/>
      <c r="G1388" s="94"/>
      <c r="H1388" s="96"/>
    </row>
    <row r="1389" spans="1:8" ht="15" x14ac:dyDescent="0.25">
      <c r="A1389" s="95"/>
      <c r="B1389" s="95"/>
      <c r="C1389" s="95"/>
      <c r="D1389" s="92"/>
      <c r="E1389" s="96"/>
      <c r="F1389" s="97"/>
      <c r="G1389" s="94"/>
      <c r="H1389" s="96"/>
    </row>
    <row r="1390" spans="1:8" ht="15" x14ac:dyDescent="0.25">
      <c r="A1390" s="95"/>
      <c r="B1390" s="95"/>
      <c r="C1390" s="95"/>
      <c r="D1390" s="92"/>
      <c r="E1390" s="96"/>
      <c r="F1390" s="97"/>
      <c r="G1390" s="94"/>
      <c r="H1390" s="96"/>
    </row>
    <row r="1391" spans="1:8" ht="15" x14ac:dyDescent="0.25">
      <c r="A1391" s="95"/>
      <c r="B1391" s="95"/>
      <c r="C1391" s="95"/>
      <c r="D1391" s="92"/>
      <c r="E1391" s="96"/>
      <c r="F1391" s="97"/>
      <c r="G1391" s="94"/>
      <c r="H1391" s="96"/>
    </row>
    <row r="1392" spans="1:8" ht="15" x14ac:dyDescent="0.25">
      <c r="A1392" s="95"/>
      <c r="B1392" s="95"/>
      <c r="C1392" s="95"/>
      <c r="D1392" s="92"/>
      <c r="E1392" s="96"/>
      <c r="F1392" s="97"/>
      <c r="G1392" s="94"/>
      <c r="H1392" s="96"/>
    </row>
    <row r="1393" spans="1:8" ht="15" x14ac:dyDescent="0.25">
      <c r="A1393" s="95"/>
      <c r="B1393" s="95"/>
      <c r="C1393" s="95"/>
      <c r="D1393" s="92"/>
      <c r="E1393" s="96"/>
      <c r="F1393" s="97"/>
      <c r="G1393" s="94"/>
      <c r="H1393" s="96"/>
    </row>
    <row r="1394" spans="1:8" ht="15" x14ac:dyDescent="0.25">
      <c r="A1394" s="95"/>
      <c r="B1394" s="95"/>
      <c r="C1394" s="95"/>
      <c r="D1394" s="92"/>
      <c r="E1394" s="96"/>
      <c r="F1394" s="97"/>
      <c r="G1394" s="94"/>
      <c r="H1394" s="96"/>
    </row>
    <row r="1395" spans="1:8" ht="15" x14ac:dyDescent="0.25">
      <c r="A1395" s="95"/>
      <c r="B1395" s="95"/>
      <c r="C1395" s="95"/>
      <c r="D1395" s="92"/>
      <c r="E1395" s="96"/>
      <c r="F1395" s="97"/>
      <c r="G1395" s="94"/>
      <c r="H1395" s="96"/>
    </row>
    <row r="1396" spans="1:8" ht="15" x14ac:dyDescent="0.25">
      <c r="A1396" s="95"/>
      <c r="B1396" s="95"/>
      <c r="C1396" s="95"/>
      <c r="D1396" s="92"/>
      <c r="E1396" s="96"/>
      <c r="F1396" s="97"/>
      <c r="G1396" s="94"/>
      <c r="H1396" s="96"/>
    </row>
    <row r="1397" spans="1:8" ht="15" x14ac:dyDescent="0.25">
      <c r="A1397" s="95"/>
      <c r="B1397" s="95"/>
      <c r="C1397" s="95"/>
      <c r="D1397" s="92"/>
      <c r="E1397" s="96"/>
      <c r="F1397" s="97"/>
      <c r="G1397" s="94"/>
      <c r="H1397" s="96"/>
    </row>
    <row r="1398" spans="1:8" ht="15" x14ac:dyDescent="0.25">
      <c r="A1398" s="95"/>
      <c r="B1398" s="95"/>
      <c r="C1398" s="95"/>
      <c r="D1398" s="92"/>
      <c r="E1398" s="96"/>
      <c r="F1398" s="97"/>
      <c r="G1398" s="94"/>
      <c r="H1398" s="96"/>
    </row>
    <row r="1399" spans="1:8" ht="15" x14ac:dyDescent="0.25">
      <c r="A1399" s="95"/>
      <c r="B1399" s="95"/>
      <c r="C1399" s="95"/>
      <c r="D1399" s="92"/>
      <c r="E1399" s="96"/>
      <c r="F1399" s="97"/>
      <c r="G1399" s="94"/>
      <c r="H1399" s="96"/>
    </row>
    <row r="1400" spans="1:8" ht="15" x14ac:dyDescent="0.25">
      <c r="A1400" s="95"/>
      <c r="B1400" s="95"/>
      <c r="C1400" s="95"/>
      <c r="D1400" s="92"/>
      <c r="E1400" s="96"/>
      <c r="F1400" s="97"/>
      <c r="G1400" s="94"/>
      <c r="H1400" s="96"/>
    </row>
    <row r="1401" spans="1:8" ht="15" x14ac:dyDescent="0.25">
      <c r="A1401" s="95"/>
      <c r="B1401" s="95"/>
      <c r="C1401" s="95"/>
      <c r="D1401" s="92"/>
      <c r="E1401" s="96"/>
      <c r="F1401" s="97"/>
      <c r="G1401" s="94"/>
      <c r="H1401" s="96"/>
    </row>
    <row r="1402" spans="1:8" ht="15" x14ac:dyDescent="0.25">
      <c r="A1402" s="95"/>
      <c r="B1402" s="95"/>
      <c r="C1402" s="95"/>
      <c r="D1402" s="92"/>
      <c r="E1402" s="96"/>
      <c r="F1402" s="97"/>
      <c r="G1402" s="94"/>
      <c r="H1402" s="96"/>
    </row>
    <row r="1403" spans="1:8" ht="15" x14ac:dyDescent="0.25">
      <c r="A1403" s="95"/>
      <c r="B1403" s="95"/>
      <c r="C1403" s="95"/>
      <c r="D1403" s="92"/>
      <c r="E1403" s="96"/>
      <c r="F1403" s="97"/>
      <c r="G1403" s="94"/>
      <c r="H1403" s="96"/>
    </row>
    <row r="1404" spans="1:8" ht="15" x14ac:dyDescent="0.25">
      <c r="A1404" s="95"/>
      <c r="B1404" s="95"/>
      <c r="C1404" s="95"/>
      <c r="D1404" s="92"/>
      <c r="E1404" s="96"/>
      <c r="F1404" s="97"/>
      <c r="G1404" s="94"/>
      <c r="H1404" s="96"/>
    </row>
    <row r="1405" spans="1:8" ht="15" x14ac:dyDescent="0.25">
      <c r="A1405" s="95"/>
      <c r="B1405" s="95"/>
      <c r="C1405" s="95"/>
      <c r="D1405" s="92"/>
      <c r="E1405" s="96"/>
      <c r="F1405" s="97"/>
      <c r="G1405" s="94"/>
      <c r="H1405" s="96"/>
    </row>
    <row r="1406" spans="1:8" ht="15" x14ac:dyDescent="0.25">
      <c r="A1406" s="95"/>
      <c r="B1406" s="95"/>
      <c r="C1406" s="95"/>
      <c r="D1406" s="92"/>
      <c r="E1406" s="96"/>
      <c r="F1406" s="97"/>
      <c r="G1406" s="94"/>
      <c r="H1406" s="96"/>
    </row>
    <row r="1407" spans="1:8" ht="15" x14ac:dyDescent="0.25">
      <c r="A1407" s="95"/>
      <c r="B1407" s="95"/>
      <c r="C1407" s="95"/>
      <c r="D1407" s="92"/>
      <c r="E1407" s="96"/>
      <c r="F1407" s="97"/>
      <c r="G1407" s="94"/>
      <c r="H1407" s="96"/>
    </row>
    <row r="1408" spans="1:8" ht="15" x14ac:dyDescent="0.25">
      <c r="A1408" s="95"/>
      <c r="B1408" s="95"/>
      <c r="C1408" s="95"/>
      <c r="D1408" s="92"/>
      <c r="E1408" s="96"/>
      <c r="F1408" s="97"/>
      <c r="G1408" s="94"/>
      <c r="H1408" s="96"/>
    </row>
    <row r="1409" spans="1:8" ht="15" x14ac:dyDescent="0.25">
      <c r="A1409" s="95"/>
      <c r="B1409" s="95"/>
      <c r="C1409" s="95"/>
      <c r="D1409" s="92"/>
      <c r="E1409" s="96"/>
      <c r="F1409" s="97"/>
      <c r="G1409" s="94"/>
      <c r="H1409" s="96"/>
    </row>
    <row r="1410" spans="1:8" ht="15" x14ac:dyDescent="0.25">
      <c r="A1410" s="95"/>
      <c r="B1410" s="95"/>
      <c r="C1410" s="95"/>
      <c r="D1410" s="92"/>
      <c r="E1410" s="96"/>
      <c r="F1410" s="97"/>
      <c r="G1410" s="94"/>
      <c r="H1410" s="96"/>
    </row>
    <row r="1411" spans="1:8" ht="15" x14ac:dyDescent="0.25">
      <c r="A1411" s="95"/>
      <c r="B1411" s="95"/>
      <c r="C1411" s="95"/>
      <c r="D1411" s="92"/>
      <c r="E1411" s="96"/>
      <c r="F1411" s="97"/>
      <c r="G1411" s="94"/>
      <c r="H1411" s="96"/>
    </row>
    <row r="1412" spans="1:8" ht="15" x14ac:dyDescent="0.25">
      <c r="A1412" s="95"/>
      <c r="B1412" s="95"/>
      <c r="C1412" s="95"/>
      <c r="D1412" s="92"/>
      <c r="E1412" s="96"/>
      <c r="F1412" s="97"/>
      <c r="G1412" s="94"/>
      <c r="H1412" s="96"/>
    </row>
    <row r="1413" spans="1:8" ht="15" x14ac:dyDescent="0.25">
      <c r="A1413" s="95"/>
      <c r="B1413" s="95"/>
      <c r="C1413" s="95"/>
      <c r="D1413" s="92"/>
      <c r="E1413" s="96"/>
      <c r="F1413" s="97"/>
      <c r="G1413" s="94"/>
      <c r="H1413" s="96"/>
    </row>
    <row r="1414" spans="1:8" ht="15" x14ac:dyDescent="0.25">
      <c r="A1414" s="95"/>
      <c r="B1414" s="95"/>
      <c r="C1414" s="95"/>
      <c r="D1414" s="92"/>
      <c r="E1414" s="96"/>
      <c r="F1414" s="97"/>
      <c r="G1414" s="94"/>
      <c r="H1414" s="96"/>
    </row>
    <row r="1415" spans="1:8" ht="15" x14ac:dyDescent="0.25">
      <c r="A1415" s="95"/>
      <c r="B1415" s="95"/>
      <c r="C1415" s="95"/>
      <c r="D1415" s="92"/>
      <c r="E1415" s="96"/>
      <c r="F1415" s="97"/>
      <c r="G1415" s="94"/>
      <c r="H1415" s="96"/>
    </row>
    <row r="1416" spans="1:8" ht="15" x14ac:dyDescent="0.25">
      <c r="A1416" s="95"/>
      <c r="B1416" s="95"/>
      <c r="C1416" s="95"/>
      <c r="D1416" s="92"/>
      <c r="E1416" s="96"/>
      <c r="F1416" s="97"/>
      <c r="G1416" s="94"/>
      <c r="H1416" s="96"/>
    </row>
    <row r="1417" spans="1:8" ht="15" x14ac:dyDescent="0.25">
      <c r="A1417" s="95"/>
      <c r="B1417" s="95"/>
      <c r="C1417" s="95"/>
      <c r="D1417" s="92"/>
      <c r="E1417" s="96"/>
      <c r="F1417" s="97"/>
      <c r="G1417" s="94"/>
      <c r="H1417" s="96"/>
    </row>
    <row r="1418" spans="1:8" ht="15" x14ac:dyDescent="0.25">
      <c r="A1418" s="95"/>
      <c r="B1418" s="95"/>
      <c r="C1418" s="95"/>
      <c r="D1418" s="92"/>
      <c r="E1418" s="96"/>
      <c r="F1418" s="97"/>
      <c r="G1418" s="94"/>
      <c r="H1418" s="96"/>
    </row>
    <row r="1419" spans="1:8" ht="15" x14ac:dyDescent="0.25">
      <c r="A1419" s="95"/>
      <c r="B1419" s="95"/>
      <c r="C1419" s="95"/>
      <c r="D1419" s="92"/>
      <c r="E1419" s="96"/>
      <c r="F1419" s="97"/>
      <c r="G1419" s="94"/>
      <c r="H1419" s="96"/>
    </row>
    <row r="1420" spans="1:8" ht="15" x14ac:dyDescent="0.25">
      <c r="A1420" s="95"/>
      <c r="B1420" s="95"/>
      <c r="C1420" s="95"/>
      <c r="D1420" s="92"/>
      <c r="E1420" s="96"/>
      <c r="F1420" s="97"/>
      <c r="G1420" s="94"/>
      <c r="H1420" s="96"/>
    </row>
    <row r="1421" spans="1:8" ht="15" x14ac:dyDescent="0.25">
      <c r="A1421" s="95"/>
      <c r="B1421" s="95"/>
      <c r="C1421" s="95"/>
      <c r="D1421" s="92"/>
      <c r="E1421" s="96"/>
      <c r="F1421" s="97"/>
      <c r="G1421" s="94"/>
      <c r="H1421" s="96"/>
    </row>
    <row r="1422" spans="1:8" ht="15" x14ac:dyDescent="0.25">
      <c r="A1422" s="95"/>
      <c r="B1422" s="95"/>
      <c r="C1422" s="95"/>
      <c r="D1422" s="92"/>
      <c r="E1422" s="96"/>
      <c r="F1422" s="97"/>
      <c r="G1422" s="94"/>
      <c r="H1422" s="96"/>
    </row>
    <row r="1423" spans="1:8" ht="15" x14ac:dyDescent="0.25">
      <c r="A1423" s="95"/>
      <c r="B1423" s="95"/>
      <c r="C1423" s="95"/>
      <c r="D1423" s="92"/>
      <c r="E1423" s="96"/>
      <c r="F1423" s="97"/>
      <c r="G1423" s="94"/>
      <c r="H1423" s="96"/>
    </row>
    <row r="1424" spans="1:8" ht="15" x14ac:dyDescent="0.25">
      <c r="A1424" s="95"/>
      <c r="B1424" s="95"/>
      <c r="C1424" s="95"/>
      <c r="D1424" s="92"/>
      <c r="E1424" s="96"/>
      <c r="F1424" s="97"/>
      <c r="G1424" s="94"/>
      <c r="H1424" s="96"/>
    </row>
    <row r="1425" spans="1:8" ht="15" x14ac:dyDescent="0.25">
      <c r="A1425" s="95"/>
      <c r="B1425" s="95"/>
      <c r="C1425" s="95"/>
      <c r="D1425" s="92"/>
      <c r="E1425" s="96"/>
      <c r="F1425" s="97"/>
      <c r="G1425" s="94"/>
      <c r="H1425" s="96"/>
    </row>
    <row r="1426" spans="1:8" ht="15" x14ac:dyDescent="0.25">
      <c r="A1426" s="95"/>
      <c r="B1426" s="95"/>
      <c r="C1426" s="95"/>
      <c r="D1426" s="92"/>
      <c r="E1426" s="96"/>
      <c r="F1426" s="97"/>
      <c r="G1426" s="94"/>
      <c r="H1426" s="96"/>
    </row>
    <row r="1427" spans="1:8" ht="15" x14ac:dyDescent="0.25">
      <c r="A1427" s="95"/>
      <c r="B1427" s="95"/>
      <c r="C1427" s="95"/>
      <c r="D1427" s="92"/>
      <c r="E1427" s="96"/>
      <c r="F1427" s="97"/>
      <c r="G1427" s="94"/>
      <c r="H1427" s="96"/>
    </row>
    <row r="1428" spans="1:8" ht="15" x14ac:dyDescent="0.25">
      <c r="A1428" s="95"/>
      <c r="B1428" s="95"/>
      <c r="C1428" s="95"/>
      <c r="D1428" s="92"/>
      <c r="E1428" s="96"/>
      <c r="F1428" s="97"/>
      <c r="G1428" s="94"/>
      <c r="H1428" s="96"/>
    </row>
    <row r="1429" spans="1:8" ht="15" x14ac:dyDescent="0.25">
      <c r="A1429" s="95"/>
      <c r="B1429" s="95"/>
      <c r="C1429" s="95"/>
      <c r="D1429" s="92"/>
      <c r="E1429" s="96"/>
      <c r="F1429" s="97"/>
      <c r="G1429" s="94"/>
      <c r="H1429" s="96"/>
    </row>
    <row r="1430" spans="1:8" ht="15" x14ac:dyDescent="0.25">
      <c r="A1430" s="95"/>
      <c r="B1430" s="95"/>
      <c r="C1430" s="95"/>
      <c r="D1430" s="92"/>
      <c r="E1430" s="96"/>
      <c r="F1430" s="97"/>
      <c r="G1430" s="94"/>
      <c r="H1430" s="96"/>
    </row>
    <row r="1431" spans="1:8" ht="15" x14ac:dyDescent="0.25">
      <c r="A1431" s="95"/>
      <c r="B1431" s="95"/>
      <c r="C1431" s="95"/>
      <c r="D1431" s="92"/>
      <c r="E1431" s="96"/>
      <c r="F1431" s="97"/>
      <c r="G1431" s="94"/>
      <c r="H1431" s="96"/>
    </row>
    <row r="1432" spans="1:8" ht="15" x14ac:dyDescent="0.25">
      <c r="A1432" s="95"/>
      <c r="B1432" s="95"/>
      <c r="C1432" s="95"/>
      <c r="D1432" s="92"/>
      <c r="E1432" s="96"/>
      <c r="F1432" s="97"/>
      <c r="G1432" s="94"/>
      <c r="H1432" s="96"/>
    </row>
    <row r="1433" spans="1:8" ht="15" x14ac:dyDescent="0.25">
      <c r="A1433" s="95"/>
      <c r="B1433" s="95"/>
      <c r="C1433" s="95"/>
      <c r="D1433" s="92"/>
      <c r="E1433" s="96"/>
      <c r="F1433" s="97"/>
      <c r="G1433" s="94"/>
      <c r="H1433" s="96"/>
    </row>
    <row r="1434" spans="1:8" ht="15" x14ac:dyDescent="0.25">
      <c r="A1434" s="95"/>
      <c r="B1434" s="95"/>
      <c r="C1434" s="95"/>
      <c r="D1434" s="92"/>
      <c r="E1434" s="96"/>
      <c r="F1434" s="97"/>
      <c r="G1434" s="94"/>
      <c r="H1434" s="96"/>
    </row>
    <row r="1435" spans="1:8" ht="15" x14ac:dyDescent="0.25">
      <c r="A1435" s="95"/>
      <c r="B1435" s="95"/>
      <c r="C1435" s="95"/>
      <c r="D1435" s="92"/>
      <c r="E1435" s="96"/>
      <c r="F1435" s="97"/>
      <c r="G1435" s="94"/>
      <c r="H1435" s="96"/>
    </row>
    <row r="1436" spans="1:8" ht="15" x14ac:dyDescent="0.25">
      <c r="A1436" s="95"/>
      <c r="B1436" s="95"/>
      <c r="C1436" s="95"/>
      <c r="D1436" s="92"/>
      <c r="E1436" s="96"/>
      <c r="F1436" s="97"/>
      <c r="G1436" s="94"/>
      <c r="H1436" s="96"/>
    </row>
    <row r="1437" spans="1:8" ht="15" x14ac:dyDescent="0.25">
      <c r="A1437" s="95"/>
      <c r="B1437" s="95"/>
      <c r="C1437" s="95"/>
      <c r="D1437" s="92"/>
      <c r="E1437" s="96"/>
      <c r="F1437" s="97"/>
      <c r="G1437" s="94"/>
      <c r="H1437" s="96"/>
    </row>
    <row r="1438" spans="1:8" ht="15" x14ac:dyDescent="0.25">
      <c r="A1438" s="95"/>
      <c r="B1438" s="95"/>
      <c r="C1438" s="95"/>
      <c r="D1438" s="92"/>
      <c r="E1438" s="96"/>
      <c r="F1438" s="97"/>
      <c r="G1438" s="94"/>
      <c r="H1438" s="96"/>
    </row>
    <row r="1439" spans="1:8" ht="15" x14ac:dyDescent="0.25">
      <c r="A1439" s="95"/>
      <c r="B1439" s="95"/>
      <c r="C1439" s="95"/>
      <c r="D1439" s="92"/>
      <c r="E1439" s="96"/>
      <c r="F1439" s="97"/>
      <c r="G1439" s="94"/>
      <c r="H1439" s="96"/>
    </row>
    <row r="1440" spans="1:8" ht="15" x14ac:dyDescent="0.25">
      <c r="A1440" s="95"/>
      <c r="B1440" s="95"/>
      <c r="C1440" s="95"/>
      <c r="D1440" s="92"/>
      <c r="E1440" s="96"/>
      <c r="F1440" s="97"/>
      <c r="G1440" s="94"/>
      <c r="H1440" s="96"/>
    </row>
    <row r="1441" spans="1:8" ht="15" x14ac:dyDescent="0.25">
      <c r="A1441" s="95"/>
      <c r="B1441" s="95"/>
      <c r="C1441" s="95"/>
      <c r="D1441" s="92"/>
      <c r="E1441" s="96"/>
      <c r="F1441" s="97"/>
      <c r="G1441" s="94"/>
      <c r="H1441" s="96"/>
    </row>
    <row r="1442" spans="1:8" ht="15" x14ac:dyDescent="0.25">
      <c r="A1442" s="95"/>
      <c r="B1442" s="95"/>
      <c r="C1442" s="95"/>
      <c r="D1442" s="92"/>
      <c r="E1442" s="96"/>
      <c r="F1442" s="97"/>
      <c r="G1442" s="94"/>
      <c r="H1442" s="96"/>
    </row>
    <row r="1443" spans="1:8" ht="15" x14ac:dyDescent="0.25">
      <c r="A1443" s="95"/>
      <c r="B1443" s="95"/>
      <c r="C1443" s="95"/>
      <c r="D1443" s="92"/>
      <c r="E1443" s="96"/>
      <c r="F1443" s="97"/>
      <c r="G1443" s="94"/>
      <c r="H1443" s="96"/>
    </row>
    <row r="1444" spans="1:8" ht="15" x14ac:dyDescent="0.25">
      <c r="A1444" s="95"/>
      <c r="B1444" s="95"/>
      <c r="C1444" s="95"/>
      <c r="D1444" s="92"/>
      <c r="E1444" s="96"/>
      <c r="F1444" s="97"/>
      <c r="G1444" s="94"/>
      <c r="H1444" s="96"/>
    </row>
    <row r="1445" spans="1:8" ht="15" x14ac:dyDescent="0.25">
      <c r="A1445" s="95"/>
      <c r="B1445" s="95"/>
      <c r="C1445" s="95"/>
      <c r="D1445" s="92"/>
      <c r="E1445" s="96"/>
      <c r="F1445" s="97"/>
      <c r="G1445" s="94"/>
      <c r="H1445" s="96"/>
    </row>
    <row r="1446" spans="1:8" ht="15" x14ac:dyDescent="0.25">
      <c r="A1446" s="95"/>
      <c r="B1446" s="95"/>
      <c r="C1446" s="95"/>
      <c r="D1446" s="92"/>
      <c r="E1446" s="96"/>
      <c r="F1446" s="97"/>
      <c r="G1446" s="94"/>
      <c r="H1446" s="96"/>
    </row>
    <row r="1447" spans="1:8" ht="15" x14ac:dyDescent="0.25">
      <c r="A1447" s="95"/>
      <c r="B1447" s="95"/>
      <c r="C1447" s="95"/>
      <c r="D1447" s="92"/>
      <c r="E1447" s="96"/>
      <c r="F1447" s="97"/>
      <c r="G1447" s="94"/>
      <c r="H1447" s="96"/>
    </row>
    <row r="1448" spans="1:8" ht="15" x14ac:dyDescent="0.25">
      <c r="A1448" s="95"/>
      <c r="B1448" s="95"/>
      <c r="C1448" s="95"/>
      <c r="D1448" s="92"/>
      <c r="E1448" s="96"/>
      <c r="F1448" s="97"/>
      <c r="G1448" s="94"/>
      <c r="H1448" s="96"/>
    </row>
    <row r="1449" spans="1:8" ht="15" x14ac:dyDescent="0.25">
      <c r="A1449" s="95"/>
      <c r="B1449" s="95"/>
      <c r="C1449" s="95"/>
      <c r="D1449" s="92"/>
      <c r="E1449" s="96"/>
      <c r="F1449" s="97"/>
      <c r="G1449" s="94"/>
      <c r="H1449" s="96"/>
    </row>
    <row r="1450" spans="1:8" ht="15" x14ac:dyDescent="0.25">
      <c r="A1450" s="95"/>
      <c r="B1450" s="95"/>
      <c r="C1450" s="95"/>
      <c r="D1450" s="92"/>
      <c r="E1450" s="96"/>
      <c r="F1450" s="97"/>
      <c r="G1450" s="94"/>
      <c r="H1450" s="96"/>
    </row>
    <row r="1451" spans="1:8" ht="15" x14ac:dyDescent="0.25">
      <c r="A1451" s="95"/>
      <c r="B1451" s="95"/>
      <c r="C1451" s="95"/>
      <c r="D1451" s="92"/>
      <c r="E1451" s="96"/>
      <c r="F1451" s="97"/>
      <c r="G1451" s="94"/>
      <c r="H1451" s="96"/>
    </row>
    <row r="1452" spans="1:8" ht="15" x14ac:dyDescent="0.25">
      <c r="A1452" s="95"/>
      <c r="B1452" s="95"/>
      <c r="C1452" s="95"/>
      <c r="D1452" s="92"/>
      <c r="E1452" s="96"/>
      <c r="F1452" s="97"/>
      <c r="G1452" s="94"/>
      <c r="H1452" s="96"/>
    </row>
    <row r="1453" spans="1:8" ht="15" x14ac:dyDescent="0.25">
      <c r="A1453" s="95"/>
      <c r="B1453" s="95"/>
      <c r="C1453" s="95"/>
      <c r="D1453" s="92"/>
      <c r="E1453" s="96"/>
      <c r="F1453" s="97"/>
      <c r="G1453" s="94"/>
      <c r="H1453" s="96"/>
    </row>
    <row r="1454" spans="1:8" ht="15" x14ac:dyDescent="0.25">
      <c r="A1454" s="95"/>
      <c r="B1454" s="95"/>
      <c r="C1454" s="95"/>
      <c r="D1454" s="92"/>
      <c r="E1454" s="96"/>
      <c r="F1454" s="97"/>
      <c r="G1454" s="94"/>
      <c r="H1454" s="96"/>
    </row>
    <row r="1455" spans="1:8" ht="15" x14ac:dyDescent="0.25">
      <c r="A1455" s="95"/>
      <c r="B1455" s="95"/>
      <c r="C1455" s="95"/>
      <c r="D1455" s="92"/>
      <c r="E1455" s="96"/>
      <c r="F1455" s="97"/>
      <c r="G1455" s="94"/>
      <c r="H1455" s="96"/>
    </row>
    <row r="1456" spans="1:8" ht="15" x14ac:dyDescent="0.25">
      <c r="A1456" s="95"/>
      <c r="B1456" s="95"/>
      <c r="C1456" s="95"/>
      <c r="D1456" s="92"/>
      <c r="E1456" s="96"/>
      <c r="F1456" s="97"/>
      <c r="G1456" s="94"/>
      <c r="H1456" s="96"/>
    </row>
    <row r="1457" spans="1:8" ht="15" x14ac:dyDescent="0.25">
      <c r="A1457" s="95"/>
      <c r="B1457" s="95"/>
      <c r="C1457" s="95"/>
      <c r="D1457" s="92"/>
      <c r="E1457" s="96"/>
      <c r="F1457" s="97"/>
      <c r="G1457" s="94"/>
      <c r="H1457" s="96"/>
    </row>
    <row r="1458" spans="1:8" ht="15" x14ac:dyDescent="0.25">
      <c r="A1458" s="95"/>
      <c r="B1458" s="95"/>
      <c r="C1458" s="95"/>
      <c r="D1458" s="92"/>
      <c r="E1458" s="96"/>
      <c r="F1458" s="97"/>
      <c r="G1458" s="94"/>
      <c r="H1458" s="96"/>
    </row>
    <row r="1459" spans="1:8" ht="15" x14ac:dyDescent="0.25">
      <c r="A1459" s="95"/>
      <c r="B1459" s="95"/>
      <c r="C1459" s="95"/>
      <c r="D1459" s="92"/>
      <c r="E1459" s="96"/>
      <c r="F1459" s="97"/>
      <c r="G1459" s="94"/>
      <c r="H1459" s="96"/>
    </row>
    <row r="1460" spans="1:8" ht="15" x14ac:dyDescent="0.25">
      <c r="A1460" s="95"/>
      <c r="B1460" s="95"/>
      <c r="C1460" s="95"/>
      <c r="D1460" s="92"/>
      <c r="E1460" s="96"/>
      <c r="F1460" s="97"/>
      <c r="G1460" s="94"/>
      <c r="H1460" s="96"/>
    </row>
    <row r="1461" spans="1:8" ht="15" x14ac:dyDescent="0.25">
      <c r="A1461" s="95"/>
      <c r="B1461" s="95"/>
      <c r="C1461" s="95"/>
      <c r="D1461" s="92"/>
      <c r="E1461" s="96"/>
      <c r="F1461" s="97"/>
      <c r="G1461" s="94"/>
      <c r="H1461" s="96"/>
    </row>
    <row r="1462" spans="1:8" ht="15" x14ac:dyDescent="0.25">
      <c r="A1462" s="95"/>
      <c r="B1462" s="95"/>
      <c r="C1462" s="95"/>
      <c r="D1462" s="92"/>
      <c r="E1462" s="96"/>
      <c r="F1462" s="97"/>
      <c r="G1462" s="94"/>
      <c r="H1462" s="96"/>
    </row>
    <row r="1463" spans="1:8" ht="15" x14ac:dyDescent="0.25">
      <c r="A1463" s="95"/>
      <c r="B1463" s="95"/>
      <c r="C1463" s="95"/>
      <c r="D1463" s="92"/>
      <c r="E1463" s="96"/>
      <c r="F1463" s="97"/>
      <c r="G1463" s="94"/>
      <c r="H1463" s="96"/>
    </row>
    <row r="1464" spans="1:8" ht="15" x14ac:dyDescent="0.25">
      <c r="A1464" s="95"/>
      <c r="B1464" s="95"/>
      <c r="C1464" s="95"/>
      <c r="D1464" s="92"/>
      <c r="E1464" s="96"/>
      <c r="F1464" s="97"/>
      <c r="G1464" s="94"/>
      <c r="H1464" s="96"/>
    </row>
    <row r="1465" spans="1:8" ht="15" x14ac:dyDescent="0.25">
      <c r="A1465" s="95"/>
      <c r="B1465" s="95"/>
      <c r="C1465" s="95"/>
      <c r="D1465" s="92"/>
      <c r="E1465" s="96"/>
      <c r="F1465" s="97"/>
      <c r="G1465" s="94"/>
      <c r="H1465" s="96"/>
    </row>
    <row r="1466" spans="1:8" ht="15" x14ac:dyDescent="0.25">
      <c r="A1466" s="95"/>
      <c r="B1466" s="95"/>
      <c r="C1466" s="95"/>
      <c r="D1466" s="92"/>
      <c r="E1466" s="96"/>
      <c r="F1466" s="97"/>
      <c r="G1466" s="94"/>
      <c r="H1466" s="96"/>
    </row>
    <row r="1467" spans="1:8" ht="15" x14ac:dyDescent="0.25">
      <c r="A1467" s="95"/>
      <c r="B1467" s="95"/>
      <c r="C1467" s="95"/>
      <c r="D1467" s="92"/>
      <c r="E1467" s="96"/>
      <c r="F1467" s="97"/>
      <c r="G1467" s="94"/>
      <c r="H1467" s="96"/>
    </row>
    <row r="1468" spans="1:8" ht="15" x14ac:dyDescent="0.25">
      <c r="A1468" s="95"/>
      <c r="B1468" s="95"/>
      <c r="C1468" s="95"/>
      <c r="D1468" s="92"/>
      <c r="E1468" s="96"/>
      <c r="F1468" s="97"/>
      <c r="G1468" s="94"/>
      <c r="H1468" s="96"/>
    </row>
    <row r="1469" spans="1:8" ht="15" x14ac:dyDescent="0.25">
      <c r="A1469" s="95"/>
      <c r="B1469" s="95"/>
      <c r="C1469" s="95"/>
      <c r="D1469" s="92"/>
      <c r="E1469" s="96"/>
      <c r="F1469" s="97"/>
      <c r="G1469" s="94"/>
      <c r="H1469" s="96"/>
    </row>
    <row r="1470" spans="1:8" ht="15" x14ac:dyDescent="0.25">
      <c r="A1470" s="95"/>
      <c r="B1470" s="95"/>
      <c r="C1470" s="95"/>
      <c r="D1470" s="92"/>
      <c r="E1470" s="96"/>
      <c r="F1470" s="97"/>
      <c r="G1470" s="94"/>
      <c r="H1470" s="96"/>
    </row>
    <row r="1471" spans="1:8" ht="15" x14ac:dyDescent="0.25">
      <c r="A1471" s="95"/>
      <c r="B1471" s="95"/>
      <c r="C1471" s="95"/>
      <c r="D1471" s="92"/>
      <c r="E1471" s="96"/>
      <c r="F1471" s="97"/>
      <c r="G1471" s="94"/>
      <c r="H1471" s="96"/>
    </row>
    <row r="1472" spans="1:8" ht="15" x14ac:dyDescent="0.25">
      <c r="A1472" s="95"/>
      <c r="B1472" s="95"/>
      <c r="C1472" s="95"/>
      <c r="D1472" s="92"/>
      <c r="E1472" s="96"/>
      <c r="F1472" s="97"/>
      <c r="G1472" s="94"/>
      <c r="H1472" s="96"/>
    </row>
    <row r="1473" spans="1:8" ht="15" x14ac:dyDescent="0.25">
      <c r="A1473" s="95"/>
      <c r="B1473" s="95"/>
      <c r="C1473" s="95"/>
      <c r="D1473" s="92"/>
      <c r="E1473" s="96"/>
      <c r="F1473" s="97"/>
      <c r="G1473" s="94"/>
      <c r="H1473" s="96"/>
    </row>
    <row r="1474" spans="1:8" ht="15" x14ac:dyDescent="0.25">
      <c r="A1474" s="95"/>
      <c r="B1474" s="95"/>
      <c r="C1474" s="95"/>
      <c r="D1474" s="92"/>
      <c r="E1474" s="96"/>
      <c r="F1474" s="97"/>
      <c r="G1474" s="94"/>
      <c r="H1474" s="96"/>
    </row>
    <row r="1475" spans="1:8" ht="15" x14ac:dyDescent="0.25">
      <c r="A1475" s="95"/>
      <c r="B1475" s="95"/>
      <c r="C1475" s="95"/>
      <c r="D1475" s="92"/>
      <c r="E1475" s="96"/>
      <c r="F1475" s="97"/>
      <c r="G1475" s="94"/>
      <c r="H1475" s="96"/>
    </row>
    <row r="1476" spans="1:8" ht="15" x14ac:dyDescent="0.25">
      <c r="A1476" s="95"/>
      <c r="B1476" s="95"/>
      <c r="C1476" s="95"/>
      <c r="D1476" s="92"/>
      <c r="E1476" s="96"/>
      <c r="F1476" s="97"/>
      <c r="G1476" s="94"/>
      <c r="H1476" s="96"/>
    </row>
    <row r="1477" spans="1:8" ht="15" x14ac:dyDescent="0.25">
      <c r="A1477" s="95"/>
      <c r="B1477" s="95"/>
      <c r="C1477" s="95"/>
      <c r="D1477" s="92"/>
      <c r="E1477" s="96"/>
      <c r="F1477" s="97"/>
      <c r="G1477" s="94"/>
      <c r="H1477" s="96"/>
    </row>
    <row r="1478" spans="1:8" ht="15" x14ac:dyDescent="0.25">
      <c r="A1478" s="95"/>
      <c r="B1478" s="95"/>
      <c r="C1478" s="95"/>
      <c r="D1478" s="92"/>
      <c r="E1478" s="96"/>
      <c r="F1478" s="97"/>
      <c r="G1478" s="94"/>
      <c r="H1478" s="96"/>
    </row>
    <row r="1479" spans="1:8" ht="15" x14ac:dyDescent="0.25">
      <c r="A1479" s="95"/>
      <c r="B1479" s="95"/>
      <c r="C1479" s="95"/>
      <c r="D1479" s="92"/>
      <c r="E1479" s="96"/>
      <c r="F1479" s="97"/>
      <c r="G1479" s="94"/>
      <c r="H1479" s="96"/>
    </row>
    <row r="1480" spans="1:8" ht="15" x14ac:dyDescent="0.25">
      <c r="A1480" s="95"/>
      <c r="B1480" s="95"/>
      <c r="C1480" s="95"/>
      <c r="D1480" s="92"/>
      <c r="E1480" s="96"/>
      <c r="F1480" s="97"/>
      <c r="G1480" s="94"/>
      <c r="H1480" s="96"/>
    </row>
    <row r="1481" spans="1:8" ht="15" x14ac:dyDescent="0.25">
      <c r="A1481" s="95"/>
      <c r="B1481" s="95"/>
      <c r="C1481" s="95"/>
      <c r="D1481" s="92"/>
      <c r="E1481" s="96"/>
      <c r="F1481" s="97"/>
      <c r="G1481" s="94"/>
      <c r="H1481" s="96"/>
    </row>
    <row r="1482" spans="1:8" ht="15" x14ac:dyDescent="0.25">
      <c r="A1482" s="95"/>
      <c r="B1482" s="95"/>
      <c r="C1482" s="95"/>
      <c r="D1482" s="92"/>
      <c r="E1482" s="96"/>
      <c r="F1482" s="97"/>
      <c r="G1482" s="94"/>
      <c r="H1482" s="96"/>
    </row>
    <row r="1483" spans="1:8" ht="15" x14ac:dyDescent="0.25">
      <c r="A1483" s="95"/>
      <c r="B1483" s="95"/>
      <c r="C1483" s="95"/>
      <c r="D1483" s="92"/>
      <c r="E1483" s="96"/>
      <c r="F1483" s="97"/>
      <c r="G1483" s="94"/>
      <c r="H1483" s="96"/>
    </row>
    <row r="1484" spans="1:8" ht="15" x14ac:dyDescent="0.25">
      <c r="A1484" s="95"/>
      <c r="B1484" s="95"/>
      <c r="C1484" s="95"/>
      <c r="D1484" s="92"/>
      <c r="E1484" s="96"/>
      <c r="F1484" s="97"/>
      <c r="G1484" s="94"/>
      <c r="H1484" s="96"/>
    </row>
    <row r="1485" spans="1:8" ht="15" x14ac:dyDescent="0.25">
      <c r="A1485" s="95"/>
      <c r="B1485" s="95"/>
      <c r="C1485" s="95"/>
      <c r="D1485" s="92"/>
      <c r="E1485" s="96"/>
      <c r="F1485" s="97"/>
      <c r="G1485" s="94"/>
      <c r="H1485" s="96"/>
    </row>
    <row r="1486" spans="1:8" ht="15" x14ac:dyDescent="0.25">
      <c r="A1486" s="95"/>
      <c r="B1486" s="95"/>
      <c r="C1486" s="95"/>
      <c r="D1486" s="92"/>
      <c r="E1486" s="96"/>
      <c r="F1486" s="97"/>
      <c r="G1486" s="94"/>
      <c r="H1486" s="96"/>
    </row>
    <row r="1487" spans="1:8" ht="15" x14ac:dyDescent="0.25">
      <c r="A1487" s="95"/>
      <c r="B1487" s="95"/>
      <c r="C1487" s="95"/>
      <c r="D1487" s="92"/>
      <c r="E1487" s="96"/>
      <c r="F1487" s="97"/>
      <c r="G1487" s="94"/>
      <c r="H1487" s="96"/>
    </row>
    <row r="1488" spans="1:8" ht="15" x14ac:dyDescent="0.25">
      <c r="A1488" s="95"/>
      <c r="B1488" s="95"/>
      <c r="C1488" s="95"/>
      <c r="D1488" s="92"/>
      <c r="E1488" s="96"/>
      <c r="F1488" s="97"/>
      <c r="G1488" s="94"/>
      <c r="H1488" s="96"/>
    </row>
    <row r="1489" spans="1:8" ht="15" x14ac:dyDescent="0.25">
      <c r="A1489" s="95"/>
      <c r="B1489" s="95"/>
      <c r="C1489" s="95"/>
      <c r="D1489" s="92"/>
      <c r="E1489" s="96"/>
      <c r="F1489" s="97"/>
      <c r="G1489" s="94"/>
      <c r="H1489" s="96"/>
    </row>
    <row r="1490" spans="1:8" ht="15" x14ac:dyDescent="0.25">
      <c r="A1490" s="95"/>
      <c r="B1490" s="95"/>
      <c r="C1490" s="95"/>
      <c r="D1490" s="92"/>
      <c r="E1490" s="96"/>
      <c r="F1490" s="97"/>
      <c r="G1490" s="94"/>
      <c r="H1490" s="96"/>
    </row>
    <row r="1491" spans="1:8" ht="15" x14ac:dyDescent="0.25">
      <c r="A1491" s="95"/>
      <c r="B1491" s="95"/>
      <c r="C1491" s="95"/>
      <c r="D1491" s="92"/>
      <c r="E1491" s="96"/>
      <c r="F1491" s="97"/>
      <c r="G1491" s="94"/>
      <c r="H1491" s="96"/>
    </row>
    <row r="1492" spans="1:8" ht="15" x14ac:dyDescent="0.25">
      <c r="A1492" s="95"/>
      <c r="B1492" s="95"/>
      <c r="C1492" s="95"/>
      <c r="D1492" s="92"/>
      <c r="E1492" s="96"/>
      <c r="F1492" s="97"/>
      <c r="G1492" s="94"/>
      <c r="H1492" s="96"/>
    </row>
    <row r="1493" spans="1:8" ht="15" x14ac:dyDescent="0.25">
      <c r="A1493" s="95"/>
      <c r="B1493" s="95"/>
      <c r="C1493" s="95"/>
      <c r="D1493" s="92"/>
      <c r="E1493" s="96"/>
      <c r="F1493" s="97"/>
      <c r="G1493" s="94"/>
      <c r="H1493" s="96"/>
    </row>
    <row r="1494" spans="1:8" ht="15" x14ac:dyDescent="0.25">
      <c r="A1494" s="95"/>
      <c r="B1494" s="95"/>
      <c r="C1494" s="95"/>
      <c r="D1494" s="92"/>
      <c r="E1494" s="96"/>
      <c r="F1494" s="97"/>
      <c r="G1494" s="94"/>
      <c r="H1494" s="96"/>
    </row>
    <row r="1495" spans="1:8" ht="15" x14ac:dyDescent="0.25">
      <c r="A1495" s="95"/>
      <c r="B1495" s="95"/>
      <c r="C1495" s="95"/>
      <c r="D1495" s="92"/>
      <c r="E1495" s="96"/>
      <c r="F1495" s="97"/>
      <c r="G1495" s="94"/>
      <c r="H1495" s="96"/>
    </row>
    <row r="1496" spans="1:8" ht="15" x14ac:dyDescent="0.25">
      <c r="A1496" s="95"/>
      <c r="B1496" s="95"/>
      <c r="C1496" s="95"/>
      <c r="D1496" s="92"/>
      <c r="E1496" s="96"/>
      <c r="F1496" s="97"/>
      <c r="G1496" s="94"/>
      <c r="H1496" s="96"/>
    </row>
    <row r="1497" spans="1:8" ht="15" x14ac:dyDescent="0.25">
      <c r="A1497" s="95"/>
      <c r="B1497" s="95"/>
      <c r="C1497" s="95"/>
      <c r="D1497" s="92"/>
      <c r="E1497" s="96"/>
      <c r="F1497" s="97"/>
      <c r="G1497" s="94"/>
      <c r="H1497" s="96"/>
    </row>
    <row r="1498" spans="1:8" ht="15" x14ac:dyDescent="0.25">
      <c r="A1498" s="95"/>
      <c r="B1498" s="95"/>
      <c r="C1498" s="95"/>
      <c r="D1498" s="92"/>
      <c r="E1498" s="96"/>
      <c r="F1498" s="97"/>
      <c r="G1498" s="94"/>
      <c r="H1498" s="96"/>
    </row>
    <row r="1499" spans="1:8" ht="15" x14ac:dyDescent="0.25">
      <c r="A1499" s="95"/>
      <c r="B1499" s="95"/>
      <c r="C1499" s="95"/>
      <c r="D1499" s="92"/>
      <c r="E1499" s="96"/>
      <c r="F1499" s="97"/>
      <c r="G1499" s="94"/>
      <c r="H1499" s="96"/>
    </row>
    <row r="1500" spans="1:8" ht="15" x14ac:dyDescent="0.25">
      <c r="A1500" s="95"/>
      <c r="B1500" s="95"/>
      <c r="C1500" s="95"/>
      <c r="D1500" s="92"/>
      <c r="E1500" s="96"/>
      <c r="F1500" s="97"/>
      <c r="G1500" s="94"/>
      <c r="H1500" s="96"/>
    </row>
    <row r="1501" spans="1:8" ht="15" x14ac:dyDescent="0.25">
      <c r="A1501" s="95"/>
      <c r="B1501" s="95"/>
      <c r="C1501" s="95"/>
      <c r="D1501" s="92"/>
      <c r="E1501" s="96"/>
      <c r="F1501" s="97"/>
      <c r="G1501" s="94"/>
      <c r="H1501" s="96"/>
    </row>
    <row r="1502" spans="1:8" ht="15" x14ac:dyDescent="0.25">
      <c r="A1502" s="95"/>
      <c r="B1502" s="95"/>
      <c r="C1502" s="95"/>
      <c r="D1502" s="92"/>
      <c r="E1502" s="96"/>
      <c r="F1502" s="97"/>
      <c r="G1502" s="94"/>
      <c r="H1502" s="96"/>
    </row>
    <row r="1503" spans="1:8" ht="15" x14ac:dyDescent="0.25">
      <c r="A1503" s="95"/>
      <c r="B1503" s="95"/>
      <c r="C1503" s="95"/>
      <c r="D1503" s="92"/>
      <c r="E1503" s="96"/>
      <c r="F1503" s="97"/>
      <c r="G1503" s="94"/>
      <c r="H1503" s="96"/>
    </row>
    <row r="1504" spans="1:8" ht="15" x14ac:dyDescent="0.25">
      <c r="A1504" s="95"/>
      <c r="B1504" s="95"/>
      <c r="C1504" s="95"/>
      <c r="D1504" s="92"/>
      <c r="E1504" s="96"/>
      <c r="F1504" s="97"/>
      <c r="G1504" s="94"/>
      <c r="H1504" s="96"/>
    </row>
    <row r="1505" spans="1:8" ht="15" x14ac:dyDescent="0.25">
      <c r="A1505" s="95"/>
      <c r="B1505" s="95"/>
      <c r="C1505" s="95"/>
      <c r="D1505" s="92"/>
      <c r="E1505" s="96"/>
      <c r="F1505" s="97"/>
      <c r="G1505" s="94"/>
      <c r="H1505" s="96"/>
    </row>
    <row r="1506" spans="1:8" ht="15" x14ac:dyDescent="0.25">
      <c r="A1506" s="95"/>
      <c r="B1506" s="95"/>
      <c r="C1506" s="95"/>
      <c r="D1506" s="92"/>
      <c r="E1506" s="96"/>
      <c r="F1506" s="97"/>
      <c r="G1506" s="94"/>
      <c r="H1506" s="96"/>
    </row>
    <row r="1507" spans="1:8" ht="15" x14ac:dyDescent="0.25">
      <c r="A1507" s="95"/>
      <c r="B1507" s="95"/>
      <c r="C1507" s="95"/>
      <c r="D1507" s="92"/>
      <c r="E1507" s="96"/>
      <c r="F1507" s="97"/>
      <c r="G1507" s="94"/>
      <c r="H1507" s="96"/>
    </row>
    <row r="1508" spans="1:8" ht="15" x14ac:dyDescent="0.25">
      <c r="A1508" s="95"/>
      <c r="B1508" s="95"/>
      <c r="C1508" s="95"/>
      <c r="D1508" s="92"/>
      <c r="E1508" s="96"/>
      <c r="F1508" s="97"/>
      <c r="G1508" s="94"/>
      <c r="H1508" s="96"/>
    </row>
    <row r="1509" spans="1:8" ht="15" x14ac:dyDescent="0.25">
      <c r="A1509" s="95"/>
      <c r="B1509" s="95"/>
      <c r="C1509" s="95"/>
      <c r="D1509" s="92"/>
      <c r="E1509" s="96"/>
      <c r="F1509" s="97"/>
      <c r="G1509" s="94"/>
      <c r="H1509" s="96"/>
    </row>
    <row r="1510" spans="1:8" ht="15" x14ac:dyDescent="0.25">
      <c r="A1510" s="95"/>
      <c r="B1510" s="95"/>
      <c r="C1510" s="95"/>
      <c r="D1510" s="92"/>
      <c r="E1510" s="96"/>
      <c r="F1510" s="97"/>
      <c r="G1510" s="94"/>
      <c r="H1510" s="96"/>
    </row>
    <row r="1511" spans="1:8" ht="15" x14ac:dyDescent="0.25">
      <c r="A1511" s="95"/>
      <c r="B1511" s="95"/>
      <c r="C1511" s="95"/>
      <c r="D1511" s="92"/>
      <c r="E1511" s="96"/>
      <c r="F1511" s="97"/>
      <c r="G1511" s="94"/>
      <c r="H1511" s="96"/>
    </row>
    <row r="1512" spans="1:8" ht="15" x14ac:dyDescent="0.25">
      <c r="A1512" s="95"/>
      <c r="B1512" s="95"/>
      <c r="C1512" s="95"/>
      <c r="D1512" s="92"/>
      <c r="E1512" s="96"/>
      <c r="F1512" s="97"/>
      <c r="G1512" s="94"/>
      <c r="H1512" s="96"/>
    </row>
    <row r="1513" spans="1:8" ht="15" x14ac:dyDescent="0.25">
      <c r="A1513" s="95"/>
      <c r="B1513" s="95"/>
      <c r="C1513" s="95"/>
      <c r="D1513" s="92"/>
      <c r="E1513" s="96"/>
      <c r="F1513" s="97"/>
      <c r="G1513" s="94"/>
      <c r="H1513" s="96"/>
    </row>
    <row r="1514" spans="1:8" ht="15" x14ac:dyDescent="0.25">
      <c r="A1514" s="95"/>
      <c r="B1514" s="95"/>
      <c r="C1514" s="95"/>
      <c r="D1514" s="92"/>
      <c r="E1514" s="96"/>
      <c r="F1514" s="97"/>
      <c r="G1514" s="94"/>
      <c r="H1514" s="96"/>
    </row>
    <row r="1515" spans="1:8" ht="15" x14ac:dyDescent="0.25">
      <c r="A1515" s="95"/>
      <c r="B1515" s="95"/>
      <c r="C1515" s="95"/>
      <c r="D1515" s="92"/>
      <c r="E1515" s="96"/>
      <c r="F1515" s="97"/>
      <c r="G1515" s="94"/>
      <c r="H1515" s="96"/>
    </row>
    <row r="1516" spans="1:8" ht="15" x14ac:dyDescent="0.25">
      <c r="A1516" s="95"/>
      <c r="B1516" s="95"/>
      <c r="C1516" s="95"/>
      <c r="D1516" s="92"/>
      <c r="E1516" s="96"/>
      <c r="F1516" s="97"/>
      <c r="G1516" s="94"/>
      <c r="H1516" s="96"/>
    </row>
    <row r="1517" spans="1:8" ht="15" x14ac:dyDescent="0.25">
      <c r="A1517" s="95"/>
      <c r="B1517" s="95"/>
      <c r="C1517" s="95"/>
      <c r="D1517" s="92"/>
      <c r="E1517" s="96"/>
      <c r="F1517" s="97"/>
      <c r="G1517" s="94"/>
      <c r="H1517" s="96"/>
    </row>
    <row r="1518" spans="1:8" ht="15" x14ac:dyDescent="0.25">
      <c r="A1518" s="95"/>
      <c r="B1518" s="95"/>
      <c r="C1518" s="95"/>
      <c r="D1518" s="92"/>
      <c r="E1518" s="96"/>
      <c r="F1518" s="97"/>
      <c r="G1518" s="94"/>
      <c r="H1518" s="96"/>
    </row>
    <row r="1519" spans="1:8" ht="15" x14ac:dyDescent="0.25">
      <c r="A1519" s="95"/>
      <c r="B1519" s="95"/>
      <c r="C1519" s="95"/>
      <c r="D1519" s="92"/>
      <c r="E1519" s="96"/>
      <c r="F1519" s="97"/>
      <c r="G1519" s="94"/>
      <c r="H1519" s="96"/>
    </row>
    <row r="1520" spans="1:8" ht="15" x14ac:dyDescent="0.25">
      <c r="A1520" s="95"/>
      <c r="B1520" s="95"/>
      <c r="C1520" s="95"/>
      <c r="D1520" s="92"/>
      <c r="E1520" s="96"/>
      <c r="F1520" s="97"/>
      <c r="G1520" s="94"/>
      <c r="H1520" s="96"/>
    </row>
    <row r="1521" spans="1:8" ht="15" x14ac:dyDescent="0.25">
      <c r="A1521" s="95"/>
      <c r="B1521" s="95"/>
      <c r="C1521" s="95"/>
      <c r="D1521" s="92"/>
      <c r="E1521" s="96"/>
      <c r="F1521" s="97"/>
      <c r="G1521" s="94"/>
      <c r="H1521" s="96"/>
    </row>
    <row r="1522" spans="1:8" ht="15" x14ac:dyDescent="0.25">
      <c r="A1522" s="95"/>
      <c r="B1522" s="95"/>
      <c r="C1522" s="95"/>
      <c r="D1522" s="92"/>
      <c r="E1522" s="96"/>
      <c r="F1522" s="97"/>
      <c r="G1522" s="94"/>
      <c r="H1522" s="96"/>
    </row>
    <row r="1523" spans="1:8" ht="15" x14ac:dyDescent="0.25">
      <c r="A1523" s="95"/>
      <c r="B1523" s="95"/>
      <c r="C1523" s="95"/>
      <c r="D1523" s="92"/>
      <c r="E1523" s="96"/>
      <c r="F1523" s="97"/>
      <c r="G1523" s="94"/>
      <c r="H1523" s="96"/>
    </row>
    <row r="1524" spans="1:8" ht="15" x14ac:dyDescent="0.25">
      <c r="A1524" s="95"/>
      <c r="B1524" s="95"/>
      <c r="C1524" s="95"/>
      <c r="D1524" s="92"/>
      <c r="E1524" s="96"/>
      <c r="F1524" s="97"/>
      <c r="G1524" s="94"/>
      <c r="H1524" s="96"/>
    </row>
    <row r="1525" spans="1:8" ht="15" x14ac:dyDescent="0.25">
      <c r="A1525" s="95"/>
      <c r="B1525" s="95"/>
      <c r="C1525" s="95"/>
      <c r="D1525" s="92"/>
      <c r="E1525" s="96"/>
      <c r="F1525" s="97"/>
      <c r="G1525" s="94"/>
      <c r="H1525" s="96"/>
    </row>
    <row r="1526" spans="1:8" ht="15" x14ac:dyDescent="0.25">
      <c r="A1526" s="95"/>
      <c r="B1526" s="95"/>
      <c r="C1526" s="95"/>
      <c r="D1526" s="92"/>
      <c r="E1526" s="96"/>
      <c r="F1526" s="97"/>
      <c r="G1526" s="94"/>
      <c r="H1526" s="96"/>
    </row>
    <row r="1527" spans="1:8" ht="15" x14ac:dyDescent="0.25">
      <c r="A1527" s="95"/>
      <c r="B1527" s="95"/>
      <c r="C1527" s="95"/>
      <c r="D1527" s="92"/>
      <c r="E1527" s="96"/>
      <c r="F1527" s="97"/>
      <c r="G1527" s="94"/>
      <c r="H1527" s="96"/>
    </row>
    <row r="1528" spans="1:8" ht="15" x14ac:dyDescent="0.25">
      <c r="A1528" s="95"/>
      <c r="B1528" s="95"/>
      <c r="C1528" s="95"/>
      <c r="D1528" s="92"/>
      <c r="E1528" s="96"/>
      <c r="F1528" s="97"/>
      <c r="G1528" s="94"/>
      <c r="H1528" s="96"/>
    </row>
    <row r="1529" spans="1:8" ht="15" x14ac:dyDescent="0.25">
      <c r="A1529" s="95"/>
      <c r="B1529" s="95"/>
      <c r="C1529" s="95"/>
      <c r="D1529" s="92"/>
      <c r="E1529" s="96"/>
      <c r="F1529" s="97"/>
      <c r="G1529" s="94"/>
      <c r="H1529" s="96"/>
    </row>
    <row r="1530" spans="1:8" ht="15" x14ac:dyDescent="0.25">
      <c r="A1530" s="95"/>
      <c r="B1530" s="95"/>
      <c r="C1530" s="95"/>
      <c r="D1530" s="92"/>
      <c r="E1530" s="96"/>
      <c r="F1530" s="97"/>
      <c r="G1530" s="94"/>
      <c r="H1530" s="96"/>
    </row>
    <row r="1531" spans="1:8" ht="15" x14ac:dyDescent="0.25">
      <c r="A1531" s="95"/>
      <c r="B1531" s="95"/>
      <c r="C1531" s="95"/>
      <c r="D1531" s="92"/>
      <c r="E1531" s="96"/>
      <c r="F1531" s="97"/>
      <c r="G1531" s="94"/>
      <c r="H1531" s="96"/>
    </row>
    <row r="1532" spans="1:8" ht="15" x14ac:dyDescent="0.25">
      <c r="A1532" s="95"/>
      <c r="B1532" s="95"/>
      <c r="C1532" s="95"/>
      <c r="D1532" s="92"/>
      <c r="E1532" s="96"/>
      <c r="F1532" s="97"/>
      <c r="G1532" s="94"/>
      <c r="H1532" s="96"/>
    </row>
    <row r="1533" spans="1:8" ht="15" x14ac:dyDescent="0.25">
      <c r="A1533" s="95"/>
      <c r="B1533" s="95"/>
      <c r="C1533" s="95"/>
      <c r="D1533" s="92"/>
      <c r="E1533" s="96"/>
      <c r="F1533" s="97"/>
      <c r="G1533" s="94"/>
      <c r="H1533" s="96"/>
    </row>
    <row r="1534" spans="1:8" ht="15" x14ac:dyDescent="0.25">
      <c r="A1534" s="95"/>
      <c r="B1534" s="95"/>
      <c r="C1534" s="95"/>
      <c r="D1534" s="92"/>
      <c r="E1534" s="96"/>
      <c r="F1534" s="97"/>
      <c r="G1534" s="94"/>
      <c r="H1534" s="96"/>
    </row>
    <row r="1535" spans="1:8" ht="15" x14ac:dyDescent="0.25">
      <c r="A1535" s="95"/>
      <c r="B1535" s="95"/>
      <c r="C1535" s="95"/>
      <c r="D1535" s="92"/>
      <c r="E1535" s="96"/>
      <c r="F1535" s="97"/>
      <c r="G1535" s="94"/>
      <c r="H1535" s="96"/>
    </row>
    <row r="1536" spans="1:8" ht="15" x14ac:dyDescent="0.25">
      <c r="A1536" s="95"/>
      <c r="B1536" s="95"/>
      <c r="C1536" s="95"/>
      <c r="D1536" s="92"/>
      <c r="E1536" s="96"/>
      <c r="F1536" s="97"/>
      <c r="G1536" s="94"/>
      <c r="H1536" s="96"/>
    </row>
    <row r="1537" spans="1:8" ht="15" x14ac:dyDescent="0.25">
      <c r="A1537" s="95"/>
      <c r="B1537" s="95"/>
      <c r="C1537" s="95"/>
      <c r="D1537" s="92"/>
      <c r="E1537" s="96"/>
      <c r="F1537" s="97"/>
      <c r="G1537" s="94"/>
      <c r="H1537" s="96"/>
    </row>
    <row r="1538" spans="1:8" ht="15" x14ac:dyDescent="0.25">
      <c r="A1538" s="95"/>
      <c r="B1538" s="95"/>
      <c r="C1538" s="95"/>
      <c r="D1538" s="92"/>
      <c r="E1538" s="96"/>
      <c r="F1538" s="97"/>
      <c r="G1538" s="94"/>
      <c r="H1538" s="96"/>
    </row>
    <row r="1539" spans="1:8" ht="15" x14ac:dyDescent="0.25">
      <c r="A1539" s="95"/>
      <c r="B1539" s="95"/>
      <c r="C1539" s="95"/>
      <c r="D1539" s="92"/>
      <c r="E1539" s="96"/>
      <c r="F1539" s="97"/>
      <c r="G1539" s="94"/>
      <c r="H1539" s="96"/>
    </row>
    <row r="1540" spans="1:8" ht="15" x14ac:dyDescent="0.25">
      <c r="A1540" s="95"/>
      <c r="B1540" s="95"/>
      <c r="C1540" s="95"/>
      <c r="D1540" s="92"/>
      <c r="E1540" s="96"/>
      <c r="F1540" s="97"/>
      <c r="G1540" s="94"/>
      <c r="H1540" s="96"/>
    </row>
    <row r="1541" spans="1:8" ht="15" x14ac:dyDescent="0.25">
      <c r="A1541" s="95"/>
      <c r="B1541" s="95"/>
      <c r="C1541" s="95"/>
      <c r="D1541" s="92"/>
      <c r="E1541" s="96"/>
      <c r="F1541" s="97"/>
      <c r="G1541" s="94"/>
      <c r="H1541" s="96"/>
    </row>
    <row r="1542" spans="1:8" ht="15" x14ac:dyDescent="0.25">
      <c r="A1542" s="95"/>
      <c r="B1542" s="95"/>
      <c r="C1542" s="95"/>
      <c r="D1542" s="92"/>
      <c r="E1542" s="96"/>
      <c r="F1542" s="97"/>
      <c r="G1542" s="94"/>
      <c r="H1542" s="96"/>
    </row>
    <row r="1543" spans="1:8" ht="15" x14ac:dyDescent="0.25">
      <c r="A1543" s="95"/>
      <c r="B1543" s="95"/>
      <c r="C1543" s="95"/>
      <c r="D1543" s="92"/>
      <c r="E1543" s="96"/>
      <c r="F1543" s="97"/>
      <c r="G1543" s="94"/>
      <c r="H1543" s="96"/>
    </row>
    <row r="1544" spans="1:8" ht="15" x14ac:dyDescent="0.25">
      <c r="A1544" s="95"/>
      <c r="B1544" s="95"/>
      <c r="C1544" s="95"/>
      <c r="D1544" s="92"/>
      <c r="E1544" s="96"/>
      <c r="F1544" s="97"/>
      <c r="G1544" s="94"/>
      <c r="H1544" s="96"/>
    </row>
    <row r="1545" spans="1:8" ht="15" x14ac:dyDescent="0.25">
      <c r="A1545" s="95"/>
      <c r="B1545" s="95"/>
      <c r="C1545" s="95"/>
      <c r="D1545" s="92"/>
      <c r="E1545" s="96"/>
      <c r="F1545" s="97"/>
      <c r="G1545" s="94"/>
      <c r="H1545" s="96"/>
    </row>
    <row r="1546" spans="1:8" ht="15" x14ac:dyDescent="0.25">
      <c r="A1546" s="95"/>
      <c r="B1546" s="95"/>
      <c r="C1546" s="95"/>
      <c r="D1546" s="92"/>
      <c r="E1546" s="96"/>
      <c r="F1546" s="97"/>
      <c r="G1546" s="94"/>
      <c r="H1546" s="96"/>
    </row>
    <row r="1547" spans="1:8" ht="15" x14ac:dyDescent="0.25">
      <c r="A1547" s="95"/>
      <c r="B1547" s="95"/>
      <c r="C1547" s="95"/>
      <c r="D1547" s="92"/>
      <c r="E1547" s="96"/>
      <c r="F1547" s="97"/>
      <c r="G1547" s="94"/>
      <c r="H1547" s="96"/>
    </row>
    <row r="1548" spans="1:8" ht="15" x14ac:dyDescent="0.25">
      <c r="A1548" s="95"/>
      <c r="B1548" s="95"/>
      <c r="C1548" s="95"/>
      <c r="D1548" s="92"/>
      <c r="E1548" s="96"/>
      <c r="F1548" s="97"/>
      <c r="G1548" s="94"/>
      <c r="H1548" s="96"/>
    </row>
    <row r="1549" spans="1:8" ht="15" x14ac:dyDescent="0.25">
      <c r="A1549" s="95"/>
      <c r="B1549" s="95"/>
      <c r="C1549" s="95"/>
      <c r="D1549" s="92"/>
      <c r="E1549" s="96"/>
      <c r="F1549" s="97"/>
      <c r="G1549" s="94"/>
      <c r="H1549" s="96"/>
    </row>
    <row r="1550" spans="1:8" ht="15" x14ac:dyDescent="0.25">
      <c r="A1550" s="95"/>
      <c r="B1550" s="95"/>
      <c r="C1550" s="95"/>
      <c r="D1550" s="92"/>
      <c r="E1550" s="96"/>
      <c r="F1550" s="97"/>
      <c r="G1550" s="94"/>
      <c r="H1550" s="96"/>
    </row>
    <row r="1551" spans="1:8" ht="15" x14ac:dyDescent="0.25">
      <c r="A1551" s="95"/>
      <c r="B1551" s="95"/>
      <c r="C1551" s="95"/>
      <c r="D1551" s="92"/>
      <c r="E1551" s="96"/>
      <c r="F1551" s="97"/>
      <c r="G1551" s="94"/>
      <c r="H1551" s="96"/>
    </row>
    <row r="1552" spans="1:8" ht="15" x14ac:dyDescent="0.25">
      <c r="A1552" s="95"/>
      <c r="B1552" s="95"/>
      <c r="C1552" s="95"/>
      <c r="D1552" s="92"/>
      <c r="E1552" s="96"/>
      <c r="F1552" s="97"/>
      <c r="G1552" s="94"/>
      <c r="H1552" s="96"/>
    </row>
    <row r="1553" spans="1:8" ht="15" x14ac:dyDescent="0.25">
      <c r="A1553" s="95"/>
      <c r="B1553" s="95"/>
      <c r="C1553" s="95"/>
      <c r="D1553" s="92"/>
      <c r="E1553" s="96"/>
      <c r="F1553" s="97"/>
      <c r="G1553" s="94"/>
      <c r="H1553" s="96"/>
    </row>
    <row r="1554" spans="1:8" ht="15" x14ac:dyDescent="0.25">
      <c r="A1554" s="95"/>
      <c r="B1554" s="95"/>
      <c r="C1554" s="95"/>
      <c r="D1554" s="92"/>
      <c r="E1554" s="96"/>
      <c r="F1554" s="97"/>
      <c r="G1554" s="94"/>
      <c r="H1554" s="96"/>
    </row>
    <row r="1555" spans="1:8" ht="15" x14ac:dyDescent="0.25">
      <c r="A1555" s="95"/>
      <c r="B1555" s="95"/>
      <c r="C1555" s="95"/>
      <c r="D1555" s="92"/>
      <c r="E1555" s="96"/>
      <c r="F1555" s="97"/>
      <c r="G1555" s="94"/>
      <c r="H1555" s="96"/>
    </row>
    <row r="1556" spans="1:8" ht="15" x14ac:dyDescent="0.25">
      <c r="A1556" s="95"/>
      <c r="B1556" s="95"/>
      <c r="C1556" s="95"/>
      <c r="D1556" s="92"/>
      <c r="E1556" s="96"/>
      <c r="F1556" s="97"/>
      <c r="G1556" s="94"/>
      <c r="H1556" s="96"/>
    </row>
    <row r="1557" spans="1:8" ht="15" x14ac:dyDescent="0.25">
      <c r="A1557" s="95"/>
      <c r="B1557" s="95"/>
      <c r="C1557" s="95"/>
      <c r="D1557" s="92"/>
      <c r="E1557" s="96"/>
      <c r="F1557" s="97"/>
      <c r="G1557" s="94"/>
      <c r="H1557" s="96"/>
    </row>
    <row r="1558" spans="1:8" ht="15" x14ac:dyDescent="0.25">
      <c r="A1558" s="95"/>
      <c r="B1558" s="95"/>
      <c r="C1558" s="95"/>
      <c r="D1558" s="92"/>
      <c r="E1558" s="96"/>
      <c r="F1558" s="97"/>
      <c r="G1558" s="94"/>
      <c r="H1558" s="96"/>
    </row>
    <row r="1559" spans="1:8" ht="15" x14ac:dyDescent="0.25">
      <c r="A1559" s="95"/>
      <c r="B1559" s="95"/>
      <c r="C1559" s="95"/>
      <c r="D1559" s="92"/>
      <c r="E1559" s="96"/>
      <c r="F1559" s="97"/>
      <c r="G1559" s="94"/>
      <c r="H1559" s="96"/>
    </row>
    <row r="1560" spans="1:8" ht="15" x14ac:dyDescent="0.25">
      <c r="A1560" s="95"/>
      <c r="B1560" s="95"/>
      <c r="C1560" s="95"/>
      <c r="D1560" s="92"/>
      <c r="E1560" s="96"/>
      <c r="F1560" s="97"/>
      <c r="G1560" s="94"/>
      <c r="H1560" s="96"/>
    </row>
    <row r="1561" spans="1:8" ht="15" x14ac:dyDescent="0.25">
      <c r="A1561" s="95"/>
      <c r="B1561" s="95"/>
      <c r="C1561" s="95"/>
      <c r="D1561" s="92"/>
      <c r="E1561" s="96"/>
      <c r="F1561" s="97"/>
      <c r="G1561" s="94"/>
      <c r="H1561" s="96"/>
    </row>
    <row r="1562" spans="1:8" ht="15" x14ac:dyDescent="0.25">
      <c r="A1562" s="95"/>
      <c r="B1562" s="95"/>
      <c r="C1562" s="95"/>
      <c r="D1562" s="92"/>
      <c r="E1562" s="96"/>
      <c r="F1562" s="97"/>
      <c r="G1562" s="94"/>
      <c r="H1562" s="96"/>
    </row>
    <row r="1563" spans="1:8" ht="15" x14ac:dyDescent="0.25">
      <c r="A1563" s="95"/>
      <c r="B1563" s="95"/>
      <c r="C1563" s="95"/>
      <c r="D1563" s="92"/>
      <c r="E1563" s="96"/>
      <c r="F1563" s="97"/>
      <c r="G1563" s="94"/>
      <c r="H1563" s="96"/>
    </row>
    <row r="1564" spans="1:8" ht="15" x14ac:dyDescent="0.25">
      <c r="A1564" s="95"/>
      <c r="B1564" s="95"/>
      <c r="C1564" s="95"/>
      <c r="D1564" s="92"/>
      <c r="E1564" s="96"/>
      <c r="F1564" s="97"/>
      <c r="G1564" s="94"/>
      <c r="H1564" s="96"/>
    </row>
    <row r="1565" spans="1:8" ht="15" x14ac:dyDescent="0.25">
      <c r="A1565" s="95"/>
      <c r="B1565" s="95"/>
      <c r="C1565" s="95"/>
      <c r="D1565" s="92"/>
      <c r="E1565" s="96"/>
      <c r="F1565" s="97"/>
      <c r="G1565" s="94"/>
      <c r="H1565" s="96"/>
    </row>
    <row r="1566" spans="1:8" ht="15" x14ac:dyDescent="0.25">
      <c r="A1566" s="95"/>
      <c r="B1566" s="95"/>
      <c r="C1566" s="95"/>
      <c r="D1566" s="92"/>
      <c r="E1566" s="96"/>
      <c r="F1566" s="97"/>
      <c r="G1566" s="94"/>
      <c r="H1566" s="96"/>
    </row>
    <row r="1567" spans="1:8" ht="15" x14ac:dyDescent="0.25">
      <c r="A1567" s="95"/>
      <c r="B1567" s="95"/>
      <c r="C1567" s="95"/>
      <c r="D1567" s="92"/>
      <c r="E1567" s="96"/>
      <c r="F1567" s="97"/>
      <c r="G1567" s="94"/>
      <c r="H1567" s="96"/>
    </row>
    <row r="1568" spans="1:8" ht="15" x14ac:dyDescent="0.25">
      <c r="A1568" s="95"/>
      <c r="B1568" s="95"/>
      <c r="C1568" s="95"/>
      <c r="D1568" s="92"/>
      <c r="E1568" s="96"/>
      <c r="F1568" s="97"/>
      <c r="G1568" s="94"/>
      <c r="H1568" s="96"/>
    </row>
    <row r="1569" spans="1:8" ht="15" x14ac:dyDescent="0.25">
      <c r="A1569" s="95"/>
      <c r="B1569" s="95"/>
      <c r="C1569" s="95"/>
      <c r="D1569" s="92"/>
      <c r="E1569" s="96"/>
      <c r="F1569" s="97"/>
      <c r="G1569" s="94"/>
      <c r="H1569" s="96"/>
    </row>
    <row r="1570" spans="1:8" ht="15" x14ac:dyDescent="0.25">
      <c r="A1570" s="95"/>
      <c r="B1570" s="95"/>
      <c r="C1570" s="95"/>
      <c r="D1570" s="92"/>
      <c r="E1570" s="96"/>
      <c r="F1570" s="97"/>
      <c r="G1570" s="94"/>
      <c r="H1570" s="96"/>
    </row>
    <row r="1571" spans="1:8" ht="15" x14ac:dyDescent="0.25">
      <c r="A1571" s="95"/>
      <c r="B1571" s="95"/>
      <c r="C1571" s="95"/>
      <c r="D1571" s="92"/>
      <c r="E1571" s="96"/>
      <c r="F1571" s="97"/>
      <c r="G1571" s="94"/>
      <c r="H1571" s="96"/>
    </row>
    <row r="1572" spans="1:8" ht="15" x14ac:dyDescent="0.25">
      <c r="A1572" s="95"/>
      <c r="B1572" s="95"/>
      <c r="C1572" s="95"/>
      <c r="D1572" s="92"/>
      <c r="E1572" s="96"/>
      <c r="F1572" s="97"/>
      <c r="G1572" s="94"/>
      <c r="H1572" s="96"/>
    </row>
    <row r="1573" spans="1:8" ht="15" x14ac:dyDescent="0.25">
      <c r="A1573" s="95"/>
      <c r="B1573" s="95"/>
      <c r="C1573" s="95"/>
      <c r="D1573" s="92"/>
      <c r="E1573" s="96"/>
      <c r="F1573" s="97"/>
      <c r="G1573" s="94"/>
      <c r="H1573" s="96"/>
    </row>
    <row r="1574" spans="1:8" ht="15" x14ac:dyDescent="0.25">
      <c r="A1574" s="95"/>
      <c r="B1574" s="95"/>
      <c r="C1574" s="95"/>
      <c r="D1574" s="92"/>
      <c r="E1574" s="96"/>
      <c r="F1574" s="97"/>
      <c r="G1574" s="94"/>
      <c r="H1574" s="96"/>
    </row>
    <row r="1575" spans="1:8" ht="15" x14ac:dyDescent="0.25">
      <c r="A1575" s="95"/>
      <c r="B1575" s="95"/>
      <c r="C1575" s="95"/>
      <c r="D1575" s="92"/>
      <c r="E1575" s="96"/>
      <c r="F1575" s="97"/>
      <c r="G1575" s="94"/>
      <c r="H1575" s="96"/>
    </row>
    <row r="1576" spans="1:8" ht="15" x14ac:dyDescent="0.25">
      <c r="A1576" s="95"/>
      <c r="B1576" s="95"/>
      <c r="C1576" s="95"/>
      <c r="D1576" s="92"/>
      <c r="E1576" s="96"/>
      <c r="F1576" s="97"/>
      <c r="G1576" s="94"/>
      <c r="H1576" s="96"/>
    </row>
    <row r="1577" spans="1:8" ht="15" x14ac:dyDescent="0.25">
      <c r="A1577" s="95"/>
      <c r="B1577" s="95"/>
      <c r="C1577" s="95"/>
      <c r="D1577" s="92"/>
      <c r="E1577" s="96"/>
      <c r="F1577" s="97"/>
      <c r="G1577" s="94"/>
      <c r="H1577" s="96"/>
    </row>
    <row r="1578" spans="1:8" ht="15" x14ac:dyDescent="0.25">
      <c r="A1578" s="95"/>
      <c r="B1578" s="95"/>
      <c r="C1578" s="95"/>
      <c r="D1578" s="92"/>
      <c r="E1578" s="96"/>
      <c r="F1578" s="97"/>
      <c r="G1578" s="94"/>
      <c r="H1578" s="96"/>
    </row>
    <row r="1579" spans="1:8" ht="15" x14ac:dyDescent="0.25">
      <c r="A1579" s="95"/>
      <c r="B1579" s="95"/>
      <c r="C1579" s="95"/>
      <c r="D1579" s="92"/>
      <c r="E1579" s="96"/>
      <c r="F1579" s="97"/>
      <c r="G1579" s="94"/>
      <c r="H1579" s="96"/>
    </row>
    <row r="1580" spans="1:8" ht="15" x14ac:dyDescent="0.25">
      <c r="A1580" s="95"/>
      <c r="B1580" s="95"/>
      <c r="C1580" s="95"/>
      <c r="D1580" s="92"/>
      <c r="E1580" s="96"/>
      <c r="F1580" s="97"/>
      <c r="G1580" s="94"/>
      <c r="H1580" s="96"/>
    </row>
    <row r="1581" spans="1:8" ht="15" x14ac:dyDescent="0.25">
      <c r="A1581" s="95"/>
      <c r="B1581" s="95"/>
      <c r="C1581" s="95"/>
      <c r="D1581" s="92"/>
      <c r="E1581" s="96"/>
      <c r="F1581" s="97"/>
      <c r="G1581" s="94"/>
      <c r="H1581" s="96"/>
    </row>
    <row r="1582" spans="1:8" ht="15" x14ac:dyDescent="0.25">
      <c r="A1582" s="95"/>
      <c r="B1582" s="95"/>
      <c r="C1582" s="95"/>
      <c r="D1582" s="92"/>
      <c r="E1582" s="96"/>
      <c r="F1582" s="97"/>
      <c r="G1582" s="94"/>
      <c r="H1582" s="96"/>
    </row>
    <row r="1583" spans="1:8" ht="15" x14ac:dyDescent="0.25">
      <c r="A1583" s="95"/>
      <c r="B1583" s="95"/>
      <c r="C1583" s="95"/>
      <c r="D1583" s="92"/>
      <c r="E1583" s="96"/>
      <c r="F1583" s="97"/>
      <c r="G1583" s="94"/>
      <c r="H1583" s="96"/>
    </row>
    <row r="1584" spans="1:8" ht="15" x14ac:dyDescent="0.25">
      <c r="A1584" s="95"/>
      <c r="B1584" s="95"/>
      <c r="C1584" s="95"/>
      <c r="D1584" s="92"/>
      <c r="E1584" s="96"/>
      <c r="F1584" s="97"/>
      <c r="G1584" s="94"/>
      <c r="H1584" s="96"/>
    </row>
    <row r="1585" spans="1:8" ht="15" x14ac:dyDescent="0.25">
      <c r="A1585" s="95"/>
      <c r="B1585" s="95"/>
      <c r="C1585" s="95"/>
      <c r="D1585" s="92"/>
      <c r="E1585" s="96"/>
      <c r="F1585" s="97"/>
      <c r="G1585" s="94"/>
      <c r="H1585" s="96"/>
    </row>
    <row r="1586" spans="1:8" ht="15" x14ac:dyDescent="0.25">
      <c r="A1586" s="95"/>
      <c r="B1586" s="95"/>
      <c r="C1586" s="95"/>
      <c r="D1586" s="92"/>
      <c r="E1586" s="96"/>
      <c r="F1586" s="97"/>
      <c r="G1586" s="94"/>
      <c r="H1586" s="96"/>
    </row>
    <row r="1587" spans="1:8" ht="15" x14ac:dyDescent="0.25">
      <c r="A1587" s="95"/>
      <c r="B1587" s="95"/>
      <c r="C1587" s="95"/>
      <c r="D1587" s="92"/>
      <c r="E1587" s="96"/>
      <c r="F1587" s="97"/>
      <c r="G1587" s="94"/>
      <c r="H1587" s="96"/>
    </row>
    <row r="1588" spans="1:8" ht="15" x14ac:dyDescent="0.25">
      <c r="A1588" s="95"/>
      <c r="B1588" s="95"/>
      <c r="C1588" s="95"/>
      <c r="D1588" s="92"/>
      <c r="E1588" s="96"/>
      <c r="F1588" s="97"/>
      <c r="G1588" s="94"/>
      <c r="H1588" s="96"/>
    </row>
    <row r="1589" spans="1:8" ht="15" x14ac:dyDescent="0.25">
      <c r="A1589" s="95"/>
      <c r="B1589" s="95"/>
      <c r="C1589" s="95"/>
      <c r="D1589" s="92"/>
      <c r="E1589" s="96"/>
      <c r="F1589" s="97"/>
      <c r="G1589" s="94"/>
      <c r="H1589" s="96"/>
    </row>
    <row r="1590" spans="1:8" ht="15" x14ac:dyDescent="0.25">
      <c r="A1590" s="95"/>
      <c r="B1590" s="95"/>
      <c r="C1590" s="95"/>
      <c r="D1590" s="92"/>
      <c r="E1590" s="96"/>
      <c r="F1590" s="97"/>
      <c r="G1590" s="94"/>
      <c r="H1590" s="96"/>
    </row>
    <row r="1591" spans="1:8" ht="15" x14ac:dyDescent="0.25">
      <c r="A1591" s="95"/>
      <c r="B1591" s="95"/>
      <c r="C1591" s="95"/>
      <c r="D1591" s="92"/>
      <c r="E1591" s="96"/>
      <c r="F1591" s="97"/>
      <c r="G1591" s="94"/>
      <c r="H1591" s="96"/>
    </row>
    <row r="1592" spans="1:8" ht="15" x14ac:dyDescent="0.25">
      <c r="A1592" s="95"/>
      <c r="B1592" s="95"/>
      <c r="C1592" s="95"/>
      <c r="D1592" s="92"/>
      <c r="E1592" s="96"/>
      <c r="F1592" s="97"/>
      <c r="G1592" s="94"/>
      <c r="H1592" s="96"/>
    </row>
    <row r="1593" spans="1:8" ht="15" x14ac:dyDescent="0.25">
      <c r="A1593" s="95"/>
      <c r="B1593" s="95"/>
      <c r="C1593" s="95"/>
      <c r="D1593" s="92"/>
      <c r="E1593" s="96"/>
      <c r="F1593" s="97"/>
      <c r="G1593" s="94"/>
      <c r="H1593" s="96"/>
    </row>
    <row r="1594" spans="1:8" ht="15" x14ac:dyDescent="0.25">
      <c r="A1594" s="95"/>
      <c r="B1594" s="95"/>
      <c r="C1594" s="95"/>
      <c r="D1594" s="92"/>
      <c r="E1594" s="96"/>
      <c r="F1594" s="97"/>
      <c r="G1594" s="94"/>
      <c r="H1594" s="96"/>
    </row>
    <row r="1595" spans="1:8" ht="15" x14ac:dyDescent="0.25">
      <c r="A1595" s="95"/>
      <c r="B1595" s="95"/>
      <c r="C1595" s="95"/>
      <c r="D1595" s="92"/>
      <c r="E1595" s="96"/>
      <c r="F1595" s="97"/>
      <c r="G1595" s="94"/>
      <c r="H1595" s="96"/>
    </row>
    <row r="1596" spans="1:8" ht="15" x14ac:dyDescent="0.25">
      <c r="A1596" s="95"/>
      <c r="B1596" s="95"/>
      <c r="C1596" s="95"/>
      <c r="D1596" s="92"/>
      <c r="E1596" s="96"/>
      <c r="F1596" s="97"/>
      <c r="G1596" s="94"/>
      <c r="H1596" s="96"/>
    </row>
    <row r="1597" spans="1:8" ht="15" x14ac:dyDescent="0.25">
      <c r="A1597" s="95"/>
      <c r="B1597" s="95"/>
      <c r="C1597" s="95"/>
      <c r="D1597" s="92"/>
      <c r="E1597" s="96"/>
      <c r="F1597" s="97"/>
      <c r="G1597" s="94"/>
      <c r="H1597" s="96"/>
    </row>
    <row r="1598" spans="1:8" ht="15" x14ac:dyDescent="0.25">
      <c r="A1598" s="95"/>
      <c r="B1598" s="95"/>
      <c r="C1598" s="95"/>
      <c r="D1598" s="92"/>
      <c r="E1598" s="96"/>
      <c r="F1598" s="97"/>
      <c r="G1598" s="94"/>
      <c r="H1598" s="96"/>
    </row>
    <row r="1599" spans="1:8" ht="15" x14ac:dyDescent="0.25">
      <c r="A1599" s="95"/>
      <c r="B1599" s="95"/>
      <c r="C1599" s="95"/>
      <c r="D1599" s="92"/>
      <c r="E1599" s="96"/>
      <c r="F1599" s="97"/>
      <c r="G1599" s="94"/>
      <c r="H1599" s="96"/>
    </row>
    <row r="1600" spans="1:8" ht="15" x14ac:dyDescent="0.25">
      <c r="A1600" s="95"/>
      <c r="B1600" s="95"/>
      <c r="C1600" s="95"/>
      <c r="D1600" s="92"/>
      <c r="E1600" s="96"/>
      <c r="F1600" s="97"/>
      <c r="G1600" s="94"/>
      <c r="H1600" s="96"/>
    </row>
    <row r="1601" spans="1:8" ht="15" x14ac:dyDescent="0.25">
      <c r="A1601" s="95"/>
      <c r="B1601" s="95"/>
      <c r="C1601" s="95"/>
      <c r="D1601" s="92"/>
      <c r="E1601" s="96"/>
      <c r="F1601" s="97"/>
      <c r="G1601" s="94"/>
      <c r="H1601" s="96"/>
    </row>
    <row r="1602" spans="1:8" ht="15" x14ac:dyDescent="0.25">
      <c r="A1602" s="95"/>
      <c r="B1602" s="95"/>
      <c r="C1602" s="95"/>
      <c r="D1602" s="92"/>
      <c r="E1602" s="96"/>
      <c r="F1602" s="97"/>
      <c r="G1602" s="94"/>
      <c r="H1602" s="96"/>
    </row>
    <row r="1603" spans="1:8" ht="15" x14ac:dyDescent="0.25">
      <c r="A1603" s="95"/>
      <c r="B1603" s="95"/>
      <c r="C1603" s="95"/>
      <c r="D1603" s="92"/>
      <c r="E1603" s="96"/>
      <c r="F1603" s="97"/>
      <c r="G1603" s="94"/>
      <c r="H1603" s="96"/>
    </row>
    <row r="1604" spans="1:8" ht="15" x14ac:dyDescent="0.25">
      <c r="A1604" s="95"/>
      <c r="B1604" s="95"/>
      <c r="C1604" s="95"/>
      <c r="D1604" s="92"/>
      <c r="E1604" s="96"/>
      <c r="F1604" s="97"/>
      <c r="G1604" s="94"/>
      <c r="H1604" s="96"/>
    </row>
    <row r="1605" spans="1:8" ht="15" x14ac:dyDescent="0.25">
      <c r="A1605" s="95"/>
      <c r="B1605" s="95"/>
      <c r="C1605" s="95"/>
      <c r="D1605" s="92"/>
      <c r="E1605" s="96"/>
      <c r="F1605" s="97"/>
      <c r="G1605" s="94"/>
      <c r="H1605" s="96"/>
    </row>
    <row r="1606" spans="1:8" ht="15" x14ac:dyDescent="0.25">
      <c r="A1606" s="95"/>
      <c r="B1606" s="95"/>
      <c r="C1606" s="95"/>
      <c r="D1606" s="92"/>
      <c r="E1606" s="96"/>
      <c r="F1606" s="97"/>
      <c r="G1606" s="94"/>
      <c r="H1606" s="96"/>
    </row>
    <row r="1607" spans="1:8" ht="15" x14ac:dyDescent="0.25">
      <c r="A1607" s="95"/>
      <c r="B1607" s="95"/>
      <c r="C1607" s="95"/>
      <c r="D1607" s="92"/>
      <c r="E1607" s="96"/>
      <c r="F1607" s="97"/>
      <c r="G1607" s="94"/>
      <c r="H1607" s="96"/>
    </row>
    <row r="1608" spans="1:8" ht="15" x14ac:dyDescent="0.25">
      <c r="A1608" s="95"/>
      <c r="B1608" s="95"/>
      <c r="C1608" s="95"/>
      <c r="D1608" s="92"/>
      <c r="E1608" s="96"/>
      <c r="F1608" s="97"/>
      <c r="G1608" s="94"/>
      <c r="H1608" s="96"/>
    </row>
    <row r="1609" spans="1:8" ht="15" x14ac:dyDescent="0.25">
      <c r="A1609" s="95"/>
      <c r="B1609" s="95"/>
      <c r="C1609" s="95"/>
      <c r="D1609" s="92"/>
      <c r="E1609" s="96"/>
      <c r="F1609" s="97"/>
      <c r="G1609" s="94"/>
      <c r="H1609" s="96"/>
    </row>
    <row r="1610" spans="1:8" ht="15" x14ac:dyDescent="0.25">
      <c r="A1610" s="95"/>
      <c r="B1610" s="95"/>
      <c r="C1610" s="95"/>
      <c r="D1610" s="92"/>
      <c r="E1610" s="96"/>
      <c r="F1610" s="97"/>
      <c r="G1610" s="94"/>
      <c r="H1610" s="96"/>
    </row>
    <row r="1611" spans="1:8" ht="15" x14ac:dyDescent="0.25">
      <c r="A1611" s="95"/>
      <c r="B1611" s="95"/>
      <c r="C1611" s="95"/>
      <c r="D1611" s="92"/>
      <c r="E1611" s="96"/>
      <c r="F1611" s="97"/>
      <c r="G1611" s="94"/>
      <c r="H1611" s="96"/>
    </row>
    <row r="1612" spans="1:8" ht="15" x14ac:dyDescent="0.25">
      <c r="A1612" s="95"/>
      <c r="B1612" s="95"/>
      <c r="C1612" s="95"/>
      <c r="D1612" s="92"/>
      <c r="E1612" s="96"/>
      <c r="F1612" s="97"/>
      <c r="G1612" s="94"/>
      <c r="H1612" s="96"/>
    </row>
    <row r="1613" spans="1:8" ht="15" x14ac:dyDescent="0.25">
      <c r="A1613" s="95"/>
      <c r="B1613" s="95"/>
      <c r="C1613" s="95"/>
      <c r="D1613" s="92"/>
      <c r="E1613" s="96"/>
      <c r="F1613" s="97"/>
      <c r="G1613" s="94"/>
      <c r="H1613" s="96"/>
    </row>
    <row r="1614" spans="1:8" ht="15" x14ac:dyDescent="0.25">
      <c r="A1614" s="95"/>
      <c r="B1614" s="95"/>
      <c r="C1614" s="95"/>
      <c r="D1614" s="92"/>
      <c r="E1614" s="96"/>
      <c r="F1614" s="97"/>
      <c r="G1614" s="94"/>
      <c r="H1614" s="96"/>
    </row>
    <row r="1615" spans="1:8" ht="15" x14ac:dyDescent="0.25">
      <c r="A1615" s="95"/>
      <c r="B1615" s="95"/>
      <c r="C1615" s="95"/>
      <c r="D1615" s="92"/>
      <c r="E1615" s="96"/>
      <c r="F1615" s="97"/>
      <c r="G1615" s="94"/>
      <c r="H1615" s="96"/>
    </row>
    <row r="1616" spans="1:8" ht="15" x14ac:dyDescent="0.25">
      <c r="A1616" s="95"/>
      <c r="B1616" s="95"/>
      <c r="C1616" s="95"/>
      <c r="D1616" s="92"/>
      <c r="E1616" s="96"/>
      <c r="F1616" s="97"/>
      <c r="G1616" s="94"/>
      <c r="H1616" s="96"/>
    </row>
    <row r="1617" spans="1:8" ht="15" x14ac:dyDescent="0.25">
      <c r="A1617" s="95"/>
      <c r="B1617" s="95"/>
      <c r="C1617" s="95"/>
      <c r="D1617" s="92"/>
      <c r="E1617" s="96"/>
      <c r="F1617" s="97"/>
      <c r="G1617" s="94"/>
      <c r="H1617" s="96"/>
    </row>
    <row r="1618" spans="1:8" ht="15" x14ac:dyDescent="0.25">
      <c r="A1618" s="95"/>
      <c r="B1618" s="95"/>
      <c r="C1618" s="95"/>
      <c r="D1618" s="92"/>
      <c r="E1618" s="96"/>
      <c r="F1618" s="97"/>
      <c r="G1618" s="94"/>
      <c r="H1618" s="96"/>
    </row>
    <row r="1619" spans="1:8" ht="15" x14ac:dyDescent="0.25">
      <c r="A1619" s="95"/>
      <c r="B1619" s="95"/>
      <c r="C1619" s="95"/>
      <c r="D1619" s="92"/>
      <c r="E1619" s="96"/>
      <c r="F1619" s="97"/>
      <c r="G1619" s="94"/>
      <c r="H1619" s="96"/>
    </row>
    <row r="1620" spans="1:8" ht="15" x14ac:dyDescent="0.25">
      <c r="A1620" s="95"/>
      <c r="B1620" s="95"/>
      <c r="C1620" s="95"/>
      <c r="D1620" s="92"/>
      <c r="E1620" s="96"/>
      <c r="F1620" s="97"/>
      <c r="G1620" s="94"/>
      <c r="H1620" s="96"/>
    </row>
    <row r="1621" spans="1:8" ht="15" x14ac:dyDescent="0.25">
      <c r="A1621" s="95"/>
      <c r="B1621" s="95"/>
      <c r="C1621" s="95"/>
      <c r="D1621" s="92"/>
      <c r="E1621" s="96"/>
      <c r="F1621" s="97"/>
      <c r="G1621" s="94"/>
      <c r="H1621" s="96"/>
    </row>
    <row r="1622" spans="1:8" ht="15" x14ac:dyDescent="0.25">
      <c r="A1622" s="95"/>
      <c r="B1622" s="95"/>
      <c r="C1622" s="95"/>
      <c r="D1622" s="92"/>
      <c r="E1622" s="96"/>
      <c r="F1622" s="97"/>
      <c r="G1622" s="94"/>
      <c r="H1622" s="96"/>
    </row>
    <row r="1623" spans="1:8" ht="15" x14ac:dyDescent="0.25">
      <c r="A1623" s="95"/>
      <c r="B1623" s="95"/>
      <c r="C1623" s="95"/>
      <c r="D1623" s="92"/>
      <c r="E1623" s="96"/>
      <c r="F1623" s="97"/>
      <c r="G1623" s="94"/>
      <c r="H1623" s="96"/>
    </row>
    <row r="1624" spans="1:8" ht="15" x14ac:dyDescent="0.25">
      <c r="A1624" s="95"/>
      <c r="B1624" s="95"/>
      <c r="C1624" s="95"/>
      <c r="D1624" s="92"/>
      <c r="E1624" s="96"/>
      <c r="F1624" s="97"/>
      <c r="G1624" s="94"/>
      <c r="H1624" s="96"/>
    </row>
    <row r="1625" spans="1:8" ht="15" x14ac:dyDescent="0.25">
      <c r="A1625" s="95"/>
      <c r="B1625" s="95"/>
      <c r="C1625" s="95"/>
      <c r="D1625" s="92"/>
      <c r="E1625" s="96"/>
      <c r="F1625" s="97"/>
      <c r="G1625" s="94"/>
      <c r="H1625" s="96"/>
    </row>
    <row r="1626" spans="1:8" ht="15" x14ac:dyDescent="0.25">
      <c r="A1626" s="95"/>
      <c r="B1626" s="95"/>
      <c r="C1626" s="95"/>
      <c r="D1626" s="92"/>
      <c r="E1626" s="96"/>
      <c r="F1626" s="97"/>
      <c r="G1626" s="94"/>
      <c r="H1626" s="96"/>
    </row>
    <row r="1627" spans="1:8" ht="15" x14ac:dyDescent="0.25">
      <c r="A1627" s="95"/>
      <c r="B1627" s="95"/>
      <c r="C1627" s="95"/>
      <c r="D1627" s="92"/>
      <c r="E1627" s="96"/>
      <c r="F1627" s="97"/>
      <c r="G1627" s="94"/>
      <c r="H1627" s="96"/>
    </row>
    <row r="1628" spans="1:8" ht="15" x14ac:dyDescent="0.25">
      <c r="A1628" s="95"/>
      <c r="B1628" s="95"/>
      <c r="C1628" s="95"/>
      <c r="D1628" s="92"/>
      <c r="E1628" s="96"/>
      <c r="F1628" s="97"/>
      <c r="G1628" s="94"/>
      <c r="H1628" s="96"/>
    </row>
    <row r="1629" spans="1:8" ht="15" x14ac:dyDescent="0.25">
      <c r="A1629" s="95"/>
      <c r="B1629" s="95"/>
      <c r="C1629" s="95"/>
      <c r="D1629" s="92"/>
      <c r="E1629" s="96"/>
      <c r="F1629" s="97"/>
      <c r="G1629" s="94"/>
      <c r="H1629" s="96"/>
    </row>
    <row r="1630" spans="1:8" ht="15" x14ac:dyDescent="0.25">
      <c r="A1630" s="95"/>
      <c r="B1630" s="95"/>
      <c r="C1630" s="95"/>
      <c r="D1630" s="92"/>
      <c r="E1630" s="96"/>
      <c r="F1630" s="97"/>
      <c r="G1630" s="94"/>
      <c r="H1630" s="96"/>
    </row>
    <row r="1631" spans="1:8" ht="15" x14ac:dyDescent="0.25">
      <c r="A1631" s="95"/>
      <c r="B1631" s="95"/>
      <c r="C1631" s="95"/>
      <c r="D1631" s="92"/>
      <c r="E1631" s="96"/>
      <c r="F1631" s="97"/>
      <c r="G1631" s="94"/>
      <c r="H1631" s="96"/>
    </row>
    <row r="1632" spans="1:8" ht="15" x14ac:dyDescent="0.25">
      <c r="A1632" s="95"/>
      <c r="B1632" s="95"/>
      <c r="C1632" s="95"/>
      <c r="D1632" s="92"/>
      <c r="E1632" s="96"/>
      <c r="F1632" s="97"/>
      <c r="G1632" s="94"/>
      <c r="H1632" s="96"/>
    </row>
    <row r="1633" spans="1:8" ht="15" x14ac:dyDescent="0.25">
      <c r="A1633" s="95"/>
      <c r="B1633" s="95"/>
      <c r="C1633" s="95"/>
      <c r="D1633" s="92"/>
      <c r="E1633" s="96"/>
      <c r="F1633" s="97"/>
      <c r="G1633" s="94"/>
      <c r="H1633" s="96"/>
    </row>
    <row r="1634" spans="1:8" ht="15" x14ac:dyDescent="0.25">
      <c r="A1634" s="95"/>
      <c r="B1634" s="95"/>
      <c r="C1634" s="95"/>
      <c r="D1634" s="92"/>
      <c r="E1634" s="96"/>
      <c r="F1634" s="97"/>
      <c r="G1634" s="94"/>
      <c r="H1634" s="96"/>
    </row>
    <row r="1635" spans="1:8" ht="15" x14ac:dyDescent="0.25">
      <c r="A1635" s="95"/>
      <c r="B1635" s="95"/>
      <c r="C1635" s="95"/>
      <c r="D1635" s="92"/>
      <c r="E1635" s="96"/>
      <c r="F1635" s="97"/>
      <c r="G1635" s="94"/>
      <c r="H1635" s="96"/>
    </row>
    <row r="1636" spans="1:8" ht="15" x14ac:dyDescent="0.25">
      <c r="A1636" s="95"/>
      <c r="B1636" s="95"/>
      <c r="C1636" s="95"/>
      <c r="D1636" s="92"/>
      <c r="E1636" s="96"/>
      <c r="F1636" s="97"/>
      <c r="G1636" s="94"/>
      <c r="H1636" s="96"/>
    </row>
    <row r="1637" spans="1:8" ht="15" x14ac:dyDescent="0.25">
      <c r="A1637" s="95"/>
      <c r="B1637" s="95"/>
      <c r="C1637" s="95"/>
      <c r="D1637" s="92"/>
      <c r="E1637" s="96"/>
      <c r="F1637" s="97"/>
      <c r="G1637" s="94"/>
      <c r="H1637" s="96"/>
    </row>
    <row r="1638" spans="1:8" ht="15" x14ac:dyDescent="0.25">
      <c r="A1638" s="95"/>
      <c r="B1638" s="95"/>
      <c r="C1638" s="95"/>
      <c r="D1638" s="92"/>
      <c r="E1638" s="96"/>
      <c r="F1638" s="97"/>
      <c r="G1638" s="94"/>
      <c r="H1638" s="96"/>
    </row>
    <row r="1639" spans="1:8" ht="15" x14ac:dyDescent="0.25">
      <c r="A1639" s="95"/>
      <c r="B1639" s="95"/>
      <c r="C1639" s="95"/>
      <c r="D1639" s="92"/>
      <c r="E1639" s="96"/>
      <c r="F1639" s="97"/>
      <c r="G1639" s="94"/>
      <c r="H1639" s="96"/>
    </row>
    <row r="1640" spans="1:8" ht="15" x14ac:dyDescent="0.25">
      <c r="A1640" s="95"/>
      <c r="B1640" s="95"/>
      <c r="C1640" s="95"/>
      <c r="D1640" s="92"/>
      <c r="E1640" s="96"/>
      <c r="F1640" s="97"/>
      <c r="G1640" s="94"/>
      <c r="H1640" s="96"/>
    </row>
    <row r="1641" spans="1:8" ht="15" x14ac:dyDescent="0.25">
      <c r="A1641" s="95"/>
      <c r="B1641" s="95"/>
      <c r="C1641" s="95"/>
      <c r="D1641" s="92"/>
      <c r="E1641" s="96"/>
      <c r="F1641" s="97"/>
      <c r="G1641" s="94"/>
      <c r="H1641" s="96"/>
    </row>
    <row r="1642" spans="1:8" ht="15" x14ac:dyDescent="0.25">
      <c r="A1642" s="95"/>
      <c r="B1642" s="95"/>
      <c r="C1642" s="95"/>
      <c r="D1642" s="92"/>
      <c r="E1642" s="96"/>
      <c r="F1642" s="97"/>
      <c r="G1642" s="94"/>
      <c r="H1642" s="96"/>
    </row>
    <row r="1643" spans="1:8" ht="15" x14ac:dyDescent="0.25">
      <c r="A1643" s="95"/>
      <c r="B1643" s="95"/>
      <c r="C1643" s="95"/>
      <c r="D1643" s="92"/>
      <c r="E1643" s="96"/>
      <c r="F1643" s="97"/>
      <c r="G1643" s="94"/>
      <c r="H1643" s="96"/>
    </row>
    <row r="1644" spans="1:8" ht="15" x14ac:dyDescent="0.25">
      <c r="A1644" s="95"/>
      <c r="B1644" s="95"/>
      <c r="C1644" s="95"/>
      <c r="D1644" s="92"/>
      <c r="E1644" s="96"/>
      <c r="F1644" s="97"/>
      <c r="G1644" s="94"/>
      <c r="H1644" s="96"/>
    </row>
    <row r="1645" spans="1:8" ht="15" x14ac:dyDescent="0.25">
      <c r="A1645" s="95"/>
      <c r="B1645" s="95"/>
      <c r="C1645" s="95"/>
      <c r="D1645" s="92"/>
      <c r="E1645" s="96"/>
      <c r="F1645" s="97"/>
      <c r="G1645" s="94"/>
      <c r="H1645" s="96"/>
    </row>
    <row r="1646" spans="1:8" ht="15" x14ac:dyDescent="0.25">
      <c r="A1646" s="95"/>
      <c r="B1646" s="95"/>
      <c r="C1646" s="95"/>
      <c r="D1646" s="92"/>
      <c r="E1646" s="96"/>
      <c r="F1646" s="97"/>
      <c r="G1646" s="94"/>
      <c r="H1646" s="96"/>
    </row>
    <row r="1647" spans="1:8" ht="15" x14ac:dyDescent="0.25">
      <c r="A1647" s="95"/>
      <c r="B1647" s="95"/>
      <c r="C1647" s="95"/>
      <c r="D1647" s="92"/>
      <c r="E1647" s="96"/>
      <c r="F1647" s="97"/>
      <c r="G1647" s="94"/>
      <c r="H1647" s="96"/>
    </row>
    <row r="1648" spans="1:8" ht="15" x14ac:dyDescent="0.25">
      <c r="A1648" s="95"/>
      <c r="B1648" s="95"/>
      <c r="C1648" s="95"/>
      <c r="D1648" s="92"/>
      <c r="E1648" s="96"/>
      <c r="F1648" s="97"/>
      <c r="G1648" s="94"/>
      <c r="H1648" s="96"/>
    </row>
    <row r="1649" spans="1:8" ht="15" x14ac:dyDescent="0.25">
      <c r="A1649" s="95"/>
      <c r="B1649" s="95"/>
      <c r="C1649" s="95"/>
      <c r="D1649" s="92"/>
      <c r="E1649" s="96"/>
      <c r="F1649" s="97"/>
      <c r="G1649" s="94"/>
      <c r="H1649" s="96"/>
    </row>
    <row r="1650" spans="1:8" ht="15" x14ac:dyDescent="0.25">
      <c r="A1650" s="95"/>
      <c r="B1650" s="95"/>
      <c r="C1650" s="95"/>
      <c r="D1650" s="92"/>
      <c r="E1650" s="96"/>
      <c r="F1650" s="97"/>
      <c r="G1650" s="94"/>
      <c r="H1650" s="96"/>
    </row>
    <row r="1651" spans="1:8" ht="15" x14ac:dyDescent="0.25">
      <c r="A1651" s="95"/>
      <c r="B1651" s="95"/>
      <c r="C1651" s="95"/>
      <c r="D1651" s="92"/>
      <c r="E1651" s="96"/>
      <c r="F1651" s="97"/>
      <c r="G1651" s="94"/>
      <c r="H1651" s="96"/>
    </row>
    <row r="1652" spans="1:8" ht="15" x14ac:dyDescent="0.25">
      <c r="A1652" s="95"/>
      <c r="B1652" s="95"/>
      <c r="C1652" s="95"/>
      <c r="D1652" s="92"/>
      <c r="E1652" s="96"/>
      <c r="F1652" s="97"/>
      <c r="G1652" s="94"/>
      <c r="H1652" s="96"/>
    </row>
    <row r="1653" spans="1:8" ht="15" x14ac:dyDescent="0.25">
      <c r="A1653" s="95"/>
      <c r="B1653" s="95"/>
      <c r="C1653" s="95"/>
      <c r="D1653" s="92"/>
      <c r="E1653" s="96"/>
      <c r="F1653" s="97"/>
      <c r="G1653" s="94"/>
      <c r="H1653" s="96"/>
    </row>
    <row r="1654" spans="1:8" ht="15" x14ac:dyDescent="0.25">
      <c r="A1654" s="95"/>
      <c r="B1654" s="95"/>
      <c r="C1654" s="95"/>
      <c r="D1654" s="92"/>
      <c r="E1654" s="96"/>
      <c r="F1654" s="97"/>
      <c r="G1654" s="94"/>
      <c r="H1654" s="96"/>
    </row>
    <row r="1655" spans="1:8" ht="15" x14ac:dyDescent="0.25">
      <c r="A1655" s="95"/>
      <c r="B1655" s="95"/>
      <c r="C1655" s="95"/>
      <c r="D1655" s="92"/>
      <c r="E1655" s="96"/>
      <c r="F1655" s="97"/>
      <c r="G1655" s="94"/>
      <c r="H1655" s="96"/>
    </row>
    <row r="1656" spans="1:8" ht="15" x14ac:dyDescent="0.25">
      <c r="A1656" s="95"/>
      <c r="B1656" s="95"/>
      <c r="C1656" s="95"/>
      <c r="D1656" s="92"/>
      <c r="E1656" s="96"/>
      <c r="F1656" s="97"/>
      <c r="G1656" s="94"/>
      <c r="H1656" s="96"/>
    </row>
    <row r="1657" spans="1:8" ht="15" x14ac:dyDescent="0.25">
      <c r="A1657" s="95"/>
      <c r="B1657" s="95"/>
      <c r="C1657" s="95"/>
      <c r="D1657" s="92"/>
      <c r="E1657" s="96"/>
      <c r="F1657" s="97"/>
      <c r="G1657" s="94"/>
      <c r="H1657" s="96"/>
    </row>
    <row r="1658" spans="1:8" ht="15" x14ac:dyDescent="0.25">
      <c r="A1658" s="95"/>
      <c r="B1658" s="95"/>
      <c r="C1658" s="95"/>
      <c r="D1658" s="92"/>
      <c r="E1658" s="96"/>
      <c r="F1658" s="97"/>
      <c r="G1658" s="94"/>
      <c r="H1658" s="96"/>
    </row>
    <row r="1659" spans="1:8" ht="15" x14ac:dyDescent="0.25">
      <c r="A1659" s="95"/>
      <c r="B1659" s="95"/>
      <c r="C1659" s="95"/>
      <c r="D1659" s="92"/>
      <c r="E1659" s="96"/>
      <c r="F1659" s="97"/>
      <c r="G1659" s="94"/>
      <c r="H1659" s="96"/>
    </row>
    <row r="1660" spans="1:8" ht="15" x14ac:dyDescent="0.25">
      <c r="A1660" s="95"/>
      <c r="B1660" s="95"/>
      <c r="C1660" s="95"/>
      <c r="D1660" s="92"/>
      <c r="E1660" s="96"/>
      <c r="F1660" s="97"/>
      <c r="G1660" s="94"/>
      <c r="H1660" s="96"/>
    </row>
    <row r="1661" spans="1:8" ht="15" x14ac:dyDescent="0.25">
      <c r="A1661" s="95"/>
      <c r="B1661" s="95"/>
      <c r="C1661" s="95"/>
      <c r="D1661" s="92"/>
      <c r="E1661" s="96"/>
      <c r="F1661" s="97"/>
      <c r="G1661" s="94"/>
      <c r="H1661" s="96"/>
    </row>
    <row r="1662" spans="1:8" ht="15" x14ac:dyDescent="0.25">
      <c r="A1662" s="95"/>
      <c r="B1662" s="95"/>
      <c r="C1662" s="95"/>
      <c r="D1662" s="92"/>
      <c r="E1662" s="96"/>
      <c r="F1662" s="97"/>
      <c r="G1662" s="94"/>
      <c r="H1662" s="96"/>
    </row>
    <row r="1663" spans="1:8" ht="15" x14ac:dyDescent="0.25">
      <c r="A1663" s="95"/>
      <c r="B1663" s="95"/>
      <c r="C1663" s="95"/>
      <c r="D1663" s="92"/>
      <c r="E1663" s="96"/>
      <c r="F1663" s="97"/>
      <c r="G1663" s="94"/>
      <c r="H1663" s="96"/>
    </row>
    <row r="1664" spans="1:8" ht="15" x14ac:dyDescent="0.25">
      <c r="A1664" s="95"/>
      <c r="B1664" s="95"/>
      <c r="C1664" s="95"/>
      <c r="D1664" s="92"/>
      <c r="E1664" s="96"/>
      <c r="F1664" s="97"/>
      <c r="G1664" s="94"/>
      <c r="H1664" s="96"/>
    </row>
    <row r="1665" spans="1:8" ht="15" x14ac:dyDescent="0.25">
      <c r="A1665" s="95"/>
      <c r="B1665" s="95"/>
      <c r="C1665" s="95"/>
      <c r="D1665" s="92"/>
      <c r="E1665" s="96"/>
      <c r="F1665" s="97"/>
      <c r="G1665" s="94"/>
      <c r="H1665" s="96"/>
    </row>
    <row r="1666" spans="1:8" ht="15" x14ac:dyDescent="0.25">
      <c r="A1666" s="95"/>
      <c r="B1666" s="95"/>
      <c r="C1666" s="95"/>
      <c r="D1666" s="92"/>
      <c r="E1666" s="96"/>
      <c r="F1666" s="97"/>
      <c r="G1666" s="94"/>
      <c r="H1666" s="96"/>
    </row>
    <row r="1667" spans="1:8" ht="15" x14ac:dyDescent="0.25">
      <c r="A1667" s="95"/>
      <c r="B1667" s="95"/>
      <c r="C1667" s="95"/>
      <c r="D1667" s="92"/>
      <c r="E1667" s="96"/>
      <c r="F1667" s="97"/>
      <c r="G1667" s="94"/>
      <c r="H1667" s="96"/>
    </row>
    <row r="1668" spans="1:8" ht="15" x14ac:dyDescent="0.25">
      <c r="A1668" s="95"/>
      <c r="B1668" s="95"/>
      <c r="C1668" s="95"/>
      <c r="D1668" s="92"/>
      <c r="E1668" s="96"/>
      <c r="F1668" s="97"/>
      <c r="G1668" s="94"/>
      <c r="H1668" s="96"/>
    </row>
    <row r="1669" spans="1:8" ht="15" x14ac:dyDescent="0.25">
      <c r="A1669" s="95"/>
      <c r="B1669" s="95"/>
      <c r="C1669" s="95"/>
      <c r="D1669" s="92"/>
      <c r="E1669" s="96"/>
      <c r="F1669" s="97"/>
      <c r="G1669" s="94"/>
      <c r="H1669" s="96"/>
    </row>
    <row r="1670" spans="1:8" ht="15" x14ac:dyDescent="0.25">
      <c r="A1670" s="95"/>
      <c r="B1670" s="95"/>
      <c r="C1670" s="95"/>
      <c r="D1670" s="92"/>
      <c r="E1670" s="96"/>
      <c r="F1670" s="97"/>
      <c r="G1670" s="94"/>
      <c r="H1670" s="96"/>
    </row>
    <row r="1671" spans="1:8" ht="15" x14ac:dyDescent="0.25">
      <c r="A1671" s="95"/>
      <c r="B1671" s="95"/>
      <c r="C1671" s="95"/>
      <c r="D1671" s="92"/>
      <c r="E1671" s="96"/>
      <c r="F1671" s="97"/>
      <c r="G1671" s="94"/>
      <c r="H1671" s="96"/>
    </row>
    <row r="1672" spans="1:8" ht="15" x14ac:dyDescent="0.25">
      <c r="A1672" s="95"/>
      <c r="B1672" s="95"/>
      <c r="C1672" s="95"/>
      <c r="D1672" s="92"/>
      <c r="E1672" s="96"/>
      <c r="F1672" s="97"/>
      <c r="G1672" s="94"/>
      <c r="H1672" s="96"/>
    </row>
    <row r="1673" spans="1:8" ht="15" x14ac:dyDescent="0.25">
      <c r="A1673" s="95"/>
      <c r="B1673" s="95"/>
      <c r="C1673" s="95"/>
      <c r="D1673" s="92"/>
      <c r="E1673" s="96"/>
      <c r="F1673" s="97"/>
      <c r="G1673" s="94"/>
      <c r="H1673" s="96"/>
    </row>
    <row r="1674" spans="1:8" ht="15" x14ac:dyDescent="0.25">
      <c r="A1674" s="95"/>
      <c r="B1674" s="95"/>
      <c r="C1674" s="95"/>
      <c r="D1674" s="92"/>
      <c r="E1674" s="96"/>
      <c r="F1674" s="97"/>
      <c r="G1674" s="94"/>
      <c r="H1674" s="96"/>
    </row>
    <row r="1675" spans="1:8" ht="15" x14ac:dyDescent="0.25">
      <c r="A1675" s="95"/>
      <c r="B1675" s="95"/>
      <c r="C1675" s="95"/>
      <c r="D1675" s="92"/>
      <c r="E1675" s="96"/>
      <c r="F1675" s="97"/>
      <c r="G1675" s="94"/>
      <c r="H1675" s="96"/>
    </row>
    <row r="1676" spans="1:8" ht="15" x14ac:dyDescent="0.25">
      <c r="A1676" s="95"/>
      <c r="B1676" s="95"/>
      <c r="C1676" s="95"/>
      <c r="D1676" s="92"/>
      <c r="E1676" s="96"/>
      <c r="F1676" s="97"/>
      <c r="G1676" s="94"/>
      <c r="H1676" s="96"/>
    </row>
    <row r="1677" spans="1:8" ht="15" x14ac:dyDescent="0.25">
      <c r="A1677" s="95"/>
      <c r="B1677" s="95"/>
      <c r="C1677" s="95"/>
      <c r="D1677" s="92"/>
      <c r="E1677" s="96"/>
      <c r="F1677" s="97"/>
      <c r="G1677" s="94"/>
      <c r="H1677" s="96"/>
    </row>
    <row r="1678" spans="1:8" ht="15" x14ac:dyDescent="0.25">
      <c r="A1678" s="95"/>
      <c r="B1678" s="95"/>
      <c r="C1678" s="95"/>
      <c r="D1678" s="92"/>
      <c r="E1678" s="96"/>
      <c r="F1678" s="97"/>
      <c r="G1678" s="94"/>
      <c r="H1678" s="96"/>
    </row>
    <row r="1679" spans="1:8" ht="15" x14ac:dyDescent="0.25">
      <c r="A1679" s="95"/>
      <c r="B1679" s="95"/>
      <c r="C1679" s="95"/>
      <c r="D1679" s="92"/>
      <c r="E1679" s="96"/>
      <c r="F1679" s="97"/>
      <c r="G1679" s="94"/>
      <c r="H1679" s="96"/>
    </row>
    <row r="1680" spans="1:8" ht="15" x14ac:dyDescent="0.25">
      <c r="A1680" s="95"/>
      <c r="B1680" s="95"/>
      <c r="C1680" s="95"/>
      <c r="D1680" s="92"/>
      <c r="E1680" s="96"/>
      <c r="F1680" s="97"/>
      <c r="G1680" s="94"/>
      <c r="H1680" s="96"/>
    </row>
    <row r="1681" spans="1:8" ht="15" x14ac:dyDescent="0.25">
      <c r="A1681" s="95"/>
      <c r="B1681" s="95"/>
      <c r="C1681" s="95"/>
      <c r="D1681" s="92"/>
      <c r="E1681" s="96"/>
      <c r="F1681" s="97"/>
      <c r="G1681" s="94"/>
      <c r="H1681" s="96"/>
    </row>
    <row r="1682" spans="1:8" ht="15" x14ac:dyDescent="0.25">
      <c r="A1682" s="95"/>
      <c r="B1682" s="95"/>
      <c r="C1682" s="95"/>
      <c r="D1682" s="92"/>
      <c r="E1682" s="96"/>
      <c r="F1682" s="97"/>
      <c r="G1682" s="94"/>
      <c r="H1682" s="96"/>
    </row>
    <row r="1683" spans="1:8" ht="15" x14ac:dyDescent="0.25">
      <c r="A1683" s="95"/>
      <c r="B1683" s="95"/>
      <c r="C1683" s="95"/>
      <c r="D1683" s="92"/>
      <c r="E1683" s="96"/>
      <c r="F1683" s="97"/>
      <c r="G1683" s="94"/>
      <c r="H1683" s="96"/>
    </row>
    <row r="1684" spans="1:8" ht="15" x14ac:dyDescent="0.25">
      <c r="A1684" s="95"/>
      <c r="B1684" s="95"/>
      <c r="C1684" s="95"/>
      <c r="D1684" s="92"/>
      <c r="E1684" s="96"/>
      <c r="F1684" s="97"/>
      <c r="G1684" s="94"/>
      <c r="H1684" s="96"/>
    </row>
    <row r="1685" spans="1:8" ht="15" x14ac:dyDescent="0.25">
      <c r="A1685" s="95"/>
      <c r="B1685" s="95"/>
      <c r="C1685" s="95"/>
      <c r="D1685" s="92"/>
      <c r="E1685" s="96"/>
      <c r="F1685" s="97"/>
      <c r="G1685" s="94"/>
      <c r="H1685" s="96"/>
    </row>
    <row r="1686" spans="1:8" ht="15" x14ac:dyDescent="0.25">
      <c r="A1686" s="95"/>
      <c r="B1686" s="95"/>
      <c r="C1686" s="95"/>
      <c r="D1686" s="92"/>
      <c r="E1686" s="96"/>
      <c r="F1686" s="97"/>
      <c r="G1686" s="94"/>
      <c r="H1686" s="96"/>
    </row>
    <row r="1687" spans="1:8" ht="15" x14ac:dyDescent="0.25">
      <c r="A1687" s="95"/>
      <c r="B1687" s="95"/>
      <c r="C1687" s="95"/>
      <c r="D1687" s="92"/>
      <c r="E1687" s="96"/>
      <c r="F1687" s="97"/>
      <c r="G1687" s="94"/>
      <c r="H1687" s="96"/>
    </row>
    <row r="1688" spans="1:8" ht="15" x14ac:dyDescent="0.25">
      <c r="A1688" s="95"/>
      <c r="B1688" s="95"/>
      <c r="C1688" s="95"/>
      <c r="D1688" s="92"/>
      <c r="E1688" s="96"/>
      <c r="F1688" s="97"/>
      <c r="G1688" s="94"/>
      <c r="H1688" s="96"/>
    </row>
    <row r="1689" spans="1:8" ht="15" x14ac:dyDescent="0.25">
      <c r="A1689" s="95"/>
      <c r="B1689" s="95"/>
      <c r="C1689" s="95"/>
      <c r="D1689" s="92"/>
      <c r="E1689" s="96"/>
      <c r="F1689" s="97"/>
      <c r="G1689" s="94"/>
      <c r="H1689" s="96"/>
    </row>
    <row r="1690" spans="1:8" ht="15" x14ac:dyDescent="0.25">
      <c r="A1690" s="95"/>
      <c r="B1690" s="95"/>
      <c r="C1690" s="95"/>
      <c r="D1690" s="92"/>
      <c r="E1690" s="96"/>
      <c r="F1690" s="97"/>
      <c r="G1690" s="94"/>
      <c r="H1690" s="96"/>
    </row>
    <row r="1691" spans="1:8" ht="15" x14ac:dyDescent="0.25">
      <c r="A1691" s="95"/>
      <c r="B1691" s="95"/>
      <c r="C1691" s="95"/>
      <c r="D1691" s="92"/>
      <c r="E1691" s="96"/>
      <c r="F1691" s="97"/>
      <c r="G1691" s="94"/>
      <c r="H1691" s="96"/>
    </row>
    <row r="1692" spans="1:8" ht="15" x14ac:dyDescent="0.25">
      <c r="A1692" s="95"/>
      <c r="B1692" s="95"/>
      <c r="C1692" s="95"/>
      <c r="D1692" s="92"/>
      <c r="E1692" s="96"/>
      <c r="F1692" s="97"/>
      <c r="G1692" s="94"/>
      <c r="H1692" s="96"/>
    </row>
    <row r="1693" spans="1:8" ht="15" x14ac:dyDescent="0.25">
      <c r="A1693" s="95"/>
      <c r="B1693" s="95"/>
      <c r="C1693" s="95"/>
      <c r="D1693" s="92"/>
      <c r="E1693" s="96"/>
      <c r="F1693" s="97"/>
      <c r="G1693" s="94"/>
      <c r="H1693" s="96"/>
    </row>
    <row r="1694" spans="1:8" ht="15" x14ac:dyDescent="0.25">
      <c r="A1694" s="95"/>
      <c r="B1694" s="95"/>
      <c r="C1694" s="95"/>
      <c r="D1694" s="92"/>
      <c r="E1694" s="96"/>
      <c r="F1694" s="97"/>
      <c r="G1694" s="94"/>
      <c r="H1694" s="96"/>
    </row>
    <row r="1695" spans="1:8" ht="15" x14ac:dyDescent="0.25">
      <c r="A1695" s="95"/>
      <c r="B1695" s="95"/>
      <c r="C1695" s="95"/>
      <c r="D1695" s="92"/>
      <c r="E1695" s="96"/>
      <c r="F1695" s="97"/>
      <c r="G1695" s="94"/>
      <c r="H1695" s="96"/>
    </row>
    <row r="1696" spans="1:8" ht="15" x14ac:dyDescent="0.25">
      <c r="A1696" s="95"/>
      <c r="B1696" s="95"/>
      <c r="C1696" s="95"/>
      <c r="D1696" s="92"/>
      <c r="E1696" s="96"/>
      <c r="F1696" s="97"/>
      <c r="G1696" s="94"/>
      <c r="H1696" s="96"/>
    </row>
    <row r="1697" spans="1:8" ht="15" x14ac:dyDescent="0.25">
      <c r="A1697" s="95"/>
      <c r="B1697" s="95"/>
      <c r="C1697" s="95"/>
      <c r="D1697" s="92"/>
      <c r="E1697" s="96"/>
      <c r="F1697" s="97"/>
      <c r="G1697" s="94"/>
      <c r="H1697" s="96"/>
    </row>
    <row r="1698" spans="1:8" ht="15" x14ac:dyDescent="0.25">
      <c r="A1698" s="95"/>
      <c r="B1698" s="95"/>
      <c r="C1698" s="95"/>
      <c r="D1698" s="92"/>
      <c r="E1698" s="96"/>
      <c r="F1698" s="97"/>
      <c r="G1698" s="94"/>
      <c r="H1698" s="96"/>
    </row>
    <row r="1699" spans="1:8" ht="15" x14ac:dyDescent="0.25">
      <c r="A1699" s="95"/>
      <c r="B1699" s="95"/>
      <c r="C1699" s="95"/>
      <c r="D1699" s="92"/>
      <c r="E1699" s="96"/>
      <c r="F1699" s="97"/>
      <c r="G1699" s="94"/>
      <c r="H1699" s="96"/>
    </row>
    <row r="1700" spans="1:8" ht="15" x14ac:dyDescent="0.25">
      <c r="A1700" s="95"/>
      <c r="B1700" s="95"/>
      <c r="C1700" s="95"/>
      <c r="D1700" s="92"/>
      <c r="E1700" s="96"/>
      <c r="F1700" s="97"/>
      <c r="G1700" s="94"/>
      <c r="H1700" s="96"/>
    </row>
    <row r="1701" spans="1:8" ht="15" x14ac:dyDescent="0.25">
      <c r="A1701" s="95"/>
      <c r="B1701" s="95"/>
      <c r="C1701" s="95"/>
      <c r="D1701" s="92"/>
      <c r="E1701" s="96"/>
      <c r="F1701" s="97"/>
      <c r="G1701" s="94"/>
      <c r="H1701" s="96"/>
    </row>
    <row r="1702" spans="1:8" ht="15" x14ac:dyDescent="0.25">
      <c r="A1702" s="95"/>
      <c r="B1702" s="95"/>
      <c r="C1702" s="95"/>
      <c r="D1702" s="92"/>
      <c r="E1702" s="96"/>
      <c r="F1702" s="97"/>
      <c r="G1702" s="94"/>
      <c r="H1702" s="96"/>
    </row>
    <row r="1703" spans="1:8" ht="15" x14ac:dyDescent="0.25">
      <c r="A1703" s="95"/>
      <c r="B1703" s="95"/>
      <c r="C1703" s="95"/>
      <c r="D1703" s="92"/>
      <c r="E1703" s="96"/>
      <c r="F1703" s="97"/>
      <c r="G1703" s="94"/>
      <c r="H1703" s="96"/>
    </row>
    <row r="1704" spans="1:8" ht="15" x14ac:dyDescent="0.25">
      <c r="A1704" s="95"/>
      <c r="B1704" s="95"/>
      <c r="C1704" s="95"/>
      <c r="D1704" s="92"/>
      <c r="E1704" s="96"/>
      <c r="F1704" s="97"/>
      <c r="G1704" s="94"/>
      <c r="H1704" s="96"/>
    </row>
    <row r="1705" spans="1:8" ht="15" x14ac:dyDescent="0.25">
      <c r="A1705" s="95"/>
      <c r="B1705" s="95"/>
      <c r="C1705" s="95"/>
      <c r="D1705" s="92"/>
      <c r="E1705" s="96"/>
      <c r="F1705" s="97"/>
      <c r="G1705" s="94"/>
      <c r="H1705" s="96"/>
    </row>
    <row r="1706" spans="1:8" ht="15" x14ac:dyDescent="0.25">
      <c r="A1706" s="95"/>
      <c r="B1706" s="95"/>
      <c r="C1706" s="95"/>
      <c r="D1706" s="92"/>
      <c r="E1706" s="96"/>
      <c r="F1706" s="97"/>
      <c r="G1706" s="94"/>
      <c r="H1706" s="96"/>
    </row>
    <row r="1707" spans="1:8" ht="15" x14ac:dyDescent="0.25">
      <c r="A1707" s="95"/>
      <c r="B1707" s="95"/>
      <c r="C1707" s="95"/>
      <c r="D1707" s="92"/>
      <c r="E1707" s="96"/>
      <c r="F1707" s="97"/>
      <c r="G1707" s="94"/>
      <c r="H1707" s="96"/>
    </row>
    <row r="1708" spans="1:8" ht="15" x14ac:dyDescent="0.25">
      <c r="A1708" s="95"/>
      <c r="B1708" s="95"/>
      <c r="C1708" s="95"/>
      <c r="D1708" s="92"/>
      <c r="E1708" s="96"/>
      <c r="F1708" s="97"/>
      <c r="G1708" s="94"/>
      <c r="H1708" s="96"/>
    </row>
    <row r="1709" spans="1:8" ht="15" x14ac:dyDescent="0.25">
      <c r="A1709" s="95"/>
      <c r="B1709" s="95"/>
      <c r="C1709" s="95"/>
      <c r="D1709" s="92"/>
      <c r="E1709" s="96"/>
      <c r="F1709" s="97"/>
      <c r="G1709" s="94"/>
      <c r="H1709" s="96"/>
    </row>
    <row r="1710" spans="1:8" ht="15" x14ac:dyDescent="0.25">
      <c r="A1710" s="95"/>
      <c r="B1710" s="95"/>
      <c r="C1710" s="95"/>
      <c r="D1710" s="92"/>
      <c r="E1710" s="96"/>
      <c r="F1710" s="97"/>
      <c r="G1710" s="94"/>
      <c r="H1710" s="96"/>
    </row>
    <row r="1711" spans="1:8" ht="15" x14ac:dyDescent="0.25">
      <c r="A1711" s="95"/>
      <c r="B1711" s="95"/>
      <c r="C1711" s="95"/>
      <c r="D1711" s="92"/>
      <c r="E1711" s="96"/>
      <c r="F1711" s="97"/>
      <c r="G1711" s="94"/>
      <c r="H1711" s="96"/>
    </row>
    <row r="1712" spans="1:8" ht="15" x14ac:dyDescent="0.25">
      <c r="A1712" s="95"/>
      <c r="B1712" s="95"/>
      <c r="C1712" s="95"/>
      <c r="D1712" s="92"/>
      <c r="E1712" s="96"/>
      <c r="F1712" s="97"/>
      <c r="G1712" s="94"/>
      <c r="H1712" s="96"/>
    </row>
    <row r="1713" spans="1:8" ht="15" x14ac:dyDescent="0.25">
      <c r="A1713" s="95"/>
      <c r="B1713" s="95"/>
      <c r="C1713" s="95"/>
      <c r="D1713" s="92"/>
      <c r="E1713" s="96"/>
      <c r="F1713" s="97"/>
      <c r="G1713" s="94"/>
      <c r="H1713" s="96"/>
    </row>
    <row r="1714" spans="1:8" ht="15" x14ac:dyDescent="0.25">
      <c r="A1714" s="95"/>
      <c r="B1714" s="95"/>
      <c r="C1714" s="95"/>
      <c r="D1714" s="92"/>
      <c r="E1714" s="96"/>
      <c r="F1714" s="97"/>
      <c r="G1714" s="94"/>
      <c r="H1714" s="96"/>
    </row>
    <row r="1715" spans="1:8" ht="15" x14ac:dyDescent="0.25">
      <c r="A1715" s="95"/>
      <c r="B1715" s="95"/>
      <c r="C1715" s="95"/>
      <c r="D1715" s="92"/>
      <c r="E1715" s="96"/>
      <c r="F1715" s="97"/>
      <c r="G1715" s="94"/>
      <c r="H1715" s="96"/>
    </row>
    <row r="1716" spans="1:8" ht="15" x14ac:dyDescent="0.25">
      <c r="A1716" s="95"/>
      <c r="B1716" s="95"/>
      <c r="C1716" s="95"/>
      <c r="D1716" s="92"/>
      <c r="E1716" s="96"/>
      <c r="F1716" s="97"/>
      <c r="G1716" s="94"/>
      <c r="H1716" s="96"/>
    </row>
    <row r="1717" spans="1:8" ht="15" x14ac:dyDescent="0.25">
      <c r="A1717" s="95"/>
      <c r="B1717" s="95"/>
      <c r="C1717" s="95"/>
      <c r="D1717" s="92"/>
      <c r="E1717" s="96"/>
      <c r="F1717" s="97"/>
      <c r="G1717" s="94"/>
      <c r="H1717" s="96"/>
    </row>
    <row r="1718" spans="1:8" ht="15" x14ac:dyDescent="0.25">
      <c r="A1718" s="95"/>
      <c r="B1718" s="95"/>
      <c r="C1718" s="95"/>
      <c r="D1718" s="92"/>
      <c r="E1718" s="96"/>
      <c r="F1718" s="97"/>
      <c r="G1718" s="94"/>
      <c r="H1718" s="96"/>
    </row>
    <row r="1719" spans="1:8" ht="15" x14ac:dyDescent="0.25">
      <c r="A1719" s="95"/>
      <c r="B1719" s="95"/>
      <c r="C1719" s="95"/>
      <c r="D1719" s="92"/>
      <c r="E1719" s="96"/>
      <c r="F1719" s="97"/>
      <c r="G1719" s="94"/>
      <c r="H1719" s="96"/>
    </row>
    <row r="1720" spans="1:8" ht="15" x14ac:dyDescent="0.25">
      <c r="A1720" s="95"/>
      <c r="B1720" s="95"/>
      <c r="C1720" s="95"/>
      <c r="D1720" s="92"/>
      <c r="E1720" s="96"/>
      <c r="F1720" s="97"/>
      <c r="G1720" s="94"/>
      <c r="H1720" s="96"/>
    </row>
    <row r="1721" spans="1:8" ht="15" x14ac:dyDescent="0.25">
      <c r="A1721" s="95"/>
      <c r="B1721" s="95"/>
      <c r="C1721" s="95"/>
      <c r="D1721" s="92"/>
      <c r="E1721" s="96"/>
      <c r="F1721" s="97"/>
      <c r="G1721" s="94"/>
      <c r="H1721" s="96"/>
    </row>
    <row r="1722" spans="1:8" ht="15" x14ac:dyDescent="0.25">
      <c r="A1722" s="95"/>
      <c r="B1722" s="95"/>
      <c r="C1722" s="95"/>
      <c r="D1722" s="92"/>
      <c r="E1722" s="96"/>
      <c r="F1722" s="97"/>
      <c r="G1722" s="94"/>
      <c r="H1722" s="96"/>
    </row>
    <row r="1723" spans="1:8" ht="15" x14ac:dyDescent="0.25">
      <c r="A1723" s="95"/>
      <c r="B1723" s="95"/>
      <c r="C1723" s="95"/>
      <c r="D1723" s="92"/>
      <c r="E1723" s="96"/>
      <c r="F1723" s="97"/>
      <c r="G1723" s="94"/>
      <c r="H1723" s="96"/>
    </row>
    <row r="1724" spans="1:8" ht="15" x14ac:dyDescent="0.25">
      <c r="A1724" s="95"/>
      <c r="B1724" s="95"/>
      <c r="C1724" s="95"/>
      <c r="D1724" s="92"/>
      <c r="E1724" s="96"/>
      <c r="F1724" s="97"/>
      <c r="G1724" s="94"/>
      <c r="H1724" s="96"/>
    </row>
    <row r="1725" spans="1:8" ht="15" x14ac:dyDescent="0.25">
      <c r="A1725" s="95"/>
      <c r="B1725" s="95"/>
      <c r="C1725" s="95"/>
      <c r="D1725" s="92"/>
      <c r="E1725" s="96"/>
      <c r="F1725" s="97"/>
      <c r="G1725" s="94"/>
      <c r="H1725" s="96"/>
    </row>
    <row r="1726" spans="1:8" ht="15" x14ac:dyDescent="0.25">
      <c r="A1726" s="95"/>
      <c r="B1726" s="95"/>
      <c r="C1726" s="95"/>
      <c r="D1726" s="92"/>
      <c r="E1726" s="96"/>
      <c r="F1726" s="97"/>
      <c r="G1726" s="94"/>
      <c r="H1726" s="96"/>
    </row>
    <row r="1727" spans="1:8" ht="15" x14ac:dyDescent="0.25">
      <c r="A1727" s="95"/>
      <c r="B1727" s="95"/>
      <c r="C1727" s="95"/>
      <c r="D1727" s="92"/>
      <c r="E1727" s="96"/>
      <c r="F1727" s="97"/>
      <c r="G1727" s="94"/>
      <c r="H1727" s="96"/>
    </row>
    <row r="1728" spans="1:8" ht="15" x14ac:dyDescent="0.25">
      <c r="A1728" s="95"/>
      <c r="B1728" s="95"/>
      <c r="C1728" s="95"/>
      <c r="D1728" s="92"/>
      <c r="E1728" s="96"/>
      <c r="F1728" s="97"/>
      <c r="G1728" s="94"/>
      <c r="H1728" s="96"/>
    </row>
    <row r="1729" spans="1:8" ht="15" x14ac:dyDescent="0.25">
      <c r="A1729" s="95"/>
      <c r="B1729" s="95"/>
      <c r="C1729" s="95"/>
      <c r="D1729" s="92"/>
      <c r="E1729" s="96"/>
      <c r="F1729" s="97"/>
      <c r="G1729" s="94"/>
      <c r="H1729" s="96"/>
    </row>
    <row r="1730" spans="1:8" ht="15" x14ac:dyDescent="0.25">
      <c r="A1730" s="95"/>
      <c r="B1730" s="95"/>
      <c r="C1730" s="95"/>
      <c r="D1730" s="92"/>
      <c r="E1730" s="96"/>
      <c r="F1730" s="97"/>
      <c r="G1730" s="94"/>
      <c r="H1730" s="96"/>
    </row>
    <row r="1731" spans="1:8" ht="15" x14ac:dyDescent="0.25">
      <c r="A1731" s="95"/>
      <c r="B1731" s="95"/>
      <c r="C1731" s="95"/>
      <c r="D1731" s="92"/>
      <c r="E1731" s="96"/>
      <c r="F1731" s="97"/>
      <c r="G1731" s="94"/>
      <c r="H1731" s="96"/>
    </row>
    <row r="1732" spans="1:8" ht="15" x14ac:dyDescent="0.25">
      <c r="A1732" s="95"/>
      <c r="B1732" s="95"/>
      <c r="C1732" s="95"/>
      <c r="D1732" s="92"/>
      <c r="E1732" s="96"/>
      <c r="F1732" s="97"/>
      <c r="G1732" s="94"/>
      <c r="H1732" s="96"/>
    </row>
    <row r="1733" spans="1:8" ht="15" x14ac:dyDescent="0.25">
      <c r="A1733" s="95"/>
      <c r="B1733" s="95"/>
      <c r="C1733" s="95"/>
      <c r="D1733" s="92"/>
      <c r="E1733" s="96"/>
      <c r="F1733" s="97"/>
      <c r="G1733" s="94"/>
      <c r="H1733" s="96"/>
    </row>
    <row r="1734" spans="1:8" ht="15" x14ac:dyDescent="0.25">
      <c r="A1734" s="95"/>
      <c r="B1734" s="95"/>
      <c r="C1734" s="95"/>
      <c r="D1734" s="92"/>
      <c r="E1734" s="96"/>
      <c r="F1734" s="97"/>
      <c r="G1734" s="94"/>
      <c r="H1734" s="96"/>
    </row>
    <row r="1735" spans="1:8" ht="15" x14ac:dyDescent="0.25">
      <c r="A1735" s="95"/>
      <c r="B1735" s="95"/>
      <c r="C1735" s="95"/>
      <c r="D1735" s="92"/>
      <c r="E1735" s="96"/>
      <c r="F1735" s="97"/>
      <c r="G1735" s="94"/>
      <c r="H1735" s="96"/>
    </row>
    <row r="1736" spans="1:8" ht="15" x14ac:dyDescent="0.25">
      <c r="A1736" s="95"/>
      <c r="B1736" s="95"/>
      <c r="C1736" s="95"/>
      <c r="D1736" s="92"/>
      <c r="E1736" s="96"/>
      <c r="F1736" s="97"/>
      <c r="G1736" s="94"/>
      <c r="H1736" s="96"/>
    </row>
    <row r="1737" spans="1:8" ht="15" x14ac:dyDescent="0.25">
      <c r="A1737" s="95"/>
      <c r="B1737" s="95"/>
      <c r="C1737" s="95"/>
      <c r="D1737" s="92"/>
      <c r="E1737" s="96"/>
      <c r="F1737" s="97"/>
      <c r="G1737" s="94"/>
      <c r="H1737" s="96"/>
    </row>
    <row r="1738" spans="1:8" ht="15" x14ac:dyDescent="0.25">
      <c r="A1738" s="95"/>
      <c r="B1738" s="95"/>
      <c r="C1738" s="95"/>
      <c r="D1738" s="92"/>
      <c r="E1738" s="96"/>
      <c r="F1738" s="97"/>
      <c r="G1738" s="94"/>
      <c r="H1738" s="96"/>
    </row>
    <row r="1739" spans="1:8" ht="15" x14ac:dyDescent="0.25">
      <c r="A1739" s="95"/>
      <c r="B1739" s="95"/>
      <c r="C1739" s="95"/>
      <c r="D1739" s="92"/>
      <c r="E1739" s="96"/>
      <c r="F1739" s="97"/>
      <c r="G1739" s="94"/>
      <c r="H1739" s="96"/>
    </row>
    <row r="1740" spans="1:8" ht="15" x14ac:dyDescent="0.25">
      <c r="A1740" s="95"/>
      <c r="B1740" s="95"/>
      <c r="C1740" s="95"/>
      <c r="D1740" s="92"/>
      <c r="E1740" s="96"/>
      <c r="F1740" s="97"/>
      <c r="G1740" s="94"/>
      <c r="H1740" s="96"/>
    </row>
    <row r="1741" spans="1:8" ht="15" x14ac:dyDescent="0.25">
      <c r="A1741" s="95"/>
      <c r="B1741" s="95"/>
      <c r="C1741" s="95"/>
      <c r="D1741" s="92"/>
      <c r="E1741" s="96"/>
      <c r="F1741" s="97"/>
      <c r="G1741" s="94"/>
      <c r="H1741" s="96"/>
    </row>
    <row r="1742" spans="1:8" ht="15" x14ac:dyDescent="0.25">
      <c r="A1742" s="95"/>
      <c r="B1742" s="95"/>
      <c r="C1742" s="95"/>
      <c r="D1742" s="92"/>
      <c r="E1742" s="96"/>
      <c r="F1742" s="97"/>
      <c r="G1742" s="94"/>
      <c r="H1742" s="96"/>
    </row>
    <row r="1743" spans="1:8" ht="15" x14ac:dyDescent="0.25">
      <c r="A1743" s="95"/>
      <c r="B1743" s="95"/>
      <c r="C1743" s="95"/>
      <c r="D1743" s="92"/>
      <c r="E1743" s="96"/>
      <c r="F1743" s="97"/>
      <c r="G1743" s="94"/>
      <c r="H1743" s="96"/>
    </row>
    <row r="1744" spans="1:8" ht="15" x14ac:dyDescent="0.25">
      <c r="A1744" s="95"/>
      <c r="B1744" s="95"/>
      <c r="C1744" s="95"/>
      <c r="D1744" s="92"/>
      <c r="E1744" s="96"/>
      <c r="F1744" s="97"/>
      <c r="G1744" s="94"/>
      <c r="H1744" s="96"/>
    </row>
    <row r="1745" spans="1:8" ht="15" x14ac:dyDescent="0.25">
      <c r="A1745" s="95"/>
      <c r="B1745" s="95"/>
      <c r="C1745" s="95"/>
      <c r="D1745" s="92"/>
      <c r="E1745" s="96"/>
      <c r="F1745" s="97"/>
      <c r="G1745" s="94"/>
      <c r="H1745" s="96"/>
    </row>
    <row r="1746" spans="1:8" ht="15" x14ac:dyDescent="0.25">
      <c r="A1746" s="95"/>
      <c r="B1746" s="95"/>
      <c r="C1746" s="95"/>
      <c r="D1746" s="92"/>
      <c r="E1746" s="96"/>
      <c r="F1746" s="97"/>
      <c r="G1746" s="94"/>
      <c r="H1746" s="96"/>
    </row>
    <row r="1747" spans="1:8" ht="15" x14ac:dyDescent="0.25">
      <c r="A1747" s="95"/>
      <c r="B1747" s="95"/>
      <c r="C1747" s="95"/>
      <c r="D1747" s="92"/>
      <c r="E1747" s="96"/>
      <c r="F1747" s="97"/>
      <c r="G1747" s="94"/>
      <c r="H1747" s="96"/>
    </row>
    <row r="1748" spans="1:8" ht="15" x14ac:dyDescent="0.25">
      <c r="A1748" s="95"/>
      <c r="B1748" s="95"/>
      <c r="C1748" s="95"/>
      <c r="D1748" s="92"/>
      <c r="E1748" s="96"/>
      <c r="F1748" s="97"/>
      <c r="G1748" s="94"/>
      <c r="H1748" s="96"/>
    </row>
    <row r="1749" spans="1:8" ht="15" x14ac:dyDescent="0.25">
      <c r="A1749" s="95"/>
      <c r="B1749" s="95"/>
      <c r="C1749" s="95"/>
      <c r="D1749" s="92"/>
      <c r="E1749" s="96"/>
      <c r="F1749" s="97"/>
      <c r="G1749" s="94"/>
      <c r="H1749" s="96"/>
    </row>
    <row r="1750" spans="1:8" ht="15" x14ac:dyDescent="0.25">
      <c r="A1750" s="95"/>
      <c r="B1750" s="95"/>
      <c r="C1750" s="95"/>
      <c r="D1750" s="92"/>
      <c r="E1750" s="96"/>
      <c r="F1750" s="97"/>
      <c r="G1750" s="94"/>
      <c r="H1750" s="96"/>
    </row>
    <row r="1751" spans="1:8" ht="15" x14ac:dyDescent="0.25">
      <c r="A1751" s="95"/>
      <c r="B1751" s="95"/>
      <c r="C1751" s="95"/>
      <c r="D1751" s="92"/>
      <c r="E1751" s="96"/>
      <c r="F1751" s="97"/>
      <c r="G1751" s="94"/>
      <c r="H1751" s="96"/>
    </row>
    <row r="1752" spans="1:8" ht="15" x14ac:dyDescent="0.25">
      <c r="A1752" s="95"/>
      <c r="B1752" s="95"/>
      <c r="C1752" s="95"/>
      <c r="D1752" s="92"/>
      <c r="E1752" s="96"/>
      <c r="F1752" s="97"/>
      <c r="G1752" s="94"/>
      <c r="H1752" s="96"/>
    </row>
    <row r="1753" spans="1:8" ht="15" x14ac:dyDescent="0.25">
      <c r="A1753" s="95"/>
      <c r="B1753" s="95"/>
      <c r="C1753" s="95"/>
      <c r="D1753" s="92"/>
      <c r="E1753" s="96"/>
      <c r="F1753" s="97"/>
      <c r="G1753" s="94"/>
      <c r="H1753" s="96"/>
    </row>
    <row r="1754" spans="1:8" ht="15" x14ac:dyDescent="0.25">
      <c r="A1754" s="95"/>
      <c r="B1754" s="95"/>
      <c r="C1754" s="95"/>
      <c r="D1754" s="92"/>
      <c r="E1754" s="96"/>
      <c r="F1754" s="97"/>
      <c r="G1754" s="94"/>
      <c r="H1754" s="96"/>
    </row>
    <row r="1755" spans="1:8" ht="15" x14ac:dyDescent="0.25">
      <c r="A1755" s="95"/>
      <c r="B1755" s="95"/>
      <c r="C1755" s="95"/>
      <c r="D1755" s="92"/>
      <c r="E1755" s="96"/>
      <c r="F1755" s="97"/>
      <c r="G1755" s="94"/>
      <c r="H1755" s="96"/>
    </row>
    <row r="1756" spans="1:8" ht="15" x14ac:dyDescent="0.25">
      <c r="A1756" s="95"/>
      <c r="B1756" s="95"/>
      <c r="C1756" s="95"/>
      <c r="D1756" s="92"/>
      <c r="E1756" s="96"/>
      <c r="F1756" s="97"/>
      <c r="G1756" s="94"/>
      <c r="H1756" s="96"/>
    </row>
    <row r="1757" spans="1:8" ht="15" x14ac:dyDescent="0.25">
      <c r="A1757" s="95"/>
      <c r="B1757" s="95"/>
      <c r="C1757" s="95"/>
      <c r="D1757" s="92"/>
      <c r="E1757" s="96"/>
      <c r="F1757" s="97"/>
      <c r="G1757" s="94"/>
      <c r="H1757" s="96"/>
    </row>
    <row r="1758" spans="1:8" ht="15" x14ac:dyDescent="0.25">
      <c r="A1758" s="95"/>
      <c r="B1758" s="95"/>
      <c r="C1758" s="95"/>
      <c r="D1758" s="92"/>
      <c r="E1758" s="96"/>
      <c r="F1758" s="97"/>
      <c r="G1758" s="94"/>
      <c r="H1758" s="96"/>
    </row>
    <row r="1759" spans="1:8" ht="15" x14ac:dyDescent="0.25">
      <c r="A1759" s="95"/>
      <c r="B1759" s="95"/>
      <c r="C1759" s="95"/>
      <c r="D1759" s="92"/>
      <c r="E1759" s="96"/>
      <c r="F1759" s="97"/>
      <c r="G1759" s="94"/>
      <c r="H1759" s="96"/>
    </row>
    <row r="1760" spans="1:8" ht="15" x14ac:dyDescent="0.25">
      <c r="A1760" s="95"/>
      <c r="B1760" s="95"/>
      <c r="C1760" s="95"/>
      <c r="D1760" s="92"/>
      <c r="E1760" s="96"/>
      <c r="F1760" s="97"/>
      <c r="G1760" s="94"/>
      <c r="H1760" s="96"/>
    </row>
    <row r="1761" spans="1:8" ht="15" x14ac:dyDescent="0.25">
      <c r="A1761" s="95"/>
      <c r="B1761" s="95"/>
      <c r="C1761" s="95"/>
      <c r="D1761" s="92"/>
      <c r="E1761" s="96"/>
      <c r="F1761" s="97"/>
      <c r="G1761" s="94"/>
      <c r="H1761" s="96"/>
    </row>
    <row r="1762" spans="1:8" ht="15" x14ac:dyDescent="0.25">
      <c r="A1762" s="95"/>
      <c r="B1762" s="95"/>
      <c r="C1762" s="95"/>
      <c r="D1762" s="92"/>
      <c r="E1762" s="96"/>
      <c r="F1762" s="97"/>
      <c r="G1762" s="94"/>
      <c r="H1762" s="96"/>
    </row>
    <row r="1763" spans="1:8" ht="15" x14ac:dyDescent="0.25">
      <c r="A1763" s="95"/>
      <c r="B1763" s="95"/>
      <c r="C1763" s="95"/>
      <c r="D1763" s="92"/>
      <c r="E1763" s="96"/>
      <c r="F1763" s="97"/>
      <c r="G1763" s="94"/>
      <c r="H1763" s="96"/>
    </row>
    <row r="1764" spans="1:8" ht="15" x14ac:dyDescent="0.25">
      <c r="A1764" s="95"/>
      <c r="B1764" s="95"/>
      <c r="C1764" s="95"/>
      <c r="D1764" s="92"/>
      <c r="E1764" s="96"/>
      <c r="F1764" s="97"/>
      <c r="G1764" s="94"/>
      <c r="H1764" s="96"/>
    </row>
    <row r="1765" spans="1:8" ht="15" x14ac:dyDescent="0.25">
      <c r="A1765" s="95"/>
      <c r="B1765" s="95"/>
      <c r="C1765" s="95"/>
      <c r="D1765" s="92"/>
      <c r="E1765" s="96"/>
      <c r="F1765" s="97"/>
      <c r="G1765" s="94"/>
      <c r="H1765" s="96"/>
    </row>
    <row r="1766" spans="1:8" ht="15" x14ac:dyDescent="0.25">
      <c r="A1766" s="95"/>
      <c r="B1766" s="95"/>
      <c r="C1766" s="95"/>
      <c r="D1766" s="92"/>
      <c r="E1766" s="96"/>
      <c r="F1766" s="97"/>
      <c r="G1766" s="94"/>
      <c r="H1766" s="96"/>
    </row>
    <row r="1767" spans="1:8" ht="15" x14ac:dyDescent="0.25">
      <c r="A1767" s="95"/>
      <c r="B1767" s="95"/>
      <c r="C1767" s="95"/>
      <c r="D1767" s="92"/>
      <c r="E1767" s="96"/>
      <c r="F1767" s="97"/>
      <c r="G1767" s="94"/>
      <c r="H1767" s="96"/>
    </row>
    <row r="1768" spans="1:8" ht="15" x14ac:dyDescent="0.25">
      <c r="A1768" s="95"/>
      <c r="B1768" s="95"/>
      <c r="C1768" s="95"/>
      <c r="D1768" s="92"/>
      <c r="E1768" s="96"/>
      <c r="F1768" s="97"/>
      <c r="G1768" s="94"/>
      <c r="H1768" s="96"/>
    </row>
    <row r="1769" spans="1:8" ht="15" x14ac:dyDescent="0.25">
      <c r="A1769" s="95"/>
      <c r="B1769" s="95"/>
      <c r="C1769" s="95"/>
      <c r="D1769" s="92"/>
      <c r="E1769" s="96"/>
      <c r="F1769" s="97"/>
      <c r="G1769" s="94"/>
      <c r="H1769" s="96"/>
    </row>
    <row r="1770" spans="1:8" ht="15" x14ac:dyDescent="0.25">
      <c r="A1770" s="95"/>
      <c r="B1770" s="95"/>
      <c r="C1770" s="95"/>
      <c r="D1770" s="92"/>
      <c r="E1770" s="96"/>
      <c r="F1770" s="97"/>
      <c r="G1770" s="94"/>
      <c r="H1770" s="96"/>
    </row>
    <row r="1771" spans="1:8" ht="15" x14ac:dyDescent="0.25">
      <c r="A1771" s="95"/>
      <c r="B1771" s="95"/>
      <c r="C1771" s="95"/>
      <c r="D1771" s="92"/>
      <c r="E1771" s="96"/>
      <c r="F1771" s="97"/>
      <c r="G1771" s="94"/>
      <c r="H1771" s="96"/>
    </row>
    <row r="1772" spans="1:8" ht="15" x14ac:dyDescent="0.25">
      <c r="A1772" s="95"/>
      <c r="B1772" s="95"/>
      <c r="C1772" s="95"/>
      <c r="D1772" s="92"/>
      <c r="E1772" s="96"/>
      <c r="F1772" s="97"/>
      <c r="G1772" s="94"/>
      <c r="H1772" s="96"/>
    </row>
    <row r="1773" spans="1:8" ht="15" x14ac:dyDescent="0.25">
      <c r="A1773" s="95"/>
      <c r="B1773" s="95"/>
      <c r="C1773" s="95"/>
      <c r="D1773" s="92"/>
      <c r="E1773" s="96"/>
      <c r="F1773" s="97"/>
      <c r="G1773" s="94"/>
      <c r="H1773" s="96"/>
    </row>
    <row r="1774" spans="1:8" ht="15" x14ac:dyDescent="0.25">
      <c r="A1774" s="95"/>
      <c r="B1774" s="95"/>
      <c r="C1774" s="95"/>
      <c r="D1774" s="92"/>
      <c r="E1774" s="96"/>
      <c r="F1774" s="97"/>
      <c r="G1774" s="94"/>
      <c r="H1774" s="96"/>
    </row>
    <row r="1775" spans="1:8" ht="15" x14ac:dyDescent="0.25">
      <c r="A1775" s="95"/>
      <c r="B1775" s="95"/>
      <c r="C1775" s="95"/>
      <c r="D1775" s="92"/>
      <c r="E1775" s="96"/>
      <c r="F1775" s="97"/>
      <c r="G1775" s="94"/>
      <c r="H1775" s="96"/>
    </row>
    <row r="1776" spans="1:8" ht="15" x14ac:dyDescent="0.25">
      <c r="A1776" s="95"/>
      <c r="B1776" s="95"/>
      <c r="C1776" s="95"/>
      <c r="D1776" s="92"/>
      <c r="E1776" s="96"/>
      <c r="F1776" s="97"/>
      <c r="G1776" s="94"/>
      <c r="H1776" s="96"/>
    </row>
    <row r="1777" spans="1:8" ht="15" x14ac:dyDescent="0.25">
      <c r="A1777" s="95"/>
      <c r="B1777" s="95"/>
      <c r="C1777" s="95"/>
      <c r="D1777" s="92"/>
      <c r="E1777" s="96"/>
      <c r="F1777" s="97"/>
      <c r="G1777" s="94"/>
      <c r="H1777" s="96"/>
    </row>
    <row r="1778" spans="1:8" ht="15" x14ac:dyDescent="0.25">
      <c r="A1778" s="95"/>
      <c r="B1778" s="95"/>
      <c r="C1778" s="95"/>
      <c r="D1778" s="92"/>
      <c r="E1778" s="96"/>
      <c r="F1778" s="97"/>
      <c r="G1778" s="94"/>
      <c r="H1778" s="96"/>
    </row>
    <row r="1779" spans="1:8" ht="15" x14ac:dyDescent="0.25">
      <c r="A1779" s="95"/>
      <c r="B1779" s="95"/>
      <c r="C1779" s="95"/>
      <c r="D1779" s="92"/>
      <c r="E1779" s="96"/>
      <c r="F1779" s="97"/>
      <c r="G1779" s="94"/>
      <c r="H1779" s="96"/>
    </row>
    <row r="1780" spans="1:8" ht="15" x14ac:dyDescent="0.25">
      <c r="A1780" s="95"/>
      <c r="B1780" s="95"/>
      <c r="C1780" s="95"/>
      <c r="D1780" s="92"/>
      <c r="E1780" s="96"/>
      <c r="F1780" s="97"/>
      <c r="G1780" s="94"/>
      <c r="H1780" s="96"/>
    </row>
    <row r="1781" spans="1:8" ht="15" x14ac:dyDescent="0.25">
      <c r="A1781" s="95"/>
      <c r="B1781" s="95"/>
      <c r="C1781" s="95"/>
      <c r="D1781" s="92"/>
      <c r="E1781" s="96"/>
      <c r="F1781" s="97"/>
      <c r="G1781" s="94"/>
      <c r="H1781" s="96"/>
    </row>
    <row r="1782" spans="1:8" ht="15" x14ac:dyDescent="0.25">
      <c r="A1782" s="95"/>
      <c r="B1782" s="95"/>
      <c r="C1782" s="95"/>
      <c r="D1782" s="92"/>
      <c r="E1782" s="96"/>
      <c r="F1782" s="97"/>
      <c r="G1782" s="94"/>
      <c r="H1782" s="96"/>
    </row>
    <row r="1783" spans="1:8" ht="15" x14ac:dyDescent="0.25">
      <c r="A1783" s="95"/>
      <c r="B1783" s="95"/>
      <c r="C1783" s="95"/>
      <c r="D1783" s="92"/>
      <c r="E1783" s="96"/>
      <c r="F1783" s="97"/>
      <c r="G1783" s="94"/>
      <c r="H1783" s="96"/>
    </row>
    <row r="1784" spans="1:8" ht="15" x14ac:dyDescent="0.25">
      <c r="A1784" s="95"/>
      <c r="B1784" s="95"/>
      <c r="C1784" s="95"/>
      <c r="D1784" s="92"/>
      <c r="E1784" s="96"/>
      <c r="F1784" s="97"/>
      <c r="G1784" s="94"/>
      <c r="H1784" s="96"/>
    </row>
    <row r="1785" spans="1:8" ht="15" x14ac:dyDescent="0.25">
      <c r="A1785" s="95"/>
      <c r="B1785" s="95"/>
      <c r="C1785" s="95"/>
      <c r="D1785" s="92"/>
      <c r="E1785" s="96"/>
      <c r="F1785" s="97"/>
      <c r="G1785" s="94"/>
      <c r="H1785" s="96"/>
    </row>
    <row r="1786" spans="1:8" ht="15" x14ac:dyDescent="0.25">
      <c r="A1786" s="95"/>
      <c r="B1786" s="95"/>
      <c r="C1786" s="95"/>
      <c r="D1786" s="92"/>
      <c r="E1786" s="96"/>
      <c r="F1786" s="97"/>
      <c r="G1786" s="94"/>
      <c r="H1786" s="96"/>
    </row>
    <row r="1787" spans="1:8" ht="15" x14ac:dyDescent="0.25">
      <c r="A1787" s="95"/>
      <c r="B1787" s="95"/>
      <c r="C1787" s="95"/>
      <c r="D1787" s="92"/>
      <c r="E1787" s="96"/>
      <c r="F1787" s="97"/>
      <c r="G1787" s="94"/>
      <c r="H1787" s="96"/>
    </row>
    <row r="1788" spans="1:8" ht="15" x14ac:dyDescent="0.25">
      <c r="A1788" s="95"/>
      <c r="B1788" s="95"/>
      <c r="C1788" s="95"/>
      <c r="D1788" s="92"/>
      <c r="E1788" s="96"/>
      <c r="F1788" s="97"/>
      <c r="G1788" s="94"/>
      <c r="H1788" s="96"/>
    </row>
    <row r="1789" spans="1:8" ht="15" x14ac:dyDescent="0.25">
      <c r="A1789" s="95"/>
      <c r="B1789" s="95"/>
      <c r="C1789" s="95"/>
      <c r="D1789" s="92"/>
      <c r="E1789" s="96"/>
      <c r="F1789" s="97"/>
      <c r="G1789" s="94"/>
      <c r="H1789" s="96"/>
    </row>
    <row r="1790" spans="1:8" ht="15" x14ac:dyDescent="0.25">
      <c r="A1790" s="95"/>
      <c r="B1790" s="95"/>
      <c r="C1790" s="95"/>
      <c r="D1790" s="92"/>
      <c r="E1790" s="96"/>
      <c r="F1790" s="97"/>
      <c r="G1790" s="94"/>
      <c r="H1790" s="96"/>
    </row>
    <row r="1791" spans="1:8" ht="15" x14ac:dyDescent="0.25">
      <c r="A1791" s="95"/>
      <c r="B1791" s="95"/>
      <c r="C1791" s="95"/>
      <c r="D1791" s="92"/>
      <c r="E1791" s="96"/>
      <c r="F1791" s="97"/>
      <c r="G1791" s="94"/>
      <c r="H1791" s="96"/>
    </row>
    <row r="1792" spans="1:8" ht="15" x14ac:dyDescent="0.25">
      <c r="A1792" s="95"/>
      <c r="B1792" s="95"/>
      <c r="C1792" s="95"/>
      <c r="D1792" s="92"/>
      <c r="E1792" s="96"/>
      <c r="F1792" s="97"/>
      <c r="G1792" s="94"/>
      <c r="H1792" s="96"/>
    </row>
    <row r="1793" spans="1:8" ht="15" x14ac:dyDescent="0.25">
      <c r="A1793" s="95"/>
      <c r="B1793" s="95"/>
      <c r="C1793" s="95"/>
      <c r="D1793" s="92"/>
      <c r="E1793" s="96"/>
      <c r="F1793" s="97"/>
      <c r="G1793" s="94"/>
      <c r="H1793" s="96"/>
    </row>
    <row r="1794" spans="1:8" ht="15" x14ac:dyDescent="0.25">
      <c r="A1794" s="95"/>
      <c r="B1794" s="95"/>
      <c r="C1794" s="95"/>
      <c r="D1794" s="92"/>
      <c r="E1794" s="96"/>
      <c r="F1794" s="97"/>
      <c r="G1794" s="94"/>
      <c r="H1794" s="96"/>
    </row>
    <row r="1795" spans="1:8" ht="15" x14ac:dyDescent="0.25">
      <c r="A1795" s="95"/>
      <c r="B1795" s="95"/>
      <c r="C1795" s="95"/>
      <c r="D1795" s="92"/>
      <c r="E1795" s="96"/>
      <c r="F1795" s="97"/>
      <c r="G1795" s="94"/>
      <c r="H1795" s="96"/>
    </row>
    <row r="1796" spans="1:8" ht="15" x14ac:dyDescent="0.25">
      <c r="A1796" s="95"/>
      <c r="B1796" s="95"/>
      <c r="C1796" s="95"/>
      <c r="D1796" s="92"/>
      <c r="E1796" s="96"/>
      <c r="F1796" s="97"/>
      <c r="G1796" s="94"/>
      <c r="H1796" s="96"/>
    </row>
    <row r="1797" spans="1:8" ht="15" x14ac:dyDescent="0.25">
      <c r="A1797" s="95"/>
      <c r="B1797" s="95"/>
      <c r="C1797" s="95"/>
      <c r="D1797" s="92"/>
      <c r="E1797" s="96"/>
      <c r="F1797" s="97"/>
      <c r="G1797" s="94"/>
      <c r="H1797" s="96"/>
    </row>
    <row r="1798" spans="1:8" ht="15" x14ac:dyDescent="0.25">
      <c r="A1798" s="95"/>
      <c r="B1798" s="95"/>
      <c r="C1798" s="95"/>
      <c r="D1798" s="92"/>
      <c r="E1798" s="96"/>
      <c r="F1798" s="97"/>
      <c r="G1798" s="94"/>
      <c r="H1798" s="96"/>
    </row>
    <row r="1799" spans="1:8" ht="15" x14ac:dyDescent="0.25">
      <c r="A1799" s="95"/>
      <c r="B1799" s="95"/>
      <c r="C1799" s="95"/>
      <c r="D1799" s="92"/>
      <c r="E1799" s="96"/>
      <c r="F1799" s="97"/>
      <c r="G1799" s="94"/>
      <c r="H1799" s="96"/>
    </row>
    <row r="1800" spans="1:8" ht="15" x14ac:dyDescent="0.25">
      <c r="A1800" s="95"/>
      <c r="B1800" s="95"/>
      <c r="C1800" s="95"/>
      <c r="D1800" s="92"/>
      <c r="E1800" s="96"/>
      <c r="F1800" s="97"/>
      <c r="G1800" s="94"/>
      <c r="H1800" s="96"/>
    </row>
    <row r="1801" spans="1:8" ht="15" x14ac:dyDescent="0.25">
      <c r="A1801" s="95"/>
      <c r="B1801" s="95"/>
      <c r="C1801" s="95"/>
      <c r="D1801" s="92"/>
      <c r="E1801" s="96"/>
      <c r="F1801" s="97"/>
      <c r="G1801" s="94"/>
      <c r="H1801" s="96"/>
    </row>
    <row r="1802" spans="1:8" ht="15" x14ac:dyDescent="0.25">
      <c r="A1802" s="95"/>
      <c r="B1802" s="95"/>
      <c r="C1802" s="95"/>
      <c r="D1802" s="92"/>
      <c r="E1802" s="96"/>
      <c r="F1802" s="97"/>
      <c r="G1802" s="94"/>
      <c r="H1802" s="96"/>
    </row>
    <row r="1803" spans="1:8" ht="15" x14ac:dyDescent="0.25">
      <c r="A1803" s="95"/>
      <c r="B1803" s="95"/>
      <c r="C1803" s="95"/>
      <c r="D1803" s="92"/>
      <c r="E1803" s="96"/>
      <c r="F1803" s="97"/>
      <c r="G1803" s="94"/>
      <c r="H1803" s="96"/>
    </row>
    <row r="1804" spans="1:8" ht="15" x14ac:dyDescent="0.25">
      <c r="A1804" s="95"/>
      <c r="B1804" s="95"/>
      <c r="C1804" s="95"/>
      <c r="D1804" s="92"/>
      <c r="E1804" s="96"/>
      <c r="F1804" s="97"/>
      <c r="G1804" s="94"/>
      <c r="H1804" s="96"/>
    </row>
    <row r="1805" spans="1:8" ht="15" x14ac:dyDescent="0.25">
      <c r="A1805" s="95"/>
      <c r="B1805" s="95"/>
      <c r="C1805" s="95"/>
      <c r="D1805" s="92"/>
      <c r="E1805" s="96"/>
      <c r="F1805" s="97"/>
      <c r="G1805" s="94"/>
      <c r="H1805" s="96"/>
    </row>
    <row r="1806" spans="1:8" ht="15" x14ac:dyDescent="0.25">
      <c r="A1806" s="95"/>
      <c r="B1806" s="95"/>
      <c r="C1806" s="95"/>
      <c r="D1806" s="92"/>
      <c r="E1806" s="96"/>
      <c r="F1806" s="97"/>
      <c r="G1806" s="94"/>
      <c r="H1806" s="96"/>
    </row>
    <row r="1807" spans="1:8" ht="15" x14ac:dyDescent="0.25">
      <c r="A1807" s="95"/>
      <c r="B1807" s="95"/>
      <c r="C1807" s="95"/>
      <c r="D1807" s="92"/>
      <c r="E1807" s="96"/>
      <c r="F1807" s="97"/>
      <c r="G1807" s="94"/>
      <c r="H1807" s="96"/>
    </row>
    <row r="1808" spans="1:8" ht="15" x14ac:dyDescent="0.25">
      <c r="A1808" s="95"/>
      <c r="B1808" s="95"/>
      <c r="C1808" s="95"/>
      <c r="D1808" s="92"/>
      <c r="E1808" s="96"/>
      <c r="F1808" s="97"/>
      <c r="G1808" s="94"/>
      <c r="H1808" s="96"/>
    </row>
    <row r="1809" spans="1:8" ht="15" x14ac:dyDescent="0.25">
      <c r="A1809" s="95"/>
      <c r="B1809" s="95"/>
      <c r="C1809" s="95"/>
      <c r="D1809" s="92"/>
      <c r="E1809" s="96"/>
      <c r="F1809" s="97"/>
      <c r="G1809" s="94"/>
      <c r="H1809" s="96"/>
    </row>
    <row r="1810" spans="1:8" ht="15" x14ac:dyDescent="0.25">
      <c r="A1810" s="95"/>
      <c r="B1810" s="95"/>
      <c r="C1810" s="95"/>
      <c r="D1810" s="92"/>
      <c r="E1810" s="96"/>
      <c r="F1810" s="97"/>
      <c r="G1810" s="94"/>
      <c r="H1810" s="96"/>
    </row>
    <row r="1811" spans="1:8" ht="15" x14ac:dyDescent="0.25">
      <c r="A1811" s="95"/>
      <c r="B1811" s="95"/>
      <c r="C1811" s="95"/>
      <c r="D1811" s="92"/>
      <c r="E1811" s="96"/>
      <c r="F1811" s="97"/>
      <c r="G1811" s="94"/>
      <c r="H1811" s="96"/>
    </row>
    <row r="1812" spans="1:8" ht="15" x14ac:dyDescent="0.25">
      <c r="A1812" s="95"/>
      <c r="B1812" s="95"/>
      <c r="C1812" s="95"/>
      <c r="D1812" s="92"/>
      <c r="E1812" s="96"/>
      <c r="F1812" s="97"/>
      <c r="G1812" s="94"/>
      <c r="H1812" s="96"/>
    </row>
    <row r="1813" spans="1:8" ht="15" x14ac:dyDescent="0.25">
      <c r="A1813" s="95"/>
      <c r="B1813" s="95"/>
      <c r="C1813" s="95"/>
      <c r="D1813" s="92"/>
      <c r="E1813" s="96"/>
      <c r="F1813" s="97"/>
      <c r="G1813" s="94"/>
      <c r="H1813" s="96"/>
    </row>
    <row r="1814" spans="1:8" ht="15" x14ac:dyDescent="0.25">
      <c r="A1814" s="95"/>
      <c r="B1814" s="95"/>
      <c r="C1814" s="95"/>
      <c r="D1814" s="92"/>
      <c r="E1814" s="96"/>
      <c r="F1814" s="97"/>
      <c r="G1814" s="94"/>
      <c r="H1814" s="96"/>
    </row>
    <row r="1815" spans="1:8" ht="15" x14ac:dyDescent="0.25">
      <c r="A1815" s="95"/>
      <c r="B1815" s="95"/>
      <c r="C1815" s="95"/>
      <c r="D1815" s="92"/>
      <c r="E1815" s="96"/>
      <c r="F1815" s="97"/>
      <c r="G1815" s="94"/>
      <c r="H1815" s="96"/>
    </row>
    <row r="1816" spans="1:8" ht="15" x14ac:dyDescent="0.25">
      <c r="A1816" s="95"/>
      <c r="B1816" s="95"/>
      <c r="C1816" s="95"/>
      <c r="D1816" s="92"/>
      <c r="E1816" s="96"/>
      <c r="F1816" s="97"/>
      <c r="G1816" s="94"/>
      <c r="H1816" s="96"/>
    </row>
    <row r="1817" spans="1:8" ht="15" x14ac:dyDescent="0.25">
      <c r="A1817" s="95"/>
      <c r="B1817" s="95"/>
      <c r="C1817" s="95"/>
      <c r="D1817" s="92"/>
      <c r="E1817" s="96"/>
      <c r="F1817" s="97"/>
      <c r="G1817" s="94"/>
      <c r="H1817" s="96"/>
    </row>
    <row r="1818" spans="1:8" ht="15" x14ac:dyDescent="0.25">
      <c r="A1818" s="95"/>
      <c r="B1818" s="95"/>
      <c r="C1818" s="95"/>
      <c r="D1818" s="92"/>
      <c r="E1818" s="96"/>
      <c r="F1818" s="97"/>
      <c r="G1818" s="94"/>
      <c r="H1818" s="96"/>
    </row>
    <row r="1819" spans="1:8" ht="15" x14ac:dyDescent="0.25">
      <c r="A1819" s="95"/>
      <c r="B1819" s="95"/>
      <c r="C1819" s="95"/>
      <c r="D1819" s="92"/>
      <c r="E1819" s="96"/>
      <c r="F1819" s="97"/>
      <c r="G1819" s="94"/>
      <c r="H1819" s="96"/>
    </row>
    <row r="1820" spans="1:8" ht="15" x14ac:dyDescent="0.25">
      <c r="A1820" s="95"/>
      <c r="B1820" s="95"/>
      <c r="C1820" s="95"/>
      <c r="D1820" s="92"/>
      <c r="E1820" s="96"/>
      <c r="F1820" s="97"/>
      <c r="G1820" s="94"/>
      <c r="H1820" s="96"/>
    </row>
    <row r="1821" spans="1:8" ht="15" x14ac:dyDescent="0.25">
      <c r="A1821" s="95"/>
      <c r="B1821" s="95"/>
      <c r="C1821" s="95"/>
      <c r="D1821" s="92"/>
      <c r="E1821" s="96"/>
      <c r="F1821" s="97"/>
      <c r="G1821" s="94"/>
      <c r="H1821" s="96"/>
    </row>
    <row r="1822" spans="1:8" ht="15" x14ac:dyDescent="0.25">
      <c r="A1822" s="95"/>
      <c r="B1822" s="95"/>
      <c r="C1822" s="95"/>
      <c r="D1822" s="92"/>
      <c r="E1822" s="96"/>
      <c r="F1822" s="97"/>
      <c r="G1822" s="94"/>
      <c r="H1822" s="96"/>
    </row>
    <row r="1823" spans="1:8" ht="15" x14ac:dyDescent="0.25">
      <c r="A1823" s="95"/>
      <c r="B1823" s="95"/>
      <c r="C1823" s="95"/>
      <c r="D1823" s="92"/>
      <c r="E1823" s="96"/>
      <c r="F1823" s="97"/>
      <c r="G1823" s="94"/>
      <c r="H1823" s="96"/>
    </row>
    <row r="1824" spans="1:8" ht="15" x14ac:dyDescent="0.25">
      <c r="A1824" s="95"/>
      <c r="B1824" s="95"/>
      <c r="C1824" s="95"/>
      <c r="D1824" s="92"/>
      <c r="E1824" s="96"/>
      <c r="F1824" s="97"/>
      <c r="G1824" s="94"/>
      <c r="H1824" s="96"/>
    </row>
    <row r="1825" spans="1:8" ht="15" x14ac:dyDescent="0.25">
      <c r="A1825" s="95"/>
      <c r="B1825" s="95"/>
      <c r="C1825" s="95"/>
      <c r="D1825" s="92"/>
      <c r="E1825" s="96"/>
      <c r="F1825" s="97"/>
      <c r="G1825" s="94"/>
      <c r="H1825" s="96"/>
    </row>
    <row r="1826" spans="1:8" ht="15" x14ac:dyDescent="0.25">
      <c r="A1826" s="95"/>
      <c r="B1826" s="95"/>
      <c r="C1826" s="95"/>
      <c r="D1826" s="92"/>
      <c r="E1826" s="96"/>
      <c r="F1826" s="97"/>
      <c r="G1826" s="94"/>
      <c r="H1826" s="96"/>
    </row>
    <row r="1827" spans="1:8" ht="15" x14ac:dyDescent="0.25">
      <c r="A1827" s="95"/>
      <c r="B1827" s="95"/>
      <c r="C1827" s="95"/>
      <c r="D1827" s="92"/>
      <c r="E1827" s="96"/>
      <c r="F1827" s="97"/>
      <c r="G1827" s="94"/>
      <c r="H1827" s="96"/>
    </row>
    <row r="1828" spans="1:8" ht="15" x14ac:dyDescent="0.25">
      <c r="A1828" s="95"/>
      <c r="B1828" s="95"/>
      <c r="C1828" s="95"/>
      <c r="D1828" s="92"/>
      <c r="E1828" s="96"/>
      <c r="F1828" s="97"/>
      <c r="G1828" s="94"/>
      <c r="H1828" s="96"/>
    </row>
    <row r="1829" spans="1:8" ht="15" x14ac:dyDescent="0.25">
      <c r="A1829" s="95"/>
      <c r="B1829" s="95"/>
      <c r="C1829" s="95"/>
      <c r="D1829" s="92"/>
      <c r="E1829" s="96"/>
      <c r="F1829" s="97"/>
      <c r="G1829" s="94"/>
      <c r="H1829" s="96"/>
    </row>
    <row r="1830" spans="1:8" ht="15" x14ac:dyDescent="0.25">
      <c r="A1830" s="95"/>
      <c r="B1830" s="95"/>
      <c r="C1830" s="95"/>
      <c r="D1830" s="92"/>
      <c r="E1830" s="96"/>
      <c r="F1830" s="97"/>
      <c r="G1830" s="94"/>
      <c r="H1830" s="96"/>
    </row>
    <row r="1831" spans="1:8" ht="15" x14ac:dyDescent="0.25">
      <c r="A1831" s="95"/>
      <c r="B1831" s="95"/>
      <c r="C1831" s="95"/>
      <c r="D1831" s="92"/>
      <c r="E1831" s="96"/>
      <c r="F1831" s="97"/>
      <c r="G1831" s="94"/>
      <c r="H1831" s="96"/>
    </row>
    <row r="1832" spans="1:8" ht="15" x14ac:dyDescent="0.25">
      <c r="A1832" s="95"/>
      <c r="B1832" s="95"/>
      <c r="C1832" s="95"/>
      <c r="D1832" s="92"/>
      <c r="E1832" s="96"/>
      <c r="F1832" s="97"/>
      <c r="G1832" s="94"/>
      <c r="H1832" s="96"/>
    </row>
    <row r="1833" spans="1:8" ht="15" x14ac:dyDescent="0.25">
      <c r="A1833" s="95"/>
      <c r="B1833" s="95"/>
      <c r="C1833" s="95"/>
      <c r="D1833" s="92"/>
      <c r="E1833" s="96"/>
      <c r="F1833" s="97"/>
      <c r="G1833" s="94"/>
      <c r="H1833" s="96"/>
    </row>
    <row r="1834" spans="1:8" ht="15" x14ac:dyDescent="0.25">
      <c r="A1834" s="95"/>
      <c r="B1834" s="95"/>
      <c r="C1834" s="95"/>
      <c r="D1834" s="92"/>
      <c r="E1834" s="96"/>
      <c r="F1834" s="97"/>
      <c r="G1834" s="94"/>
      <c r="H1834" s="96"/>
    </row>
    <row r="1835" spans="1:8" ht="15" x14ac:dyDescent="0.25">
      <c r="A1835" s="95"/>
      <c r="B1835" s="95"/>
      <c r="C1835" s="95"/>
      <c r="D1835" s="92"/>
      <c r="E1835" s="96"/>
      <c r="F1835" s="97"/>
      <c r="G1835" s="94"/>
      <c r="H1835" s="96"/>
    </row>
    <row r="1836" spans="1:8" ht="15" x14ac:dyDescent="0.25">
      <c r="A1836" s="95"/>
      <c r="B1836" s="95"/>
      <c r="C1836" s="95"/>
      <c r="D1836" s="92"/>
      <c r="E1836" s="96"/>
      <c r="F1836" s="97"/>
      <c r="G1836" s="94"/>
      <c r="H1836" s="96"/>
    </row>
    <row r="1837" spans="1:8" ht="15" x14ac:dyDescent="0.25">
      <c r="A1837" s="95"/>
      <c r="B1837" s="95"/>
      <c r="C1837" s="95"/>
      <c r="D1837" s="92"/>
      <c r="E1837" s="96"/>
      <c r="F1837" s="97"/>
      <c r="G1837" s="94"/>
      <c r="H1837" s="96"/>
    </row>
    <row r="1838" spans="1:8" ht="15" x14ac:dyDescent="0.25">
      <c r="A1838" s="95"/>
      <c r="B1838" s="95"/>
      <c r="C1838" s="95"/>
      <c r="D1838" s="92"/>
      <c r="E1838" s="96"/>
      <c r="F1838" s="97"/>
      <c r="G1838" s="94"/>
      <c r="H1838" s="96"/>
    </row>
    <row r="1839" spans="1:8" ht="15" x14ac:dyDescent="0.25">
      <c r="A1839" s="95"/>
      <c r="B1839" s="95"/>
      <c r="C1839" s="95"/>
      <c r="D1839" s="92"/>
      <c r="E1839" s="96"/>
      <c r="F1839" s="97"/>
      <c r="G1839" s="94"/>
      <c r="H1839" s="96"/>
    </row>
    <row r="1840" spans="1:8" ht="15" x14ac:dyDescent="0.25">
      <c r="A1840" s="95"/>
      <c r="B1840" s="95"/>
      <c r="C1840" s="95"/>
      <c r="D1840" s="92"/>
      <c r="E1840" s="96"/>
      <c r="F1840" s="97"/>
      <c r="G1840" s="94"/>
      <c r="H1840" s="96"/>
    </row>
    <row r="1841" spans="1:8" ht="15" x14ac:dyDescent="0.25">
      <c r="A1841" s="95"/>
      <c r="B1841" s="95"/>
      <c r="C1841" s="95"/>
      <c r="D1841" s="92"/>
      <c r="E1841" s="96"/>
      <c r="F1841" s="97"/>
      <c r="G1841" s="94"/>
      <c r="H1841" s="96"/>
    </row>
    <row r="1842" spans="1:8" ht="15" x14ac:dyDescent="0.25">
      <c r="A1842" s="95"/>
      <c r="B1842" s="95"/>
      <c r="C1842" s="95"/>
      <c r="D1842" s="92"/>
      <c r="E1842" s="96"/>
      <c r="F1842" s="97"/>
      <c r="G1842" s="94"/>
      <c r="H1842" s="96"/>
    </row>
    <row r="1843" spans="1:8" ht="15" x14ac:dyDescent="0.25">
      <c r="A1843" s="95"/>
      <c r="B1843" s="95"/>
      <c r="C1843" s="95"/>
      <c r="D1843" s="92"/>
      <c r="E1843" s="96"/>
      <c r="F1843" s="97"/>
      <c r="G1843" s="94"/>
      <c r="H1843" s="96"/>
    </row>
    <row r="1844" spans="1:8" ht="15" x14ac:dyDescent="0.25">
      <c r="A1844" s="95"/>
      <c r="B1844" s="95"/>
      <c r="C1844" s="95"/>
      <c r="D1844" s="92"/>
      <c r="E1844" s="96"/>
      <c r="F1844" s="97"/>
      <c r="G1844" s="94"/>
      <c r="H1844" s="96"/>
    </row>
    <row r="1845" spans="1:8" ht="15" x14ac:dyDescent="0.25">
      <c r="A1845" s="95"/>
      <c r="B1845" s="95"/>
      <c r="C1845" s="95"/>
      <c r="D1845" s="92"/>
      <c r="E1845" s="96"/>
      <c r="F1845" s="97"/>
      <c r="G1845" s="94"/>
      <c r="H1845" s="96"/>
    </row>
    <row r="1846" spans="1:8" ht="15" x14ac:dyDescent="0.25">
      <c r="A1846" s="95"/>
      <c r="B1846" s="95"/>
      <c r="C1846" s="95"/>
      <c r="D1846" s="92"/>
      <c r="E1846" s="96"/>
      <c r="F1846" s="97"/>
      <c r="G1846" s="94"/>
      <c r="H1846" s="96"/>
    </row>
    <row r="1847" spans="1:8" ht="15" x14ac:dyDescent="0.25">
      <c r="A1847" s="95"/>
      <c r="B1847" s="95"/>
      <c r="C1847" s="95"/>
      <c r="D1847" s="92"/>
      <c r="E1847" s="96"/>
      <c r="F1847" s="97"/>
      <c r="G1847" s="94"/>
      <c r="H1847" s="96"/>
    </row>
    <row r="1848" spans="1:8" ht="15" x14ac:dyDescent="0.25">
      <c r="A1848" s="95"/>
      <c r="B1848" s="95"/>
      <c r="C1848" s="95"/>
      <c r="D1848" s="92"/>
      <c r="E1848" s="96"/>
      <c r="F1848" s="97"/>
      <c r="G1848" s="94"/>
      <c r="H1848" s="96"/>
    </row>
    <row r="1849" spans="1:8" ht="15" x14ac:dyDescent="0.25">
      <c r="A1849" s="95"/>
      <c r="B1849" s="95"/>
      <c r="C1849" s="95"/>
      <c r="D1849" s="92"/>
      <c r="E1849" s="96"/>
      <c r="F1849" s="97"/>
      <c r="G1849" s="94"/>
      <c r="H1849" s="96"/>
    </row>
    <row r="1850" spans="1:8" ht="15" x14ac:dyDescent="0.25">
      <c r="A1850" s="95"/>
      <c r="B1850" s="95"/>
      <c r="C1850" s="95"/>
      <c r="D1850" s="92"/>
      <c r="E1850" s="96"/>
      <c r="F1850" s="97"/>
      <c r="G1850" s="94"/>
      <c r="H1850" s="96"/>
    </row>
    <row r="1851" spans="1:8" ht="15" x14ac:dyDescent="0.25">
      <c r="A1851" s="95"/>
      <c r="B1851" s="95"/>
      <c r="C1851" s="95"/>
      <c r="D1851" s="92"/>
      <c r="E1851" s="96"/>
      <c r="F1851" s="97"/>
      <c r="G1851" s="94"/>
      <c r="H1851" s="96"/>
    </row>
    <row r="1852" spans="1:8" ht="15" x14ac:dyDescent="0.25">
      <c r="A1852" s="95"/>
      <c r="B1852" s="95"/>
      <c r="C1852" s="95"/>
      <c r="D1852" s="92"/>
      <c r="E1852" s="96"/>
      <c r="F1852" s="97"/>
      <c r="G1852" s="94"/>
      <c r="H1852" s="96"/>
    </row>
    <row r="1853" spans="1:8" ht="15" x14ac:dyDescent="0.25">
      <c r="A1853" s="95"/>
      <c r="B1853" s="95"/>
      <c r="C1853" s="95"/>
      <c r="D1853" s="92"/>
      <c r="E1853" s="96"/>
      <c r="F1853" s="97"/>
      <c r="G1853" s="94"/>
      <c r="H1853" s="96"/>
    </row>
    <row r="1854" spans="1:8" ht="15" x14ac:dyDescent="0.25">
      <c r="A1854" s="95"/>
      <c r="B1854" s="95"/>
      <c r="C1854" s="95"/>
      <c r="D1854" s="92"/>
      <c r="E1854" s="96"/>
      <c r="F1854" s="97"/>
      <c r="G1854" s="94"/>
      <c r="H1854" s="96"/>
    </row>
    <row r="1855" spans="1:8" ht="15" x14ac:dyDescent="0.25">
      <c r="A1855" s="95"/>
      <c r="B1855" s="95"/>
      <c r="C1855" s="95"/>
      <c r="D1855" s="92"/>
      <c r="E1855" s="96"/>
      <c r="F1855" s="97"/>
      <c r="G1855" s="94"/>
      <c r="H1855" s="96"/>
    </row>
    <row r="1856" spans="1:8" ht="15" x14ac:dyDescent="0.25">
      <c r="A1856" s="95"/>
      <c r="B1856" s="95"/>
      <c r="C1856" s="95"/>
      <c r="D1856" s="92"/>
      <c r="E1856" s="96"/>
      <c r="F1856" s="97"/>
      <c r="G1856" s="94"/>
      <c r="H1856" s="96"/>
    </row>
    <row r="1857" spans="1:8" ht="15" x14ac:dyDescent="0.25">
      <c r="A1857" s="95"/>
      <c r="B1857" s="95"/>
      <c r="C1857" s="95"/>
      <c r="D1857" s="92"/>
      <c r="E1857" s="96"/>
      <c r="F1857" s="97"/>
      <c r="G1857" s="94"/>
      <c r="H1857" s="96"/>
    </row>
    <row r="1858" spans="1:8" ht="15" x14ac:dyDescent="0.25">
      <c r="A1858" s="95"/>
      <c r="B1858" s="95"/>
      <c r="C1858" s="95"/>
      <c r="D1858" s="92"/>
      <c r="E1858" s="96"/>
      <c r="F1858" s="97"/>
      <c r="G1858" s="94"/>
      <c r="H1858" s="96"/>
    </row>
    <row r="1859" spans="1:8" ht="15" x14ac:dyDescent="0.25">
      <c r="A1859" s="95"/>
      <c r="B1859" s="95"/>
      <c r="C1859" s="95"/>
      <c r="D1859" s="92"/>
      <c r="E1859" s="96"/>
      <c r="F1859" s="97"/>
      <c r="G1859" s="94"/>
      <c r="H1859" s="96"/>
    </row>
    <row r="1860" spans="1:8" ht="15" x14ac:dyDescent="0.25">
      <c r="A1860" s="95"/>
      <c r="B1860" s="95"/>
      <c r="C1860" s="95"/>
      <c r="D1860" s="92"/>
      <c r="E1860" s="96"/>
      <c r="F1860" s="97"/>
      <c r="G1860" s="94"/>
      <c r="H1860" s="96"/>
    </row>
    <row r="1861" spans="1:8" ht="15" x14ac:dyDescent="0.25">
      <c r="A1861" s="95"/>
      <c r="B1861" s="95"/>
      <c r="C1861" s="95"/>
      <c r="D1861" s="92"/>
      <c r="E1861" s="96"/>
      <c r="F1861" s="97"/>
      <c r="G1861" s="94"/>
      <c r="H1861" s="96"/>
    </row>
    <row r="1862" spans="1:8" ht="15" x14ac:dyDescent="0.25">
      <c r="A1862" s="95"/>
      <c r="B1862" s="95"/>
      <c r="C1862" s="95"/>
      <c r="D1862" s="92"/>
      <c r="E1862" s="96"/>
      <c r="F1862" s="97"/>
      <c r="G1862" s="94"/>
      <c r="H1862" s="96"/>
    </row>
    <row r="1863" spans="1:8" ht="15" x14ac:dyDescent="0.25">
      <c r="A1863" s="95"/>
      <c r="B1863" s="95"/>
      <c r="C1863" s="95"/>
      <c r="D1863" s="92"/>
      <c r="E1863" s="96"/>
      <c r="F1863" s="97"/>
      <c r="G1863" s="94"/>
      <c r="H1863" s="96"/>
    </row>
    <row r="1864" spans="1:8" ht="15" x14ac:dyDescent="0.25">
      <c r="A1864" s="95"/>
      <c r="B1864" s="95"/>
      <c r="C1864" s="95"/>
      <c r="D1864" s="92"/>
      <c r="E1864" s="96"/>
      <c r="F1864" s="97"/>
      <c r="G1864" s="94"/>
      <c r="H1864" s="96"/>
    </row>
    <row r="1865" spans="1:8" ht="15" x14ac:dyDescent="0.25">
      <c r="A1865" s="95"/>
      <c r="B1865" s="95"/>
      <c r="C1865" s="95"/>
      <c r="D1865" s="92"/>
      <c r="E1865" s="96"/>
      <c r="F1865" s="97"/>
      <c r="G1865" s="94"/>
      <c r="H1865" s="96"/>
    </row>
    <row r="1866" spans="1:8" ht="15" x14ac:dyDescent="0.25">
      <c r="A1866" s="95"/>
      <c r="B1866" s="95"/>
      <c r="C1866" s="95"/>
      <c r="D1866" s="92"/>
      <c r="E1866" s="96"/>
      <c r="F1866" s="97"/>
      <c r="G1866" s="94"/>
      <c r="H1866" s="96"/>
    </row>
    <row r="1867" spans="1:8" ht="15" x14ac:dyDescent="0.25">
      <c r="A1867" s="95"/>
      <c r="B1867" s="95"/>
      <c r="C1867" s="95"/>
      <c r="D1867" s="92"/>
      <c r="E1867" s="96"/>
      <c r="F1867" s="97"/>
      <c r="G1867" s="94"/>
      <c r="H1867" s="96"/>
    </row>
    <row r="1868" spans="1:8" ht="15" x14ac:dyDescent="0.25">
      <c r="A1868" s="95"/>
      <c r="B1868" s="95"/>
      <c r="C1868" s="95"/>
      <c r="D1868" s="92"/>
      <c r="E1868" s="96"/>
      <c r="F1868" s="97"/>
      <c r="G1868" s="94"/>
      <c r="H1868" s="96"/>
    </row>
    <row r="1869" spans="1:8" ht="15" x14ac:dyDescent="0.25">
      <c r="A1869" s="95"/>
      <c r="B1869" s="95"/>
      <c r="C1869" s="95"/>
      <c r="D1869" s="92"/>
      <c r="E1869" s="96"/>
      <c r="F1869" s="97"/>
      <c r="G1869" s="94"/>
      <c r="H1869" s="96"/>
    </row>
    <row r="1870" spans="1:8" ht="15" x14ac:dyDescent="0.25">
      <c r="A1870" s="95"/>
      <c r="B1870" s="95"/>
      <c r="C1870" s="95"/>
      <c r="D1870" s="92"/>
      <c r="E1870" s="96"/>
      <c r="F1870" s="97"/>
      <c r="G1870" s="94"/>
      <c r="H1870" s="96"/>
    </row>
    <row r="1871" spans="1:8" ht="15" x14ac:dyDescent="0.25">
      <c r="A1871" s="95"/>
      <c r="B1871" s="95"/>
      <c r="C1871" s="95"/>
      <c r="D1871" s="92"/>
      <c r="E1871" s="96"/>
      <c r="F1871" s="97"/>
      <c r="G1871" s="94"/>
      <c r="H1871" s="96"/>
    </row>
    <row r="1872" spans="1:8" ht="15" x14ac:dyDescent="0.25">
      <c r="A1872" s="95"/>
      <c r="B1872" s="95"/>
      <c r="C1872" s="95"/>
      <c r="D1872" s="92"/>
      <c r="E1872" s="96"/>
      <c r="F1872" s="97"/>
      <c r="G1872" s="94"/>
      <c r="H1872" s="96"/>
    </row>
    <row r="1873" spans="1:8" ht="15" x14ac:dyDescent="0.25">
      <c r="A1873" s="95"/>
      <c r="B1873" s="95"/>
      <c r="C1873" s="95"/>
      <c r="D1873" s="92"/>
      <c r="E1873" s="96"/>
      <c r="F1873" s="97"/>
      <c r="G1873" s="94"/>
      <c r="H1873" s="96"/>
    </row>
    <row r="1874" spans="1:8" ht="15" x14ac:dyDescent="0.25">
      <c r="A1874" s="95"/>
      <c r="B1874" s="95"/>
      <c r="C1874" s="95"/>
      <c r="D1874" s="92"/>
      <c r="E1874" s="96"/>
      <c r="F1874" s="97"/>
      <c r="G1874" s="94"/>
      <c r="H1874" s="96"/>
    </row>
    <row r="1875" spans="1:8" ht="15" x14ac:dyDescent="0.25">
      <c r="A1875" s="95"/>
      <c r="B1875" s="95"/>
      <c r="C1875" s="95"/>
      <c r="D1875" s="92"/>
      <c r="E1875" s="96"/>
      <c r="F1875" s="97"/>
      <c r="G1875" s="94"/>
      <c r="H1875" s="96"/>
    </row>
    <row r="1876" spans="1:8" ht="15" x14ac:dyDescent="0.25">
      <c r="A1876" s="95"/>
      <c r="B1876" s="95"/>
      <c r="C1876" s="95"/>
      <c r="D1876" s="92"/>
      <c r="E1876" s="96"/>
      <c r="F1876" s="97"/>
      <c r="G1876" s="94"/>
      <c r="H1876" s="96"/>
    </row>
    <row r="1877" spans="1:8" ht="15" x14ac:dyDescent="0.25">
      <c r="A1877" s="95"/>
      <c r="B1877" s="95"/>
      <c r="C1877" s="95"/>
      <c r="D1877" s="92"/>
      <c r="E1877" s="96"/>
      <c r="F1877" s="97"/>
      <c r="G1877" s="94"/>
      <c r="H1877" s="96"/>
    </row>
    <row r="1878" spans="1:8" ht="15" x14ac:dyDescent="0.25">
      <c r="A1878" s="95"/>
      <c r="B1878" s="95"/>
      <c r="C1878" s="95"/>
      <c r="D1878" s="92"/>
      <c r="E1878" s="96"/>
      <c r="F1878" s="97"/>
      <c r="G1878" s="94"/>
      <c r="H1878" s="96"/>
    </row>
    <row r="1879" spans="1:8" ht="15" x14ac:dyDescent="0.25">
      <c r="A1879" s="95"/>
      <c r="B1879" s="95"/>
      <c r="C1879" s="95"/>
      <c r="D1879" s="92"/>
      <c r="E1879" s="96"/>
      <c r="F1879" s="97"/>
      <c r="G1879" s="94"/>
      <c r="H1879" s="96"/>
    </row>
    <row r="1880" spans="1:8" ht="15" x14ac:dyDescent="0.25">
      <c r="A1880" s="95"/>
      <c r="B1880" s="95"/>
      <c r="C1880" s="95"/>
      <c r="D1880" s="92"/>
      <c r="E1880" s="96"/>
      <c r="F1880" s="97"/>
      <c r="G1880" s="94"/>
      <c r="H1880" s="96"/>
    </row>
    <row r="1881" spans="1:8" ht="15" x14ac:dyDescent="0.25">
      <c r="A1881" s="95"/>
      <c r="B1881" s="95"/>
      <c r="C1881" s="95"/>
      <c r="D1881" s="92"/>
      <c r="E1881" s="96"/>
      <c r="F1881" s="97"/>
      <c r="G1881" s="94"/>
      <c r="H1881" s="96"/>
    </row>
    <row r="1882" spans="1:8" ht="15" x14ac:dyDescent="0.25">
      <c r="A1882" s="95"/>
      <c r="B1882" s="95"/>
      <c r="C1882" s="95"/>
      <c r="D1882" s="92"/>
      <c r="E1882" s="96"/>
      <c r="F1882" s="97"/>
      <c r="G1882" s="94"/>
      <c r="H1882" s="96"/>
    </row>
    <row r="1883" spans="1:8" ht="15" x14ac:dyDescent="0.25">
      <c r="A1883" s="95"/>
      <c r="B1883" s="95"/>
      <c r="C1883" s="95"/>
      <c r="D1883" s="92"/>
      <c r="E1883" s="96"/>
      <c r="F1883" s="97"/>
      <c r="G1883" s="94"/>
      <c r="H1883" s="96"/>
    </row>
    <row r="1884" spans="1:8" ht="15" x14ac:dyDescent="0.25">
      <c r="A1884" s="95"/>
      <c r="B1884" s="95"/>
      <c r="C1884" s="95"/>
      <c r="D1884" s="92"/>
      <c r="E1884" s="96"/>
      <c r="F1884" s="97"/>
      <c r="G1884" s="94"/>
      <c r="H1884" s="96"/>
    </row>
    <row r="1885" spans="1:8" ht="15" x14ac:dyDescent="0.25">
      <c r="A1885" s="95"/>
      <c r="B1885" s="95"/>
      <c r="C1885" s="95"/>
      <c r="D1885" s="92"/>
      <c r="E1885" s="96"/>
      <c r="F1885" s="97"/>
      <c r="G1885" s="94"/>
      <c r="H1885" s="96"/>
    </row>
    <row r="1886" spans="1:8" ht="15" x14ac:dyDescent="0.25">
      <c r="A1886" s="95"/>
      <c r="B1886" s="95"/>
      <c r="C1886" s="95"/>
      <c r="D1886" s="92"/>
      <c r="E1886" s="96"/>
      <c r="F1886" s="97"/>
      <c r="G1886" s="94"/>
      <c r="H1886" s="96"/>
    </row>
    <row r="1887" spans="1:8" ht="15" x14ac:dyDescent="0.25">
      <c r="A1887" s="95"/>
      <c r="B1887" s="95"/>
      <c r="C1887" s="95"/>
      <c r="D1887" s="92"/>
      <c r="E1887" s="96"/>
      <c r="F1887" s="97"/>
      <c r="G1887" s="94"/>
      <c r="H1887" s="96"/>
    </row>
    <row r="1888" spans="1:8" ht="15" x14ac:dyDescent="0.25">
      <c r="A1888" s="95"/>
      <c r="B1888" s="95"/>
      <c r="C1888" s="95"/>
      <c r="D1888" s="92"/>
      <c r="E1888" s="96"/>
      <c r="F1888" s="97"/>
      <c r="G1888" s="94"/>
      <c r="H1888" s="96"/>
    </row>
    <row r="1889" spans="1:8" ht="15" x14ac:dyDescent="0.25">
      <c r="A1889" s="95"/>
      <c r="B1889" s="95"/>
      <c r="C1889" s="95"/>
      <c r="D1889" s="92"/>
      <c r="E1889" s="96"/>
      <c r="F1889" s="97"/>
      <c r="G1889" s="94"/>
      <c r="H1889" s="96"/>
    </row>
    <row r="1890" spans="1:8" ht="15" x14ac:dyDescent="0.25">
      <c r="A1890" s="95"/>
      <c r="B1890" s="95"/>
      <c r="C1890" s="95"/>
      <c r="D1890" s="92"/>
      <c r="E1890" s="96"/>
      <c r="F1890" s="97"/>
      <c r="G1890" s="94"/>
      <c r="H1890" s="96"/>
    </row>
    <row r="1891" spans="1:8" ht="15" x14ac:dyDescent="0.25">
      <c r="A1891" s="95"/>
      <c r="B1891" s="95"/>
      <c r="C1891" s="95"/>
      <c r="D1891" s="92"/>
      <c r="E1891" s="96"/>
      <c r="F1891" s="97"/>
      <c r="G1891" s="94"/>
      <c r="H1891" s="96"/>
    </row>
    <row r="1892" spans="1:8" ht="15" x14ac:dyDescent="0.25">
      <c r="A1892" s="95"/>
      <c r="B1892" s="95"/>
      <c r="C1892" s="95"/>
      <c r="D1892" s="92"/>
      <c r="E1892" s="96"/>
      <c r="F1892" s="97"/>
      <c r="G1892" s="94"/>
      <c r="H1892" s="96"/>
    </row>
    <row r="1893" spans="1:8" ht="15" x14ac:dyDescent="0.25">
      <c r="A1893" s="95"/>
      <c r="B1893" s="95"/>
      <c r="C1893" s="95"/>
      <c r="D1893" s="92"/>
      <c r="E1893" s="96"/>
      <c r="F1893" s="97"/>
      <c r="G1893" s="94"/>
      <c r="H1893" s="96"/>
    </row>
    <row r="1894" spans="1:8" ht="15" x14ac:dyDescent="0.25">
      <c r="A1894" s="95"/>
      <c r="B1894" s="95"/>
      <c r="C1894" s="95"/>
      <c r="D1894" s="92"/>
      <c r="E1894" s="96"/>
      <c r="F1894" s="97"/>
      <c r="G1894" s="94"/>
      <c r="H1894" s="96"/>
    </row>
    <row r="1895" spans="1:8" ht="15" x14ac:dyDescent="0.25">
      <c r="A1895" s="95"/>
      <c r="B1895" s="95"/>
      <c r="C1895" s="95"/>
      <c r="D1895" s="92"/>
      <c r="E1895" s="96"/>
      <c r="F1895" s="97"/>
      <c r="G1895" s="94"/>
      <c r="H1895" s="96"/>
    </row>
    <row r="1896" spans="1:8" ht="15" x14ac:dyDescent="0.25">
      <c r="A1896" s="95"/>
      <c r="B1896" s="95"/>
      <c r="C1896" s="95"/>
      <c r="D1896" s="92"/>
      <c r="E1896" s="96"/>
      <c r="F1896" s="97"/>
      <c r="G1896" s="94"/>
      <c r="H1896" s="96"/>
    </row>
    <row r="1897" spans="1:8" ht="15" x14ac:dyDescent="0.25">
      <c r="A1897" s="95"/>
      <c r="B1897" s="95"/>
      <c r="C1897" s="95"/>
      <c r="D1897" s="92"/>
      <c r="E1897" s="96"/>
      <c r="F1897" s="97"/>
      <c r="G1897" s="94"/>
      <c r="H1897" s="96"/>
    </row>
    <row r="1898" spans="1:8" ht="15" x14ac:dyDescent="0.25">
      <c r="A1898" s="95"/>
      <c r="B1898" s="95"/>
      <c r="C1898" s="95"/>
      <c r="D1898" s="92"/>
      <c r="E1898" s="96"/>
      <c r="F1898" s="97"/>
      <c r="G1898" s="94"/>
      <c r="H1898" s="96"/>
    </row>
    <row r="1899" spans="1:8" ht="15" x14ac:dyDescent="0.25">
      <c r="A1899" s="95"/>
      <c r="B1899" s="95"/>
      <c r="C1899" s="95"/>
      <c r="D1899" s="92"/>
      <c r="E1899" s="96"/>
      <c r="F1899" s="97"/>
      <c r="G1899" s="94"/>
      <c r="H1899" s="96"/>
    </row>
    <row r="1900" spans="1:8" ht="15" x14ac:dyDescent="0.25">
      <c r="A1900" s="95"/>
      <c r="B1900" s="95"/>
      <c r="C1900" s="95"/>
      <c r="D1900" s="92"/>
      <c r="E1900" s="96"/>
      <c r="F1900" s="97"/>
      <c r="G1900" s="94"/>
      <c r="H1900" s="96"/>
    </row>
    <row r="1901" spans="1:8" ht="15" x14ac:dyDescent="0.25">
      <c r="A1901" s="95"/>
      <c r="B1901" s="95"/>
      <c r="C1901" s="95"/>
      <c r="D1901" s="92"/>
      <c r="E1901" s="96"/>
      <c r="F1901" s="97"/>
      <c r="G1901" s="94"/>
      <c r="H1901" s="96"/>
    </row>
    <row r="1902" spans="1:8" ht="15" x14ac:dyDescent="0.25">
      <c r="A1902" s="95"/>
      <c r="B1902" s="95"/>
      <c r="C1902" s="95"/>
      <c r="D1902" s="92"/>
      <c r="E1902" s="96"/>
      <c r="F1902" s="97"/>
      <c r="G1902" s="94"/>
      <c r="H1902" s="96"/>
    </row>
    <row r="1903" spans="1:8" ht="15" x14ac:dyDescent="0.25">
      <c r="A1903" s="95"/>
      <c r="B1903" s="95"/>
      <c r="C1903" s="95"/>
      <c r="D1903" s="92"/>
      <c r="E1903" s="96"/>
      <c r="F1903" s="97"/>
      <c r="G1903" s="94"/>
      <c r="H1903" s="96"/>
    </row>
    <row r="1904" spans="1:8" ht="15" x14ac:dyDescent="0.25">
      <c r="A1904" s="95"/>
      <c r="B1904" s="95"/>
      <c r="C1904" s="95"/>
      <c r="D1904" s="92"/>
      <c r="E1904" s="96"/>
      <c r="F1904" s="97"/>
      <c r="G1904" s="94"/>
      <c r="H1904" s="96"/>
    </row>
    <row r="1905" spans="1:8" ht="15" x14ac:dyDescent="0.25">
      <c r="A1905" s="95"/>
      <c r="B1905" s="95"/>
      <c r="C1905" s="95"/>
      <c r="D1905" s="92"/>
      <c r="E1905" s="96"/>
      <c r="F1905" s="97"/>
      <c r="G1905" s="94"/>
      <c r="H1905" s="96"/>
    </row>
    <row r="1906" spans="1:8" ht="15" x14ac:dyDescent="0.25">
      <c r="A1906" s="95"/>
      <c r="B1906" s="95"/>
      <c r="C1906" s="95"/>
      <c r="D1906" s="92"/>
      <c r="E1906" s="96"/>
      <c r="F1906" s="97"/>
      <c r="G1906" s="94"/>
      <c r="H1906" s="96"/>
    </row>
    <row r="1907" spans="1:8" ht="15" x14ac:dyDescent="0.25">
      <c r="A1907" s="95"/>
      <c r="B1907" s="95"/>
      <c r="C1907" s="95"/>
      <c r="D1907" s="92"/>
      <c r="E1907" s="96"/>
      <c r="F1907" s="97"/>
      <c r="G1907" s="94"/>
      <c r="H1907" s="96"/>
    </row>
    <row r="1908" spans="1:8" ht="15" x14ac:dyDescent="0.25">
      <c r="A1908" s="95"/>
      <c r="B1908" s="95"/>
      <c r="C1908" s="95"/>
      <c r="D1908" s="92"/>
      <c r="E1908" s="96"/>
      <c r="F1908" s="97"/>
      <c r="G1908" s="94"/>
      <c r="H1908" s="96"/>
    </row>
    <row r="1909" spans="1:8" ht="15" x14ac:dyDescent="0.25">
      <c r="A1909" s="95"/>
      <c r="B1909" s="95"/>
      <c r="C1909" s="95"/>
      <c r="D1909" s="92"/>
      <c r="E1909" s="96"/>
      <c r="F1909" s="97"/>
      <c r="G1909" s="94"/>
      <c r="H1909" s="96"/>
    </row>
    <row r="1910" spans="1:8" ht="15" x14ac:dyDescent="0.25">
      <c r="A1910" s="95"/>
      <c r="B1910" s="95"/>
      <c r="C1910" s="95"/>
      <c r="D1910" s="92"/>
      <c r="E1910" s="96"/>
      <c r="F1910" s="97"/>
      <c r="G1910" s="94"/>
      <c r="H1910" s="96"/>
    </row>
    <row r="1911" spans="1:8" ht="15" x14ac:dyDescent="0.25">
      <c r="A1911" s="95"/>
      <c r="B1911" s="95"/>
      <c r="C1911" s="95"/>
      <c r="D1911" s="92"/>
      <c r="E1911" s="96"/>
      <c r="F1911" s="97"/>
      <c r="G1911" s="94"/>
      <c r="H1911" s="96"/>
    </row>
    <row r="1912" spans="1:8" ht="15" x14ac:dyDescent="0.25">
      <c r="A1912" s="95"/>
      <c r="B1912" s="95"/>
      <c r="C1912" s="95"/>
      <c r="D1912" s="92"/>
      <c r="E1912" s="96"/>
      <c r="F1912" s="97"/>
      <c r="G1912" s="94"/>
      <c r="H1912" s="96"/>
    </row>
    <row r="1913" spans="1:8" ht="15" x14ac:dyDescent="0.25">
      <c r="A1913" s="95"/>
      <c r="B1913" s="95"/>
      <c r="C1913" s="95"/>
      <c r="D1913" s="92"/>
      <c r="E1913" s="96"/>
      <c r="F1913" s="97"/>
      <c r="G1913" s="94"/>
      <c r="H1913" s="96"/>
    </row>
    <row r="1914" spans="1:8" ht="15" x14ac:dyDescent="0.25">
      <c r="A1914" s="95"/>
      <c r="B1914" s="95"/>
      <c r="C1914" s="95"/>
      <c r="D1914" s="92"/>
      <c r="E1914" s="96"/>
      <c r="F1914" s="97"/>
      <c r="G1914" s="94"/>
      <c r="H1914" s="96"/>
    </row>
    <row r="1915" spans="1:8" ht="15" x14ac:dyDescent="0.25">
      <c r="A1915" s="95"/>
      <c r="B1915" s="95"/>
      <c r="C1915" s="95"/>
      <c r="D1915" s="92"/>
      <c r="E1915" s="96"/>
      <c r="F1915" s="97"/>
      <c r="G1915" s="94"/>
      <c r="H1915" s="96"/>
    </row>
    <row r="1916" spans="1:8" ht="15" x14ac:dyDescent="0.25">
      <c r="A1916" s="95"/>
      <c r="B1916" s="95"/>
      <c r="C1916" s="95"/>
      <c r="D1916" s="92"/>
      <c r="E1916" s="96"/>
      <c r="F1916" s="97"/>
      <c r="G1916" s="94"/>
      <c r="H1916" s="96"/>
    </row>
    <row r="1917" spans="1:8" ht="15" x14ac:dyDescent="0.25">
      <c r="A1917" s="95"/>
      <c r="B1917" s="95"/>
      <c r="C1917" s="95"/>
      <c r="D1917" s="92"/>
      <c r="E1917" s="96"/>
      <c r="F1917" s="97"/>
      <c r="G1917" s="94"/>
      <c r="H1917" s="96"/>
    </row>
    <row r="1918" spans="1:8" ht="15" x14ac:dyDescent="0.25">
      <c r="A1918" s="95"/>
      <c r="B1918" s="95"/>
      <c r="C1918" s="95"/>
      <c r="D1918" s="92"/>
      <c r="E1918" s="96"/>
      <c r="F1918" s="97"/>
      <c r="G1918" s="94"/>
      <c r="H1918" s="96"/>
    </row>
    <row r="1919" spans="1:8" ht="15" x14ac:dyDescent="0.25">
      <c r="A1919" s="95"/>
      <c r="B1919" s="95"/>
      <c r="C1919" s="95"/>
      <c r="D1919" s="92"/>
      <c r="E1919" s="96"/>
      <c r="F1919" s="97"/>
      <c r="G1919" s="94"/>
      <c r="H1919" s="96"/>
    </row>
    <row r="1920" spans="1:8" ht="15" x14ac:dyDescent="0.25">
      <c r="A1920" s="95"/>
      <c r="B1920" s="95"/>
      <c r="C1920" s="95"/>
      <c r="D1920" s="92"/>
      <c r="E1920" s="96"/>
      <c r="F1920" s="97"/>
      <c r="G1920" s="94"/>
      <c r="H1920" s="96"/>
    </row>
    <row r="1921" spans="1:8" ht="15" x14ac:dyDescent="0.25">
      <c r="A1921" s="95"/>
      <c r="B1921" s="95"/>
      <c r="C1921" s="95"/>
      <c r="D1921" s="92"/>
      <c r="E1921" s="96"/>
      <c r="F1921" s="97"/>
      <c r="G1921" s="94"/>
      <c r="H1921" s="96"/>
    </row>
    <row r="1922" spans="1:8" ht="15" x14ac:dyDescent="0.25">
      <c r="A1922" s="95"/>
      <c r="B1922" s="95"/>
      <c r="C1922" s="95"/>
      <c r="D1922" s="92"/>
      <c r="E1922" s="96"/>
      <c r="F1922" s="97"/>
      <c r="G1922" s="94"/>
      <c r="H1922" s="96"/>
    </row>
    <row r="1923" spans="1:8" ht="15" x14ac:dyDescent="0.25">
      <c r="A1923" s="95"/>
      <c r="B1923" s="95"/>
      <c r="C1923" s="95"/>
      <c r="D1923" s="92"/>
      <c r="E1923" s="96"/>
      <c r="F1923" s="97"/>
      <c r="G1923" s="94"/>
      <c r="H1923" s="96"/>
    </row>
    <row r="1924" spans="1:8" ht="15" x14ac:dyDescent="0.25">
      <c r="A1924" s="95"/>
      <c r="B1924" s="95"/>
      <c r="C1924" s="95"/>
      <c r="D1924" s="92"/>
      <c r="E1924" s="96"/>
      <c r="F1924" s="97"/>
      <c r="G1924" s="94"/>
      <c r="H1924" s="96"/>
    </row>
    <row r="1925" spans="1:8" ht="15" x14ac:dyDescent="0.25">
      <c r="A1925" s="95"/>
      <c r="B1925" s="95"/>
      <c r="C1925" s="95"/>
      <c r="D1925" s="92"/>
      <c r="E1925" s="96"/>
      <c r="F1925" s="97"/>
      <c r="G1925" s="94"/>
      <c r="H1925" s="96"/>
    </row>
    <row r="1926" spans="1:8" ht="15" x14ac:dyDescent="0.25">
      <c r="A1926" s="95"/>
      <c r="B1926" s="95"/>
      <c r="C1926" s="95"/>
      <c r="D1926" s="92"/>
      <c r="E1926" s="96"/>
      <c r="F1926" s="97"/>
      <c r="G1926" s="94"/>
      <c r="H1926" s="96"/>
    </row>
    <row r="1927" spans="1:8" ht="15" x14ac:dyDescent="0.25">
      <c r="A1927" s="95"/>
      <c r="B1927" s="95"/>
      <c r="C1927" s="95"/>
      <c r="D1927" s="92"/>
      <c r="E1927" s="96"/>
      <c r="F1927" s="97"/>
      <c r="G1927" s="94"/>
      <c r="H1927" s="96"/>
    </row>
    <row r="1928" spans="1:8" ht="15" x14ac:dyDescent="0.25">
      <c r="A1928" s="95"/>
      <c r="B1928" s="95"/>
      <c r="C1928" s="95"/>
      <c r="D1928" s="92"/>
      <c r="E1928" s="96"/>
      <c r="F1928" s="97"/>
      <c r="G1928" s="94"/>
      <c r="H1928" s="96"/>
    </row>
    <row r="1929" spans="1:8" ht="15" x14ac:dyDescent="0.25">
      <c r="A1929" s="95"/>
      <c r="B1929" s="95"/>
      <c r="C1929" s="95"/>
      <c r="D1929" s="92"/>
      <c r="E1929" s="96"/>
      <c r="F1929" s="97"/>
      <c r="G1929" s="94"/>
      <c r="H1929" s="96"/>
    </row>
    <row r="1930" spans="1:8" ht="15" x14ac:dyDescent="0.25">
      <c r="A1930" s="95"/>
      <c r="B1930" s="95"/>
      <c r="C1930" s="95"/>
      <c r="D1930" s="92"/>
      <c r="E1930" s="96"/>
      <c r="F1930" s="97"/>
      <c r="G1930" s="94"/>
      <c r="H1930" s="96"/>
    </row>
    <row r="1931" spans="1:8" ht="15" x14ac:dyDescent="0.25">
      <c r="A1931" s="95"/>
      <c r="B1931" s="95"/>
      <c r="C1931" s="95"/>
      <c r="D1931" s="92"/>
      <c r="E1931" s="96"/>
      <c r="F1931" s="97"/>
      <c r="G1931" s="94"/>
      <c r="H1931" s="96"/>
    </row>
    <row r="1932" spans="1:8" ht="15" x14ac:dyDescent="0.25">
      <c r="A1932" s="95"/>
      <c r="B1932" s="95"/>
      <c r="C1932" s="95"/>
      <c r="D1932" s="92"/>
      <c r="E1932" s="96"/>
      <c r="F1932" s="97"/>
      <c r="G1932" s="94"/>
      <c r="H1932" s="96"/>
    </row>
    <row r="1933" spans="1:8" ht="15" x14ac:dyDescent="0.25">
      <c r="A1933" s="95"/>
      <c r="B1933" s="95"/>
      <c r="C1933" s="95"/>
      <c r="D1933" s="92"/>
      <c r="E1933" s="96"/>
      <c r="F1933" s="97"/>
      <c r="G1933" s="94"/>
      <c r="H1933" s="96"/>
    </row>
    <row r="1934" spans="1:8" ht="15" x14ac:dyDescent="0.25">
      <c r="A1934" s="95"/>
      <c r="B1934" s="95"/>
      <c r="C1934" s="95"/>
      <c r="D1934" s="92"/>
      <c r="E1934" s="96"/>
      <c r="F1934" s="97"/>
      <c r="G1934" s="94"/>
      <c r="H1934" s="96"/>
    </row>
    <row r="1935" spans="1:8" ht="15" x14ac:dyDescent="0.25">
      <c r="A1935" s="95"/>
      <c r="B1935" s="95"/>
      <c r="C1935" s="95"/>
      <c r="D1935" s="92"/>
      <c r="E1935" s="96"/>
      <c r="F1935" s="97"/>
      <c r="G1935" s="94"/>
      <c r="H1935" s="96"/>
    </row>
    <row r="1936" spans="1:8" ht="15" x14ac:dyDescent="0.25">
      <c r="A1936" s="95"/>
      <c r="B1936" s="95"/>
      <c r="C1936" s="95"/>
      <c r="D1936" s="92"/>
      <c r="E1936" s="96"/>
      <c r="F1936" s="97"/>
      <c r="G1936" s="94"/>
      <c r="H1936" s="96"/>
    </row>
    <row r="1937" spans="1:8" ht="15" x14ac:dyDescent="0.25">
      <c r="A1937" s="95"/>
      <c r="B1937" s="95"/>
      <c r="C1937" s="95"/>
      <c r="D1937" s="92"/>
      <c r="E1937" s="96"/>
      <c r="F1937" s="97"/>
      <c r="G1937" s="94"/>
      <c r="H1937" s="96"/>
    </row>
    <row r="1938" spans="1:8" ht="15" x14ac:dyDescent="0.25">
      <c r="A1938" s="95"/>
      <c r="B1938" s="95"/>
      <c r="C1938" s="95"/>
      <c r="D1938" s="92"/>
      <c r="E1938" s="96"/>
      <c r="F1938" s="97"/>
      <c r="G1938" s="94"/>
      <c r="H1938" s="96"/>
    </row>
    <row r="1939" spans="1:8" ht="15" x14ac:dyDescent="0.25">
      <c r="A1939" s="95"/>
      <c r="B1939" s="95"/>
      <c r="C1939" s="95"/>
      <c r="D1939" s="92"/>
      <c r="E1939" s="96"/>
      <c r="F1939" s="97"/>
      <c r="G1939" s="94"/>
      <c r="H1939" s="96"/>
    </row>
    <row r="1940" spans="1:8" ht="15" x14ac:dyDescent="0.25">
      <c r="A1940" s="95"/>
      <c r="B1940" s="95"/>
      <c r="C1940" s="95"/>
      <c r="D1940" s="92"/>
      <c r="E1940" s="96"/>
      <c r="F1940" s="97"/>
      <c r="G1940" s="94"/>
      <c r="H1940" s="96"/>
    </row>
    <row r="1941" spans="1:8" ht="15" x14ac:dyDescent="0.25">
      <c r="A1941" s="95"/>
      <c r="B1941" s="95"/>
      <c r="C1941" s="95"/>
      <c r="D1941" s="92"/>
      <c r="E1941" s="96"/>
      <c r="F1941" s="97"/>
      <c r="G1941" s="94"/>
      <c r="H1941" s="96"/>
    </row>
    <row r="1942" spans="1:8" ht="15" x14ac:dyDescent="0.25">
      <c r="A1942" s="95"/>
      <c r="B1942" s="95"/>
      <c r="C1942" s="95"/>
      <c r="D1942" s="92"/>
      <c r="E1942" s="96"/>
      <c r="F1942" s="97"/>
      <c r="G1942" s="94"/>
      <c r="H1942" s="96"/>
    </row>
    <row r="1943" spans="1:8" ht="15" x14ac:dyDescent="0.25">
      <c r="A1943" s="95"/>
      <c r="B1943" s="95"/>
      <c r="C1943" s="95"/>
      <c r="D1943" s="92"/>
      <c r="E1943" s="96"/>
      <c r="F1943" s="97"/>
      <c r="G1943" s="94"/>
      <c r="H1943" s="96"/>
    </row>
    <row r="1944" spans="1:8" ht="15" x14ac:dyDescent="0.25">
      <c r="A1944" s="95"/>
      <c r="B1944" s="95"/>
      <c r="C1944" s="95"/>
      <c r="D1944" s="92"/>
      <c r="E1944" s="96"/>
      <c r="F1944" s="97"/>
      <c r="G1944" s="94"/>
      <c r="H1944" s="96"/>
    </row>
    <row r="1945" spans="1:8" ht="15" x14ac:dyDescent="0.25">
      <c r="A1945" s="95"/>
      <c r="B1945" s="95"/>
      <c r="C1945" s="95"/>
      <c r="D1945" s="92"/>
      <c r="E1945" s="96"/>
      <c r="F1945" s="97"/>
      <c r="G1945" s="94"/>
      <c r="H1945" s="96"/>
    </row>
    <row r="1946" spans="1:8" ht="15" x14ac:dyDescent="0.25">
      <c r="A1946" s="95"/>
      <c r="B1946" s="95"/>
      <c r="C1946" s="95"/>
      <c r="D1946" s="92"/>
      <c r="E1946" s="96"/>
      <c r="F1946" s="97"/>
      <c r="G1946" s="94"/>
      <c r="H1946" s="96"/>
    </row>
    <row r="1947" spans="1:8" ht="15" x14ac:dyDescent="0.25">
      <c r="A1947" s="95"/>
      <c r="B1947" s="95"/>
      <c r="C1947" s="95"/>
      <c r="D1947" s="92"/>
      <c r="E1947" s="96"/>
      <c r="F1947" s="97"/>
      <c r="G1947" s="94"/>
      <c r="H1947" s="96"/>
    </row>
    <row r="1948" spans="1:8" ht="15" x14ac:dyDescent="0.25">
      <c r="A1948" s="95"/>
      <c r="B1948" s="95"/>
      <c r="C1948" s="95"/>
      <c r="D1948" s="92"/>
      <c r="E1948" s="96"/>
      <c r="F1948" s="97"/>
      <c r="G1948" s="94"/>
      <c r="H1948" s="96"/>
    </row>
    <row r="1949" spans="1:8" ht="15" x14ac:dyDescent="0.25">
      <c r="A1949" s="95"/>
      <c r="B1949" s="95"/>
      <c r="C1949" s="95"/>
      <c r="D1949" s="92"/>
      <c r="E1949" s="96"/>
      <c r="F1949" s="97"/>
      <c r="G1949" s="94"/>
      <c r="H1949" s="96"/>
    </row>
    <row r="1950" spans="1:8" ht="15" x14ac:dyDescent="0.25">
      <c r="A1950" s="95"/>
      <c r="B1950" s="95"/>
      <c r="C1950" s="95"/>
      <c r="D1950" s="92"/>
      <c r="E1950" s="96"/>
      <c r="F1950" s="97"/>
      <c r="G1950" s="94"/>
      <c r="H1950" s="96"/>
    </row>
    <row r="1951" spans="1:8" ht="15" x14ac:dyDescent="0.25">
      <c r="A1951" s="95"/>
      <c r="B1951" s="95"/>
      <c r="C1951" s="95"/>
      <c r="D1951" s="92"/>
      <c r="E1951" s="96"/>
      <c r="F1951" s="97"/>
      <c r="G1951" s="94"/>
      <c r="H1951" s="96"/>
    </row>
    <row r="1952" spans="1:8" ht="15" x14ac:dyDescent="0.25">
      <c r="A1952" s="95"/>
      <c r="B1952" s="95"/>
      <c r="C1952" s="95"/>
      <c r="D1952" s="92"/>
      <c r="E1952" s="96"/>
      <c r="F1952" s="97"/>
      <c r="G1952" s="94"/>
      <c r="H1952" s="96"/>
    </row>
    <row r="1953" spans="1:8" ht="15" x14ac:dyDescent="0.25">
      <c r="A1953" s="95"/>
      <c r="B1953" s="95"/>
      <c r="C1953" s="95"/>
      <c r="D1953" s="92"/>
      <c r="E1953" s="96"/>
      <c r="F1953" s="97"/>
      <c r="G1953" s="94"/>
      <c r="H1953" s="96"/>
    </row>
    <row r="1954" spans="1:8" ht="15" x14ac:dyDescent="0.25">
      <c r="A1954" s="95"/>
      <c r="B1954" s="95"/>
      <c r="C1954" s="95"/>
      <c r="D1954" s="92"/>
      <c r="E1954" s="96"/>
      <c r="F1954" s="97"/>
      <c r="G1954" s="94"/>
      <c r="H1954" s="96"/>
    </row>
    <row r="1955" spans="1:8" ht="15" x14ac:dyDescent="0.25">
      <c r="A1955" s="95"/>
      <c r="B1955" s="95"/>
      <c r="C1955" s="95"/>
      <c r="D1955" s="92"/>
      <c r="E1955" s="96"/>
      <c r="F1955" s="97"/>
      <c r="G1955" s="94"/>
      <c r="H1955" s="96"/>
    </row>
    <row r="1956" spans="1:8" ht="15" x14ac:dyDescent="0.25">
      <c r="A1956" s="95"/>
      <c r="B1956" s="95"/>
      <c r="C1956" s="95"/>
      <c r="D1956" s="92"/>
      <c r="E1956" s="96"/>
      <c r="F1956" s="97"/>
      <c r="G1956" s="94"/>
      <c r="H1956" s="96"/>
    </row>
    <row r="1957" spans="1:8" ht="15" x14ac:dyDescent="0.25">
      <c r="A1957" s="95"/>
      <c r="B1957" s="95"/>
      <c r="C1957" s="95"/>
      <c r="D1957" s="92"/>
      <c r="E1957" s="96"/>
      <c r="F1957" s="97"/>
      <c r="G1957" s="94"/>
      <c r="H1957" s="96"/>
    </row>
    <row r="1958" spans="1:8" ht="15" x14ac:dyDescent="0.25">
      <c r="A1958" s="95"/>
      <c r="B1958" s="95"/>
      <c r="C1958" s="95"/>
      <c r="D1958" s="92"/>
      <c r="E1958" s="96"/>
      <c r="F1958" s="97"/>
      <c r="G1958" s="94"/>
      <c r="H1958" s="96"/>
    </row>
    <row r="1959" spans="1:8" ht="15" x14ac:dyDescent="0.25">
      <c r="A1959" s="95"/>
      <c r="B1959" s="95"/>
      <c r="C1959" s="95"/>
      <c r="D1959" s="92"/>
      <c r="E1959" s="96"/>
      <c r="F1959" s="97"/>
      <c r="G1959" s="94"/>
      <c r="H1959" s="96"/>
    </row>
    <row r="1960" spans="1:8" ht="15" x14ac:dyDescent="0.25">
      <c r="A1960" s="95"/>
      <c r="B1960" s="95"/>
      <c r="C1960" s="95"/>
      <c r="D1960" s="92"/>
      <c r="E1960" s="96"/>
      <c r="F1960" s="97"/>
      <c r="G1960" s="94"/>
      <c r="H1960" s="96"/>
    </row>
    <row r="1961" spans="1:8" ht="15" x14ac:dyDescent="0.25">
      <c r="A1961" s="95"/>
      <c r="B1961" s="95"/>
      <c r="C1961" s="95"/>
      <c r="D1961" s="92"/>
      <c r="E1961" s="96"/>
      <c r="F1961" s="97"/>
      <c r="G1961" s="94"/>
      <c r="H1961" s="96"/>
    </row>
    <row r="1962" spans="1:8" ht="15" x14ac:dyDescent="0.25">
      <c r="A1962" s="95"/>
      <c r="B1962" s="95"/>
      <c r="C1962" s="95"/>
      <c r="D1962" s="92"/>
      <c r="E1962" s="96"/>
      <c r="F1962" s="97"/>
      <c r="G1962" s="94"/>
      <c r="H1962" s="96"/>
    </row>
    <row r="1963" spans="1:8" ht="15" x14ac:dyDescent="0.25">
      <c r="A1963" s="95"/>
      <c r="B1963" s="95"/>
      <c r="C1963" s="95"/>
      <c r="D1963" s="92"/>
      <c r="E1963" s="96"/>
      <c r="F1963" s="97"/>
      <c r="G1963" s="94"/>
      <c r="H1963" s="96"/>
    </row>
    <row r="1964" spans="1:8" ht="15" x14ac:dyDescent="0.25">
      <c r="A1964" s="95"/>
      <c r="B1964" s="95"/>
      <c r="C1964" s="95"/>
      <c r="D1964" s="92"/>
      <c r="E1964" s="96"/>
      <c r="F1964" s="97"/>
      <c r="G1964" s="94"/>
      <c r="H1964" s="96"/>
    </row>
    <row r="1965" spans="1:8" ht="15" x14ac:dyDescent="0.25">
      <c r="A1965" s="95"/>
      <c r="B1965" s="95"/>
      <c r="C1965" s="95"/>
      <c r="D1965" s="92"/>
      <c r="E1965" s="96"/>
      <c r="F1965" s="97"/>
      <c r="G1965" s="94"/>
      <c r="H1965" s="96"/>
    </row>
    <row r="1966" spans="1:8" ht="15" x14ac:dyDescent="0.25">
      <c r="A1966" s="95"/>
      <c r="B1966" s="95"/>
      <c r="C1966" s="95"/>
      <c r="D1966" s="92"/>
      <c r="E1966" s="96"/>
      <c r="F1966" s="97"/>
      <c r="G1966" s="94"/>
      <c r="H1966" s="96"/>
    </row>
    <row r="1967" spans="1:8" ht="15" x14ac:dyDescent="0.25">
      <c r="A1967" s="95"/>
      <c r="B1967" s="95"/>
      <c r="C1967" s="95"/>
      <c r="D1967" s="92"/>
      <c r="E1967" s="96"/>
      <c r="F1967" s="97"/>
      <c r="G1967" s="94"/>
      <c r="H1967" s="96"/>
    </row>
    <row r="1968" spans="1:8" ht="15" x14ac:dyDescent="0.25">
      <c r="A1968" s="95"/>
      <c r="B1968" s="95"/>
      <c r="C1968" s="95"/>
      <c r="D1968" s="92"/>
      <c r="E1968" s="96"/>
      <c r="F1968" s="97"/>
      <c r="G1968" s="94"/>
      <c r="H1968" s="96"/>
    </row>
    <row r="1969" spans="1:8" ht="15" x14ac:dyDescent="0.25">
      <c r="A1969" s="95"/>
      <c r="B1969" s="95"/>
      <c r="C1969" s="95"/>
      <c r="D1969" s="92"/>
      <c r="E1969" s="96"/>
      <c r="F1969" s="97"/>
      <c r="G1969" s="94"/>
      <c r="H1969" s="96"/>
    </row>
    <row r="1970" spans="1:8" ht="15" x14ac:dyDescent="0.25">
      <c r="A1970" s="95"/>
      <c r="B1970" s="95"/>
      <c r="C1970" s="95"/>
      <c r="D1970" s="92"/>
      <c r="E1970" s="96"/>
      <c r="F1970" s="97"/>
      <c r="G1970" s="94"/>
      <c r="H1970" s="96"/>
    </row>
    <row r="1971" spans="1:8" ht="15" x14ac:dyDescent="0.25">
      <c r="A1971" s="95"/>
      <c r="B1971" s="95"/>
      <c r="C1971" s="95"/>
      <c r="D1971" s="92"/>
      <c r="E1971" s="96"/>
      <c r="F1971" s="97"/>
      <c r="G1971" s="94"/>
      <c r="H1971" s="96"/>
    </row>
    <row r="1972" spans="1:8" ht="15" x14ac:dyDescent="0.25">
      <c r="A1972" s="95"/>
      <c r="B1972" s="95"/>
      <c r="C1972" s="95"/>
      <c r="D1972" s="92"/>
      <c r="E1972" s="96"/>
      <c r="F1972" s="97"/>
      <c r="G1972" s="94"/>
      <c r="H1972" s="96"/>
    </row>
    <row r="1973" spans="1:8" ht="15" x14ac:dyDescent="0.25">
      <c r="A1973" s="95"/>
      <c r="B1973" s="95"/>
      <c r="C1973" s="95"/>
      <c r="D1973" s="92"/>
      <c r="E1973" s="96"/>
      <c r="F1973" s="97"/>
      <c r="G1973" s="94"/>
      <c r="H1973" s="96"/>
    </row>
    <row r="1974" spans="1:8" ht="15" x14ac:dyDescent="0.25">
      <c r="A1974" s="95"/>
      <c r="B1974" s="95"/>
      <c r="C1974" s="95"/>
      <c r="D1974" s="92"/>
      <c r="E1974" s="96"/>
      <c r="F1974" s="97"/>
      <c r="G1974" s="94"/>
      <c r="H1974" s="96"/>
    </row>
    <row r="1975" spans="1:8" ht="15" x14ac:dyDescent="0.25">
      <c r="A1975" s="95"/>
      <c r="B1975" s="95"/>
      <c r="C1975" s="95"/>
      <c r="D1975" s="92"/>
      <c r="E1975" s="96"/>
      <c r="F1975" s="97"/>
      <c r="G1975" s="94"/>
      <c r="H1975" s="96"/>
    </row>
    <row r="1976" spans="1:8" ht="15" x14ac:dyDescent="0.25">
      <c r="A1976" s="95"/>
      <c r="B1976" s="95"/>
      <c r="C1976" s="95"/>
      <c r="D1976" s="92"/>
      <c r="E1976" s="96"/>
      <c r="F1976" s="97"/>
      <c r="G1976" s="94"/>
      <c r="H1976" s="96"/>
    </row>
    <row r="1977" spans="1:8" ht="15" x14ac:dyDescent="0.25">
      <c r="A1977" s="95"/>
      <c r="B1977" s="95"/>
      <c r="C1977" s="95"/>
      <c r="D1977" s="92"/>
      <c r="E1977" s="96"/>
      <c r="F1977" s="97"/>
      <c r="G1977" s="94"/>
      <c r="H1977" s="96"/>
    </row>
    <row r="1978" spans="1:8" ht="15" x14ac:dyDescent="0.25">
      <c r="A1978" s="95"/>
      <c r="B1978" s="95"/>
      <c r="C1978" s="95"/>
      <c r="D1978" s="92"/>
      <c r="E1978" s="96"/>
      <c r="F1978" s="97"/>
      <c r="G1978" s="94"/>
      <c r="H1978" s="96"/>
    </row>
    <row r="1979" spans="1:8" ht="15" x14ac:dyDescent="0.25">
      <c r="A1979" s="95"/>
      <c r="B1979" s="95"/>
      <c r="C1979" s="95"/>
      <c r="D1979" s="92"/>
      <c r="E1979" s="96"/>
      <c r="F1979" s="97"/>
      <c r="G1979" s="94"/>
      <c r="H1979" s="96"/>
    </row>
    <row r="1980" spans="1:8" ht="15" x14ac:dyDescent="0.25">
      <c r="A1980" s="95"/>
      <c r="B1980" s="95"/>
      <c r="C1980" s="95"/>
      <c r="D1980" s="92"/>
      <c r="E1980" s="96"/>
      <c r="F1980" s="97"/>
      <c r="G1980" s="94"/>
      <c r="H1980" s="96"/>
    </row>
    <row r="1981" spans="1:8" ht="15" x14ac:dyDescent="0.25">
      <c r="A1981" s="95"/>
      <c r="B1981" s="95"/>
      <c r="C1981" s="95"/>
      <c r="D1981" s="92"/>
      <c r="E1981" s="96"/>
      <c r="F1981" s="97"/>
      <c r="G1981" s="94"/>
      <c r="H1981" s="96"/>
    </row>
    <row r="1982" spans="1:8" ht="15" x14ac:dyDescent="0.25">
      <c r="A1982" s="95"/>
      <c r="B1982" s="95"/>
      <c r="C1982" s="95"/>
      <c r="D1982" s="92"/>
      <c r="E1982" s="96"/>
      <c r="F1982" s="97"/>
      <c r="G1982" s="94"/>
      <c r="H1982" s="96"/>
    </row>
    <row r="1983" spans="1:8" ht="15" x14ac:dyDescent="0.25">
      <c r="A1983" s="95"/>
      <c r="B1983" s="95"/>
      <c r="C1983" s="95"/>
      <c r="D1983" s="92"/>
      <c r="E1983" s="96"/>
      <c r="F1983" s="97"/>
      <c r="G1983" s="94"/>
      <c r="H1983" s="96"/>
    </row>
    <row r="1984" spans="1:8" ht="15" x14ac:dyDescent="0.25">
      <c r="A1984" s="95"/>
      <c r="B1984" s="95"/>
      <c r="C1984" s="95"/>
      <c r="D1984" s="92"/>
      <c r="E1984" s="96"/>
      <c r="F1984" s="97"/>
      <c r="G1984" s="94"/>
      <c r="H1984" s="96"/>
    </row>
    <row r="1985" spans="1:8" ht="15" x14ac:dyDescent="0.25">
      <c r="A1985" s="95"/>
      <c r="B1985" s="95"/>
      <c r="C1985" s="95"/>
      <c r="D1985" s="92"/>
      <c r="E1985" s="96"/>
      <c r="F1985" s="97"/>
      <c r="G1985" s="94"/>
      <c r="H1985" s="96"/>
    </row>
    <row r="1986" spans="1:8" ht="15" x14ac:dyDescent="0.25">
      <c r="A1986" s="95"/>
      <c r="B1986" s="95"/>
      <c r="C1986" s="95"/>
      <c r="D1986" s="92"/>
      <c r="E1986" s="96"/>
      <c r="F1986" s="97"/>
      <c r="G1986" s="94"/>
      <c r="H1986" s="96"/>
    </row>
    <row r="1987" spans="1:8" ht="15" x14ac:dyDescent="0.25">
      <c r="A1987" s="95"/>
      <c r="B1987" s="95"/>
      <c r="C1987" s="95"/>
      <c r="D1987" s="92"/>
      <c r="E1987" s="96"/>
      <c r="F1987" s="97"/>
      <c r="G1987" s="94"/>
      <c r="H1987" s="96"/>
    </row>
    <row r="1988" spans="1:8" ht="15" x14ac:dyDescent="0.25">
      <c r="A1988" s="95"/>
      <c r="B1988" s="95"/>
      <c r="C1988" s="95"/>
      <c r="D1988" s="92"/>
      <c r="E1988" s="96"/>
      <c r="F1988" s="97"/>
      <c r="G1988" s="94"/>
      <c r="H1988" s="96"/>
    </row>
    <row r="1989" spans="1:8" ht="15" x14ac:dyDescent="0.25">
      <c r="A1989" s="95"/>
      <c r="B1989" s="95"/>
      <c r="C1989" s="95"/>
      <c r="D1989" s="92"/>
      <c r="E1989" s="96"/>
      <c r="F1989" s="97"/>
      <c r="G1989" s="94"/>
      <c r="H1989" s="96"/>
    </row>
    <row r="1990" spans="1:8" ht="15" x14ac:dyDescent="0.25">
      <c r="A1990" s="95"/>
      <c r="B1990" s="95"/>
      <c r="C1990" s="95"/>
      <c r="D1990" s="92"/>
      <c r="E1990" s="96"/>
      <c r="F1990" s="97"/>
      <c r="G1990" s="94"/>
      <c r="H1990" s="96"/>
    </row>
    <row r="1991" spans="1:8" ht="15" x14ac:dyDescent="0.25">
      <c r="A1991" s="95"/>
      <c r="B1991" s="95"/>
      <c r="C1991" s="95"/>
      <c r="D1991" s="92"/>
      <c r="E1991" s="96"/>
      <c r="F1991" s="97"/>
      <c r="G1991" s="94"/>
      <c r="H1991" s="96"/>
    </row>
    <row r="1992" spans="1:8" ht="15" x14ac:dyDescent="0.25">
      <c r="A1992" s="95"/>
      <c r="B1992" s="95"/>
      <c r="C1992" s="95"/>
      <c r="D1992" s="92"/>
      <c r="E1992" s="96"/>
      <c r="F1992" s="97"/>
      <c r="G1992" s="94"/>
      <c r="H1992" s="96"/>
    </row>
    <row r="1993" spans="1:8" ht="15" x14ac:dyDescent="0.25">
      <c r="A1993" s="95"/>
      <c r="B1993" s="95"/>
      <c r="C1993" s="95"/>
      <c r="D1993" s="92"/>
      <c r="E1993" s="96"/>
      <c r="F1993" s="97"/>
      <c r="G1993" s="94"/>
      <c r="H1993" s="96"/>
    </row>
    <row r="1994" spans="1:8" ht="15" x14ac:dyDescent="0.25">
      <c r="A1994" s="95"/>
      <c r="B1994" s="95"/>
      <c r="C1994" s="95"/>
      <c r="D1994" s="92"/>
      <c r="E1994" s="96"/>
      <c r="F1994" s="97"/>
      <c r="G1994" s="94"/>
      <c r="H1994" s="96"/>
    </row>
    <row r="1995" spans="1:8" ht="15" x14ac:dyDescent="0.25">
      <c r="A1995" s="95"/>
      <c r="B1995" s="95"/>
      <c r="C1995" s="95"/>
      <c r="D1995" s="92"/>
      <c r="E1995" s="96"/>
      <c r="F1995" s="97"/>
      <c r="G1995" s="94"/>
      <c r="H1995" s="96"/>
    </row>
    <row r="1996" spans="1:8" ht="15" x14ac:dyDescent="0.25">
      <c r="A1996" s="95"/>
      <c r="B1996" s="95"/>
      <c r="C1996" s="95"/>
      <c r="D1996" s="92"/>
      <c r="E1996" s="96"/>
      <c r="F1996" s="97"/>
      <c r="G1996" s="94"/>
      <c r="H1996" s="96"/>
    </row>
    <row r="1997" spans="1:8" ht="15" x14ac:dyDescent="0.25">
      <c r="A1997" s="95"/>
      <c r="B1997" s="95"/>
      <c r="C1997" s="95"/>
      <c r="D1997" s="92"/>
      <c r="E1997" s="96"/>
      <c r="F1997" s="97"/>
      <c r="G1997" s="94"/>
      <c r="H1997" s="96"/>
    </row>
    <row r="1998" spans="1:8" ht="15" x14ac:dyDescent="0.25">
      <c r="A1998" s="95"/>
      <c r="B1998" s="95"/>
      <c r="C1998" s="95"/>
      <c r="D1998" s="92"/>
      <c r="E1998" s="96"/>
      <c r="F1998" s="97"/>
      <c r="G1998" s="94"/>
      <c r="H1998" s="96"/>
    </row>
    <row r="1999" spans="1:8" ht="15" x14ac:dyDescent="0.25">
      <c r="A1999" s="95"/>
      <c r="B1999" s="95"/>
      <c r="C1999" s="95"/>
      <c r="D1999" s="92"/>
      <c r="E1999" s="96"/>
      <c r="F1999" s="97"/>
      <c r="G1999" s="94"/>
      <c r="H1999" s="96"/>
    </row>
    <row r="2000" spans="1:8" ht="15" x14ac:dyDescent="0.25">
      <c r="A2000" s="95"/>
      <c r="B2000" s="95"/>
      <c r="C2000" s="95"/>
      <c r="D2000" s="92"/>
      <c r="E2000" s="96"/>
      <c r="F2000" s="97"/>
      <c r="G2000" s="94"/>
      <c r="H2000" s="96"/>
    </row>
    <row r="2001" spans="1:8" ht="15" x14ac:dyDescent="0.25">
      <c r="A2001" s="95"/>
      <c r="B2001" s="95"/>
      <c r="C2001" s="95"/>
      <c r="D2001" s="92"/>
      <c r="E2001" s="96"/>
      <c r="F2001" s="97"/>
      <c r="G2001" s="94"/>
      <c r="H2001" s="96"/>
    </row>
    <row r="2002" spans="1:8" ht="15" x14ac:dyDescent="0.25">
      <c r="A2002" s="95"/>
      <c r="B2002" s="95"/>
      <c r="C2002" s="95"/>
      <c r="D2002" s="92"/>
      <c r="E2002" s="96"/>
      <c r="F2002" s="97"/>
      <c r="G2002" s="94"/>
      <c r="H2002" s="96"/>
    </row>
    <row r="2003" spans="1:8" ht="15" x14ac:dyDescent="0.25">
      <c r="A2003" s="95"/>
      <c r="B2003" s="95"/>
      <c r="C2003" s="95"/>
      <c r="D2003" s="92"/>
      <c r="E2003" s="96"/>
      <c r="F2003" s="97"/>
      <c r="G2003" s="94"/>
      <c r="H2003" s="96"/>
    </row>
    <row r="2004" spans="1:8" ht="15" x14ac:dyDescent="0.25">
      <c r="A2004" s="95"/>
      <c r="B2004" s="95"/>
      <c r="C2004" s="95"/>
      <c r="D2004" s="92"/>
      <c r="E2004" s="96"/>
      <c r="F2004" s="97"/>
      <c r="G2004" s="94"/>
      <c r="H2004" s="96"/>
    </row>
    <row r="2005" spans="1:8" ht="15" x14ac:dyDescent="0.25">
      <c r="A2005" s="95"/>
      <c r="B2005" s="95"/>
      <c r="C2005" s="95"/>
      <c r="D2005" s="92"/>
      <c r="E2005" s="96"/>
      <c r="F2005" s="97"/>
      <c r="G2005" s="94"/>
      <c r="H2005" s="96"/>
    </row>
    <row r="2006" spans="1:8" ht="15" x14ac:dyDescent="0.25">
      <c r="A2006" s="95"/>
      <c r="B2006" s="95"/>
      <c r="C2006" s="95"/>
      <c r="D2006" s="92"/>
      <c r="E2006" s="96"/>
      <c r="F2006" s="97"/>
      <c r="G2006" s="94"/>
      <c r="H2006" s="96"/>
    </row>
    <row r="2007" spans="1:8" ht="15" x14ac:dyDescent="0.25">
      <c r="A2007" s="95"/>
      <c r="B2007" s="95"/>
      <c r="C2007" s="95"/>
      <c r="D2007" s="92"/>
      <c r="E2007" s="96"/>
      <c r="F2007" s="97"/>
      <c r="G2007" s="94"/>
      <c r="H2007" s="96"/>
    </row>
    <row r="2008" spans="1:8" ht="15" x14ac:dyDescent="0.25">
      <c r="A2008" s="95"/>
      <c r="B2008" s="95"/>
      <c r="C2008" s="95"/>
      <c r="D2008" s="92"/>
      <c r="E2008" s="96"/>
      <c r="F2008" s="97"/>
      <c r="G2008" s="94"/>
      <c r="H2008" s="96"/>
    </row>
    <row r="2009" spans="1:8" ht="15" x14ac:dyDescent="0.25">
      <c r="A2009" s="95"/>
      <c r="B2009" s="95"/>
      <c r="C2009" s="95"/>
      <c r="D2009" s="92"/>
      <c r="E2009" s="96"/>
      <c r="F2009" s="97"/>
      <c r="G2009" s="94"/>
      <c r="H2009" s="96"/>
    </row>
    <row r="2010" spans="1:8" ht="15" x14ac:dyDescent="0.25">
      <c r="A2010" s="95"/>
      <c r="B2010" s="95"/>
      <c r="C2010" s="95"/>
      <c r="D2010" s="92"/>
      <c r="E2010" s="96"/>
      <c r="F2010" s="97"/>
      <c r="G2010" s="94"/>
      <c r="H2010" s="96"/>
    </row>
    <row r="2011" spans="1:8" ht="15" x14ac:dyDescent="0.25">
      <c r="A2011" s="95"/>
      <c r="B2011" s="95"/>
      <c r="C2011" s="95"/>
      <c r="D2011" s="92"/>
      <c r="E2011" s="96"/>
      <c r="F2011" s="97"/>
      <c r="G2011" s="94"/>
      <c r="H2011" s="96"/>
    </row>
    <row r="2012" spans="1:8" ht="15" x14ac:dyDescent="0.25">
      <c r="A2012" s="95"/>
      <c r="B2012" s="95"/>
      <c r="C2012" s="95"/>
      <c r="D2012" s="92"/>
      <c r="E2012" s="96"/>
      <c r="F2012" s="97"/>
      <c r="G2012" s="94"/>
      <c r="H2012" s="96"/>
    </row>
    <row r="2013" spans="1:8" ht="15" x14ac:dyDescent="0.25">
      <c r="A2013" s="95"/>
      <c r="B2013" s="95"/>
      <c r="C2013" s="95"/>
      <c r="D2013" s="92"/>
      <c r="E2013" s="96"/>
      <c r="F2013" s="97"/>
      <c r="G2013" s="94"/>
      <c r="H2013" s="96"/>
    </row>
    <row r="2014" spans="1:8" ht="15" x14ac:dyDescent="0.25">
      <c r="A2014" s="95"/>
      <c r="B2014" s="95"/>
      <c r="C2014" s="95"/>
      <c r="D2014" s="92"/>
      <c r="E2014" s="96"/>
      <c r="F2014" s="97"/>
      <c r="G2014" s="94"/>
      <c r="H2014" s="96"/>
    </row>
    <row r="2015" spans="1:8" ht="15" x14ac:dyDescent="0.25">
      <c r="A2015" s="95"/>
      <c r="B2015" s="95"/>
      <c r="C2015" s="95"/>
      <c r="D2015" s="92"/>
      <c r="E2015" s="96"/>
      <c r="F2015" s="97"/>
      <c r="G2015" s="94"/>
      <c r="H2015" s="96"/>
    </row>
    <row r="2016" spans="1:8" ht="15" x14ac:dyDescent="0.25">
      <c r="A2016" s="95"/>
      <c r="B2016" s="95"/>
      <c r="C2016" s="95"/>
      <c r="D2016" s="92"/>
      <c r="E2016" s="96"/>
      <c r="F2016" s="97"/>
      <c r="G2016" s="94"/>
      <c r="H2016" s="96"/>
    </row>
    <row r="2017" spans="1:8" ht="15" x14ac:dyDescent="0.25">
      <c r="A2017" s="95"/>
      <c r="B2017" s="95"/>
      <c r="C2017" s="95"/>
      <c r="D2017" s="92"/>
      <c r="E2017" s="96"/>
      <c r="F2017" s="97"/>
      <c r="G2017" s="94"/>
      <c r="H2017" s="96"/>
    </row>
    <row r="2018" spans="1:8" ht="15" x14ac:dyDescent="0.25">
      <c r="A2018" s="95"/>
      <c r="B2018" s="95"/>
      <c r="C2018" s="95"/>
      <c r="D2018" s="92"/>
      <c r="E2018" s="96"/>
      <c r="F2018" s="97"/>
      <c r="G2018" s="94"/>
      <c r="H2018" s="96"/>
    </row>
    <row r="2019" spans="1:8" ht="15" x14ac:dyDescent="0.25">
      <c r="A2019" s="95"/>
      <c r="B2019" s="95"/>
      <c r="C2019" s="95"/>
      <c r="D2019" s="92"/>
      <c r="E2019" s="96"/>
      <c r="F2019" s="97"/>
      <c r="G2019" s="94"/>
      <c r="H2019" s="96"/>
    </row>
    <row r="2020" spans="1:8" ht="15" x14ac:dyDescent="0.25">
      <c r="A2020" s="95"/>
      <c r="B2020" s="95"/>
      <c r="C2020" s="95"/>
      <c r="D2020" s="92"/>
      <c r="E2020" s="96"/>
      <c r="F2020" s="97"/>
      <c r="G2020" s="94"/>
      <c r="H2020" s="96"/>
    </row>
    <row r="2021" spans="1:8" ht="15" x14ac:dyDescent="0.25">
      <c r="A2021" s="95"/>
      <c r="B2021" s="95"/>
      <c r="C2021" s="95"/>
      <c r="D2021" s="92"/>
      <c r="E2021" s="96"/>
      <c r="F2021" s="97"/>
      <c r="G2021" s="94"/>
      <c r="H2021" s="96"/>
    </row>
    <row r="2022" spans="1:8" ht="15" x14ac:dyDescent="0.25">
      <c r="A2022" s="95"/>
      <c r="B2022" s="95"/>
      <c r="C2022" s="95"/>
      <c r="D2022" s="92"/>
      <c r="E2022" s="96"/>
      <c r="F2022" s="97"/>
      <c r="G2022" s="94"/>
      <c r="H2022" s="96"/>
    </row>
    <row r="2023" spans="1:8" ht="15" x14ac:dyDescent="0.25">
      <c r="A2023" s="95"/>
      <c r="B2023" s="95"/>
      <c r="C2023" s="95"/>
      <c r="D2023" s="92"/>
      <c r="E2023" s="96"/>
      <c r="F2023" s="97"/>
      <c r="G2023" s="94"/>
      <c r="H2023" s="96"/>
    </row>
    <row r="2024" spans="1:8" ht="15" x14ac:dyDescent="0.25">
      <c r="A2024" s="95"/>
      <c r="B2024" s="95"/>
      <c r="C2024" s="95"/>
      <c r="D2024" s="92"/>
      <c r="E2024" s="96"/>
      <c r="F2024" s="97"/>
      <c r="G2024" s="94"/>
      <c r="H2024" s="96"/>
    </row>
    <row r="2025" spans="1:8" ht="15" x14ac:dyDescent="0.25">
      <c r="A2025" s="95"/>
      <c r="B2025" s="95"/>
      <c r="C2025" s="95"/>
      <c r="D2025" s="92"/>
      <c r="E2025" s="96"/>
      <c r="F2025" s="97"/>
      <c r="G2025" s="94"/>
      <c r="H2025" s="96"/>
    </row>
    <row r="2026" spans="1:8" ht="15" x14ac:dyDescent="0.25">
      <c r="A2026" s="95"/>
      <c r="B2026" s="95"/>
      <c r="C2026" s="95"/>
      <c r="D2026" s="92"/>
      <c r="E2026" s="96"/>
      <c r="F2026" s="97"/>
      <c r="G2026" s="94"/>
      <c r="H2026" s="96"/>
    </row>
    <row r="2027" spans="1:8" ht="15" x14ac:dyDescent="0.25">
      <c r="A2027" s="95"/>
      <c r="B2027" s="95"/>
      <c r="C2027" s="95"/>
      <c r="D2027" s="92"/>
      <c r="E2027" s="96"/>
      <c r="F2027" s="97"/>
      <c r="G2027" s="94"/>
      <c r="H2027" s="96"/>
    </row>
    <row r="2028" spans="1:8" ht="15" x14ac:dyDescent="0.25">
      <c r="A2028" s="95"/>
      <c r="B2028" s="95"/>
      <c r="C2028" s="95"/>
      <c r="D2028" s="92"/>
      <c r="E2028" s="96"/>
      <c r="F2028" s="97"/>
      <c r="G2028" s="94"/>
      <c r="H2028" s="96"/>
    </row>
    <row r="2029" spans="1:8" ht="15" x14ac:dyDescent="0.25">
      <c r="A2029" s="95"/>
      <c r="B2029" s="95"/>
      <c r="C2029" s="95"/>
      <c r="D2029" s="92"/>
      <c r="E2029" s="96"/>
      <c r="F2029" s="97"/>
      <c r="G2029" s="94"/>
      <c r="H2029" s="96"/>
    </row>
    <row r="2030" spans="1:8" ht="15" x14ac:dyDescent="0.25">
      <c r="A2030" s="95"/>
      <c r="B2030" s="95"/>
      <c r="C2030" s="95"/>
      <c r="D2030" s="92"/>
      <c r="E2030" s="96"/>
      <c r="F2030" s="97"/>
      <c r="G2030" s="94"/>
      <c r="H2030" s="96"/>
    </row>
    <row r="2031" spans="1:8" ht="15" x14ac:dyDescent="0.25">
      <c r="A2031" s="95"/>
      <c r="B2031" s="95"/>
      <c r="C2031" s="95"/>
      <c r="D2031" s="92"/>
      <c r="E2031" s="96"/>
      <c r="F2031" s="97"/>
      <c r="G2031" s="94"/>
      <c r="H2031" s="96"/>
    </row>
    <row r="2032" spans="1:8" ht="15" x14ac:dyDescent="0.25">
      <c r="A2032" s="95"/>
      <c r="B2032" s="95"/>
      <c r="C2032" s="95"/>
      <c r="D2032" s="92"/>
      <c r="E2032" s="96"/>
      <c r="F2032" s="97"/>
      <c r="G2032" s="94"/>
      <c r="H2032" s="96"/>
    </row>
    <row r="2033" spans="1:8" ht="15" x14ac:dyDescent="0.25">
      <c r="A2033" s="95"/>
      <c r="B2033" s="95"/>
      <c r="C2033" s="95"/>
      <c r="D2033" s="92"/>
      <c r="E2033" s="96"/>
      <c r="F2033" s="97"/>
      <c r="G2033" s="94"/>
      <c r="H2033" s="96"/>
    </row>
    <row r="2034" spans="1:8" ht="15" x14ac:dyDescent="0.25">
      <c r="A2034" s="95"/>
      <c r="B2034" s="95"/>
      <c r="C2034" s="95"/>
      <c r="D2034" s="92"/>
      <c r="E2034" s="96"/>
      <c r="F2034" s="97"/>
      <c r="G2034" s="94"/>
      <c r="H2034" s="96"/>
    </row>
    <row r="2035" spans="1:8" ht="15" x14ac:dyDescent="0.25">
      <c r="A2035" s="95"/>
      <c r="B2035" s="95"/>
      <c r="C2035" s="95"/>
      <c r="D2035" s="92"/>
      <c r="E2035" s="96"/>
      <c r="F2035" s="97"/>
      <c r="G2035" s="94"/>
      <c r="H2035" s="96"/>
    </row>
    <row r="2036" spans="1:8" ht="15" x14ac:dyDescent="0.25">
      <c r="A2036" s="95"/>
      <c r="B2036" s="95"/>
      <c r="C2036" s="95"/>
      <c r="D2036" s="92"/>
      <c r="E2036" s="96"/>
      <c r="F2036" s="97"/>
      <c r="G2036" s="94"/>
      <c r="H2036" s="96"/>
    </row>
    <row r="2037" spans="1:8" ht="15" x14ac:dyDescent="0.25">
      <c r="A2037" s="95"/>
      <c r="B2037" s="95"/>
      <c r="C2037" s="95"/>
      <c r="D2037" s="92"/>
      <c r="E2037" s="96"/>
      <c r="F2037" s="97"/>
      <c r="G2037" s="94"/>
      <c r="H2037" s="96"/>
    </row>
    <row r="2038" spans="1:8" ht="15" x14ac:dyDescent="0.25">
      <c r="A2038" s="95"/>
      <c r="B2038" s="95"/>
      <c r="C2038" s="95"/>
      <c r="D2038" s="92"/>
      <c r="E2038" s="96"/>
      <c r="F2038" s="97"/>
      <c r="G2038" s="94"/>
      <c r="H2038" s="96"/>
    </row>
    <row r="2039" spans="1:8" ht="15" x14ac:dyDescent="0.25">
      <c r="A2039" s="95"/>
      <c r="B2039" s="95"/>
      <c r="C2039" s="95"/>
      <c r="D2039" s="92"/>
      <c r="E2039" s="96"/>
      <c r="F2039" s="97"/>
      <c r="G2039" s="94"/>
      <c r="H2039" s="96"/>
    </row>
    <row r="2040" spans="1:8" ht="15" x14ac:dyDescent="0.25">
      <c r="A2040" s="95"/>
      <c r="B2040" s="95"/>
      <c r="C2040" s="95"/>
      <c r="D2040" s="92"/>
      <c r="E2040" s="96"/>
      <c r="F2040" s="97"/>
      <c r="G2040" s="94"/>
      <c r="H2040" s="96"/>
    </row>
    <row r="2041" spans="1:8" ht="15" x14ac:dyDescent="0.25">
      <c r="A2041" s="95"/>
      <c r="B2041" s="95"/>
      <c r="C2041" s="95"/>
      <c r="D2041" s="92"/>
      <c r="E2041" s="96"/>
      <c r="F2041" s="97"/>
      <c r="G2041" s="94"/>
      <c r="H2041" s="96"/>
    </row>
    <row r="2042" spans="1:8" ht="15" x14ac:dyDescent="0.25">
      <c r="A2042" s="95"/>
      <c r="B2042" s="95"/>
      <c r="C2042" s="95"/>
      <c r="D2042" s="92"/>
      <c r="E2042" s="96"/>
      <c r="F2042" s="97"/>
      <c r="G2042" s="94"/>
      <c r="H2042" s="96"/>
    </row>
    <row r="2043" spans="1:8" ht="15" x14ac:dyDescent="0.25">
      <c r="A2043" s="95"/>
      <c r="B2043" s="95"/>
      <c r="C2043" s="95"/>
      <c r="D2043" s="92"/>
      <c r="E2043" s="96"/>
      <c r="F2043" s="97"/>
      <c r="G2043" s="94"/>
      <c r="H2043" s="96"/>
    </row>
    <row r="2044" spans="1:8" ht="15" x14ac:dyDescent="0.25">
      <c r="A2044" s="95"/>
      <c r="B2044" s="95"/>
      <c r="C2044" s="95"/>
      <c r="D2044" s="92"/>
      <c r="E2044" s="96"/>
      <c r="F2044" s="97"/>
      <c r="G2044" s="94"/>
      <c r="H2044" s="96"/>
    </row>
    <row r="2045" spans="1:8" ht="15" x14ac:dyDescent="0.25">
      <c r="A2045" s="95"/>
      <c r="B2045" s="95"/>
      <c r="C2045" s="95"/>
      <c r="D2045" s="92"/>
      <c r="E2045" s="96"/>
      <c r="F2045" s="97"/>
      <c r="G2045" s="94"/>
      <c r="H2045" s="96"/>
    </row>
    <row r="2046" spans="1:8" ht="15" x14ac:dyDescent="0.25">
      <c r="A2046" s="95"/>
      <c r="B2046" s="95"/>
      <c r="C2046" s="95"/>
      <c r="D2046" s="92"/>
      <c r="E2046" s="96"/>
      <c r="F2046" s="97"/>
      <c r="G2046" s="94"/>
      <c r="H2046" s="96"/>
    </row>
    <row r="2047" spans="1:8" ht="15" x14ac:dyDescent="0.25">
      <c r="A2047" s="95"/>
      <c r="B2047" s="95"/>
      <c r="C2047" s="95"/>
      <c r="D2047" s="92"/>
      <c r="E2047" s="96"/>
      <c r="F2047" s="97"/>
      <c r="G2047" s="94"/>
      <c r="H2047" s="96"/>
    </row>
    <row r="2048" spans="1:8" ht="15" x14ac:dyDescent="0.25">
      <c r="A2048" s="95"/>
      <c r="B2048" s="95"/>
      <c r="C2048" s="95"/>
      <c r="D2048" s="92"/>
      <c r="E2048" s="96"/>
      <c r="F2048" s="97"/>
      <c r="G2048" s="94"/>
      <c r="H2048" s="96"/>
    </row>
    <row r="2049" spans="1:8" ht="15" x14ac:dyDescent="0.25">
      <c r="A2049" s="95"/>
      <c r="B2049" s="95"/>
      <c r="C2049" s="95"/>
      <c r="D2049" s="92"/>
      <c r="E2049" s="96"/>
      <c r="F2049" s="97"/>
      <c r="G2049" s="94"/>
      <c r="H2049" s="96"/>
    </row>
    <row r="2050" spans="1:8" ht="15" x14ac:dyDescent="0.25">
      <c r="A2050" s="95"/>
      <c r="B2050" s="95"/>
      <c r="C2050" s="95"/>
      <c r="D2050" s="92"/>
      <c r="E2050" s="96"/>
      <c r="F2050" s="97"/>
      <c r="G2050" s="94"/>
      <c r="H2050" s="96"/>
    </row>
    <row r="2051" spans="1:8" ht="15" x14ac:dyDescent="0.25">
      <c r="A2051" s="95"/>
      <c r="B2051" s="95"/>
      <c r="C2051" s="95"/>
      <c r="D2051" s="92"/>
      <c r="E2051" s="96"/>
      <c r="F2051" s="97"/>
      <c r="G2051" s="94"/>
      <c r="H2051" s="96"/>
    </row>
    <row r="2052" spans="1:8" ht="15" x14ac:dyDescent="0.25">
      <c r="A2052" s="95"/>
      <c r="B2052" s="95"/>
      <c r="C2052" s="95"/>
      <c r="D2052" s="92"/>
      <c r="E2052" s="96"/>
      <c r="F2052" s="97"/>
      <c r="G2052" s="94"/>
      <c r="H2052" s="96"/>
    </row>
    <row r="2053" spans="1:8" ht="15" x14ac:dyDescent="0.25">
      <c r="A2053" s="95"/>
      <c r="B2053" s="95"/>
      <c r="C2053" s="95"/>
      <c r="D2053" s="92"/>
      <c r="E2053" s="96"/>
      <c r="F2053" s="97"/>
      <c r="G2053" s="94"/>
      <c r="H2053" s="96"/>
    </row>
    <row r="2054" spans="1:8" ht="15" x14ac:dyDescent="0.25">
      <c r="A2054" s="95"/>
      <c r="B2054" s="95"/>
      <c r="C2054" s="95"/>
      <c r="D2054" s="92"/>
      <c r="E2054" s="96"/>
      <c r="F2054" s="97"/>
      <c r="G2054" s="94"/>
      <c r="H2054" s="96"/>
    </row>
    <row r="2055" spans="1:8" ht="15" x14ac:dyDescent="0.25">
      <c r="A2055" s="95"/>
      <c r="B2055" s="95"/>
      <c r="C2055" s="95"/>
      <c r="D2055" s="92"/>
      <c r="E2055" s="96"/>
      <c r="F2055" s="97"/>
      <c r="G2055" s="94"/>
      <c r="H2055" s="96"/>
    </row>
    <row r="2056" spans="1:8" ht="15" x14ac:dyDescent="0.25">
      <c r="A2056" s="95"/>
      <c r="B2056" s="95"/>
      <c r="C2056" s="95"/>
      <c r="D2056" s="92"/>
      <c r="E2056" s="96"/>
      <c r="F2056" s="97"/>
      <c r="G2056" s="94"/>
      <c r="H2056" s="96"/>
    </row>
    <row r="2057" spans="1:8" ht="15" x14ac:dyDescent="0.25">
      <c r="A2057" s="95"/>
      <c r="B2057" s="95"/>
      <c r="C2057" s="95"/>
      <c r="D2057" s="92"/>
      <c r="E2057" s="96"/>
      <c r="F2057" s="97"/>
      <c r="G2057" s="94"/>
      <c r="H2057" s="96"/>
    </row>
    <row r="2058" spans="1:8" ht="15" x14ac:dyDescent="0.25">
      <c r="A2058" s="95"/>
      <c r="B2058" s="95"/>
      <c r="C2058" s="95"/>
      <c r="D2058" s="92"/>
      <c r="E2058" s="96"/>
      <c r="F2058" s="97"/>
      <c r="G2058" s="94"/>
      <c r="H2058" s="96"/>
    </row>
    <row r="2059" spans="1:8" ht="15" x14ac:dyDescent="0.25">
      <c r="A2059" s="95"/>
      <c r="B2059" s="95"/>
      <c r="C2059" s="95"/>
      <c r="D2059" s="92"/>
      <c r="E2059" s="96"/>
      <c r="F2059" s="97"/>
      <c r="G2059" s="94"/>
      <c r="H2059" s="96"/>
    </row>
    <row r="2060" spans="1:8" ht="15" x14ac:dyDescent="0.25">
      <c r="A2060" s="95"/>
      <c r="B2060" s="95"/>
      <c r="C2060" s="95"/>
      <c r="D2060" s="92"/>
      <c r="E2060" s="96"/>
      <c r="F2060" s="97"/>
      <c r="G2060" s="94"/>
      <c r="H2060" s="96"/>
    </row>
    <row r="2061" spans="1:8" ht="15" x14ac:dyDescent="0.25">
      <c r="A2061" s="95"/>
      <c r="B2061" s="95"/>
      <c r="C2061" s="95"/>
      <c r="D2061" s="92"/>
      <c r="E2061" s="96"/>
      <c r="F2061" s="97"/>
      <c r="G2061" s="94"/>
      <c r="H2061" s="96"/>
    </row>
    <row r="2062" spans="1:8" ht="15" x14ac:dyDescent="0.25">
      <c r="A2062" s="95"/>
      <c r="B2062" s="95"/>
      <c r="C2062" s="95"/>
      <c r="D2062" s="92"/>
      <c r="E2062" s="96"/>
      <c r="F2062" s="97"/>
      <c r="G2062" s="94"/>
      <c r="H2062" s="96"/>
    </row>
    <row r="2063" spans="1:8" ht="15" x14ac:dyDescent="0.25">
      <c r="A2063" s="95"/>
      <c r="B2063" s="95"/>
      <c r="C2063" s="95"/>
      <c r="D2063" s="92"/>
      <c r="E2063" s="96"/>
      <c r="F2063" s="97"/>
      <c r="G2063" s="94"/>
      <c r="H2063" s="96"/>
    </row>
    <row r="2064" spans="1:8" ht="15" x14ac:dyDescent="0.25">
      <c r="A2064" s="95"/>
      <c r="B2064" s="95"/>
      <c r="C2064" s="95"/>
      <c r="D2064" s="92"/>
      <c r="E2064" s="96"/>
      <c r="F2064" s="97"/>
      <c r="G2064" s="94"/>
      <c r="H2064" s="96"/>
    </row>
    <row r="2065" spans="1:8" ht="15" x14ac:dyDescent="0.25">
      <c r="A2065" s="95"/>
      <c r="B2065" s="95"/>
      <c r="C2065" s="95"/>
      <c r="D2065" s="92"/>
      <c r="E2065" s="96"/>
      <c r="F2065" s="97"/>
      <c r="G2065" s="94"/>
      <c r="H2065" s="96"/>
    </row>
    <row r="2066" spans="1:8" ht="15" x14ac:dyDescent="0.25">
      <c r="A2066" s="95"/>
      <c r="B2066" s="95"/>
      <c r="C2066" s="95"/>
      <c r="D2066" s="92"/>
      <c r="E2066" s="96"/>
      <c r="F2066" s="97"/>
      <c r="G2066" s="94"/>
      <c r="H2066" s="96"/>
    </row>
    <row r="2067" spans="1:8" ht="15" x14ac:dyDescent="0.25">
      <c r="A2067" s="95"/>
      <c r="B2067" s="95"/>
      <c r="C2067" s="95"/>
      <c r="D2067" s="92"/>
      <c r="E2067" s="96"/>
      <c r="F2067" s="97"/>
      <c r="G2067" s="94"/>
      <c r="H2067" s="96"/>
    </row>
    <row r="2068" spans="1:8" ht="15" x14ac:dyDescent="0.25">
      <c r="A2068" s="95"/>
      <c r="B2068" s="95"/>
      <c r="C2068" s="95"/>
      <c r="D2068" s="92"/>
      <c r="E2068" s="96"/>
      <c r="F2068" s="97"/>
      <c r="G2068" s="94"/>
      <c r="H2068" s="96"/>
    </row>
    <row r="2069" spans="1:8" ht="15" x14ac:dyDescent="0.25">
      <c r="A2069" s="95"/>
      <c r="B2069" s="95"/>
      <c r="C2069" s="95"/>
      <c r="D2069" s="92"/>
      <c r="E2069" s="96"/>
      <c r="F2069" s="97"/>
      <c r="G2069" s="94"/>
      <c r="H2069" s="96"/>
    </row>
    <row r="2070" spans="1:8" ht="15" x14ac:dyDescent="0.25">
      <c r="A2070" s="95"/>
      <c r="B2070" s="95"/>
      <c r="C2070" s="95"/>
      <c r="D2070" s="92"/>
      <c r="E2070" s="96"/>
      <c r="F2070" s="97"/>
      <c r="G2070" s="94"/>
      <c r="H2070" s="96"/>
    </row>
    <row r="2071" spans="1:8" ht="15" x14ac:dyDescent="0.25">
      <c r="A2071" s="95"/>
      <c r="B2071" s="95"/>
      <c r="C2071" s="95"/>
      <c r="D2071" s="92"/>
      <c r="E2071" s="96"/>
      <c r="F2071" s="97"/>
      <c r="G2071" s="94"/>
      <c r="H2071" s="96"/>
    </row>
    <row r="2072" spans="1:8" ht="15" x14ac:dyDescent="0.25">
      <c r="A2072" s="95"/>
      <c r="B2072" s="95"/>
      <c r="C2072" s="95"/>
      <c r="D2072" s="92"/>
      <c r="E2072" s="96"/>
      <c r="F2072" s="97"/>
      <c r="G2072" s="94"/>
      <c r="H2072" s="96"/>
    </row>
    <row r="2073" spans="1:8" ht="15" x14ac:dyDescent="0.25">
      <c r="A2073" s="95"/>
      <c r="B2073" s="95"/>
      <c r="C2073" s="95"/>
      <c r="D2073" s="92"/>
      <c r="E2073" s="96"/>
      <c r="F2073" s="97"/>
      <c r="G2073" s="94"/>
      <c r="H2073" s="96"/>
    </row>
    <row r="2074" spans="1:8" ht="15" x14ac:dyDescent="0.25">
      <c r="A2074" s="95"/>
      <c r="B2074" s="95"/>
      <c r="C2074" s="95"/>
      <c r="D2074" s="92"/>
      <c r="E2074" s="96"/>
      <c r="F2074" s="97"/>
      <c r="G2074" s="94"/>
      <c r="H2074" s="96"/>
    </row>
    <row r="2075" spans="1:8" ht="15" x14ac:dyDescent="0.25">
      <c r="A2075" s="95"/>
      <c r="B2075" s="95"/>
      <c r="C2075" s="95"/>
      <c r="D2075" s="92"/>
      <c r="E2075" s="96"/>
      <c r="F2075" s="97"/>
      <c r="G2075" s="94"/>
      <c r="H2075" s="96"/>
    </row>
    <row r="2076" spans="1:8" ht="15" x14ac:dyDescent="0.25">
      <c r="A2076" s="95"/>
      <c r="B2076" s="95"/>
      <c r="C2076" s="95"/>
      <c r="D2076" s="92"/>
      <c r="E2076" s="96"/>
      <c r="F2076" s="97"/>
      <c r="G2076" s="94"/>
      <c r="H2076" s="96"/>
    </row>
    <row r="2077" spans="1:8" ht="15" x14ac:dyDescent="0.25">
      <c r="A2077" s="95"/>
      <c r="B2077" s="95"/>
      <c r="C2077" s="95"/>
      <c r="D2077" s="92"/>
      <c r="E2077" s="96"/>
      <c r="F2077" s="97"/>
      <c r="G2077" s="94"/>
      <c r="H2077" s="96"/>
    </row>
    <row r="2078" spans="1:8" ht="15" x14ac:dyDescent="0.25">
      <c r="A2078" s="95"/>
      <c r="B2078" s="95"/>
      <c r="C2078" s="95"/>
      <c r="D2078" s="92"/>
      <c r="E2078" s="96"/>
      <c r="F2078" s="97"/>
      <c r="G2078" s="94"/>
      <c r="H2078" s="96"/>
    </row>
    <row r="2079" spans="1:8" ht="15" x14ac:dyDescent="0.25">
      <c r="A2079" s="95"/>
      <c r="B2079" s="95"/>
      <c r="C2079" s="95"/>
      <c r="D2079" s="92"/>
      <c r="E2079" s="96"/>
      <c r="F2079" s="97"/>
      <c r="G2079" s="94"/>
      <c r="H2079" s="96"/>
    </row>
    <row r="2080" spans="1:8" ht="15" x14ac:dyDescent="0.25">
      <c r="A2080" s="95"/>
      <c r="B2080" s="95"/>
      <c r="C2080" s="95"/>
      <c r="D2080" s="92"/>
      <c r="E2080" s="96"/>
      <c r="F2080" s="97"/>
      <c r="G2080" s="94"/>
      <c r="H2080" s="96"/>
    </row>
    <row r="2081" spans="1:8" ht="15" x14ac:dyDescent="0.25">
      <c r="A2081" s="95"/>
      <c r="B2081" s="95"/>
      <c r="C2081" s="95"/>
      <c r="D2081" s="92"/>
      <c r="E2081" s="96"/>
      <c r="F2081" s="97"/>
      <c r="G2081" s="94"/>
      <c r="H2081" s="96"/>
    </row>
    <row r="2082" spans="1:8" ht="15" x14ac:dyDescent="0.25">
      <c r="A2082" s="95"/>
      <c r="B2082" s="95"/>
      <c r="C2082" s="95"/>
      <c r="D2082" s="92"/>
      <c r="E2082" s="96"/>
      <c r="F2082" s="97"/>
      <c r="G2082" s="94"/>
      <c r="H2082" s="96"/>
    </row>
    <row r="2083" spans="1:8" ht="15" x14ac:dyDescent="0.25">
      <c r="A2083" s="95"/>
      <c r="B2083" s="95"/>
      <c r="C2083" s="95"/>
      <c r="D2083" s="92"/>
      <c r="E2083" s="96"/>
      <c r="F2083" s="97"/>
      <c r="G2083" s="94"/>
      <c r="H2083" s="96"/>
    </row>
    <row r="2084" spans="1:8" ht="15" x14ac:dyDescent="0.25">
      <c r="A2084" s="95"/>
      <c r="B2084" s="95"/>
      <c r="C2084" s="95"/>
      <c r="D2084" s="92"/>
      <c r="E2084" s="96"/>
      <c r="F2084" s="97"/>
      <c r="G2084" s="94"/>
      <c r="H2084" s="96"/>
    </row>
    <row r="2085" spans="1:8" ht="15" x14ac:dyDescent="0.25">
      <c r="A2085" s="95"/>
      <c r="B2085" s="95"/>
      <c r="C2085" s="95"/>
      <c r="D2085" s="92"/>
      <c r="E2085" s="96"/>
      <c r="F2085" s="97"/>
      <c r="G2085" s="94"/>
      <c r="H2085" s="96"/>
    </row>
    <row r="2086" spans="1:8" ht="15" x14ac:dyDescent="0.25">
      <c r="A2086" s="95"/>
      <c r="B2086" s="95"/>
      <c r="C2086" s="95"/>
      <c r="D2086" s="92"/>
      <c r="E2086" s="96"/>
      <c r="F2086" s="97"/>
      <c r="G2086" s="94"/>
      <c r="H2086" s="96"/>
    </row>
    <row r="2087" spans="1:8" ht="15" x14ac:dyDescent="0.25">
      <c r="A2087" s="95"/>
      <c r="B2087" s="95"/>
      <c r="C2087" s="95"/>
      <c r="D2087" s="92"/>
      <c r="E2087" s="96"/>
      <c r="F2087" s="97"/>
      <c r="G2087" s="94"/>
      <c r="H2087" s="96"/>
    </row>
    <row r="2088" spans="1:8" ht="15" x14ac:dyDescent="0.25">
      <c r="A2088" s="95"/>
      <c r="B2088" s="95"/>
      <c r="C2088" s="95"/>
      <c r="D2088" s="92"/>
      <c r="E2088" s="96"/>
      <c r="F2088" s="97"/>
      <c r="G2088" s="94"/>
      <c r="H2088" s="96"/>
    </row>
    <row r="2089" spans="1:8" ht="15" x14ac:dyDescent="0.25">
      <c r="A2089" s="95"/>
      <c r="B2089" s="95"/>
      <c r="C2089" s="95"/>
      <c r="D2089" s="92"/>
      <c r="E2089" s="96"/>
      <c r="F2089" s="97"/>
      <c r="G2089" s="94"/>
      <c r="H2089" s="96"/>
    </row>
    <row r="2090" spans="1:8" ht="15" x14ac:dyDescent="0.25">
      <c r="A2090" s="95"/>
      <c r="B2090" s="95"/>
      <c r="C2090" s="95"/>
      <c r="D2090" s="92"/>
      <c r="E2090" s="96"/>
      <c r="F2090" s="97"/>
      <c r="G2090" s="94"/>
      <c r="H2090" s="96"/>
    </row>
    <row r="2091" spans="1:8" ht="15" x14ac:dyDescent="0.25">
      <c r="A2091" s="95"/>
      <c r="B2091" s="95"/>
      <c r="C2091" s="95"/>
      <c r="D2091" s="92"/>
      <c r="E2091" s="96"/>
      <c r="F2091" s="97"/>
      <c r="G2091" s="94"/>
      <c r="H2091" s="96"/>
    </row>
    <row r="2092" spans="1:8" ht="15" x14ac:dyDescent="0.25">
      <c r="A2092" s="95"/>
      <c r="B2092" s="95"/>
      <c r="C2092" s="95"/>
      <c r="D2092" s="92"/>
      <c r="E2092" s="96"/>
      <c r="F2092" s="97"/>
      <c r="G2092" s="94"/>
      <c r="H2092" s="96"/>
    </row>
    <row r="2093" spans="1:8" ht="15" x14ac:dyDescent="0.25">
      <c r="A2093" s="95"/>
      <c r="B2093" s="95"/>
      <c r="C2093" s="95"/>
      <c r="D2093" s="92"/>
      <c r="E2093" s="96"/>
      <c r="F2093" s="97"/>
      <c r="G2093" s="94"/>
      <c r="H2093" s="96"/>
    </row>
    <row r="2094" spans="1:8" ht="15" x14ac:dyDescent="0.25">
      <c r="A2094" s="95"/>
      <c r="B2094" s="95"/>
      <c r="C2094" s="95"/>
      <c r="D2094" s="92"/>
      <c r="E2094" s="96"/>
      <c r="F2094" s="97"/>
      <c r="G2094" s="94"/>
      <c r="H2094" s="96"/>
    </row>
    <row r="2095" spans="1:8" ht="15" x14ac:dyDescent="0.25">
      <c r="A2095" s="95"/>
      <c r="B2095" s="95"/>
      <c r="C2095" s="95"/>
      <c r="D2095" s="92"/>
      <c r="E2095" s="96"/>
      <c r="F2095" s="97"/>
      <c r="G2095" s="94"/>
      <c r="H2095" s="96"/>
    </row>
    <row r="2096" spans="1:8" ht="15" x14ac:dyDescent="0.25">
      <c r="A2096" s="95"/>
      <c r="B2096" s="95"/>
      <c r="C2096" s="95"/>
      <c r="D2096" s="92"/>
      <c r="E2096" s="96"/>
      <c r="F2096" s="97"/>
      <c r="G2096" s="94"/>
      <c r="H2096" s="96"/>
    </row>
    <row r="2097" spans="1:8" ht="15" x14ac:dyDescent="0.25">
      <c r="A2097" s="95"/>
      <c r="B2097" s="95"/>
      <c r="C2097" s="95"/>
      <c r="D2097" s="92"/>
      <c r="E2097" s="96"/>
      <c r="F2097" s="97"/>
      <c r="G2097" s="94"/>
      <c r="H2097" s="96"/>
    </row>
    <row r="2098" spans="1:8" ht="15" x14ac:dyDescent="0.25">
      <c r="A2098" s="95"/>
      <c r="B2098" s="95"/>
      <c r="C2098" s="95"/>
      <c r="D2098" s="92"/>
      <c r="E2098" s="96"/>
      <c r="F2098" s="97"/>
      <c r="G2098" s="94"/>
      <c r="H2098" s="96"/>
    </row>
    <row r="2099" spans="1:8" ht="15" x14ac:dyDescent="0.25">
      <c r="A2099" s="95"/>
      <c r="B2099" s="95"/>
      <c r="C2099" s="95"/>
      <c r="D2099" s="92"/>
      <c r="E2099" s="96"/>
      <c r="F2099" s="97"/>
      <c r="G2099" s="94"/>
      <c r="H2099" s="96"/>
    </row>
    <row r="2100" spans="1:8" ht="15" x14ac:dyDescent="0.25">
      <c r="A2100" s="95"/>
      <c r="B2100" s="95"/>
      <c r="C2100" s="95"/>
      <c r="D2100" s="92"/>
      <c r="E2100" s="96"/>
      <c r="F2100" s="97"/>
      <c r="G2100" s="94"/>
      <c r="H2100" s="96"/>
    </row>
    <row r="2101" spans="1:8" ht="15" x14ac:dyDescent="0.25">
      <c r="A2101" s="95"/>
      <c r="B2101" s="95"/>
      <c r="C2101" s="95"/>
      <c r="D2101" s="92"/>
      <c r="E2101" s="96"/>
      <c r="F2101" s="97"/>
      <c r="G2101" s="94"/>
      <c r="H2101" s="96"/>
    </row>
    <row r="2102" spans="1:8" ht="15" x14ac:dyDescent="0.25">
      <c r="A2102" s="95"/>
      <c r="B2102" s="95"/>
      <c r="C2102" s="95"/>
      <c r="D2102" s="92"/>
      <c r="E2102" s="96"/>
      <c r="F2102" s="97"/>
      <c r="G2102" s="94"/>
      <c r="H2102" s="96"/>
    </row>
    <row r="2103" spans="1:8" ht="15" x14ac:dyDescent="0.25">
      <c r="A2103" s="95"/>
      <c r="B2103" s="95"/>
      <c r="C2103" s="95"/>
      <c r="D2103" s="92"/>
      <c r="E2103" s="96"/>
      <c r="F2103" s="97"/>
      <c r="G2103" s="94"/>
      <c r="H2103" s="96"/>
    </row>
    <row r="2104" spans="1:8" ht="15" x14ac:dyDescent="0.25">
      <c r="A2104" s="95"/>
      <c r="B2104" s="95"/>
      <c r="C2104" s="95"/>
      <c r="D2104" s="92"/>
      <c r="E2104" s="96"/>
      <c r="F2104" s="97"/>
      <c r="G2104" s="94"/>
      <c r="H2104" s="96"/>
    </row>
    <row r="2105" spans="1:8" ht="15" x14ac:dyDescent="0.25">
      <c r="A2105" s="95"/>
      <c r="B2105" s="95"/>
      <c r="C2105" s="95"/>
      <c r="D2105" s="92"/>
      <c r="E2105" s="96"/>
      <c r="F2105" s="97"/>
      <c r="G2105" s="94"/>
      <c r="H2105" s="96"/>
    </row>
    <row r="2106" spans="1:8" ht="15" x14ac:dyDescent="0.25">
      <c r="A2106" s="95"/>
      <c r="B2106" s="95"/>
      <c r="C2106" s="95"/>
      <c r="D2106" s="92"/>
      <c r="E2106" s="96"/>
      <c r="F2106" s="97"/>
      <c r="G2106" s="94"/>
      <c r="H2106" s="96"/>
    </row>
    <row r="2107" spans="1:8" ht="15" x14ac:dyDescent="0.25">
      <c r="A2107" s="95"/>
      <c r="B2107" s="95"/>
      <c r="C2107" s="95"/>
      <c r="D2107" s="92"/>
      <c r="E2107" s="96"/>
      <c r="F2107" s="97"/>
      <c r="G2107" s="94"/>
      <c r="H2107" s="96"/>
    </row>
    <row r="2108" spans="1:8" ht="15" x14ac:dyDescent="0.25">
      <c r="A2108" s="95"/>
      <c r="B2108" s="95"/>
      <c r="C2108" s="95"/>
      <c r="D2108" s="92"/>
      <c r="E2108" s="96"/>
      <c r="F2108" s="97"/>
      <c r="G2108" s="94"/>
      <c r="H2108" s="96"/>
    </row>
    <row r="2109" spans="1:8" ht="15" x14ac:dyDescent="0.25">
      <c r="A2109" s="95"/>
      <c r="B2109" s="95"/>
      <c r="C2109" s="95"/>
      <c r="D2109" s="92"/>
      <c r="E2109" s="96"/>
      <c r="F2109" s="97"/>
      <c r="G2109" s="94"/>
      <c r="H2109" s="96"/>
    </row>
    <row r="2110" spans="1:8" ht="15" x14ac:dyDescent="0.25">
      <c r="A2110" s="95"/>
      <c r="B2110" s="95"/>
      <c r="C2110" s="95"/>
      <c r="D2110" s="92"/>
      <c r="E2110" s="96"/>
      <c r="F2110" s="97"/>
      <c r="G2110" s="94"/>
      <c r="H2110" s="96"/>
    </row>
    <row r="2111" spans="1:8" ht="15" x14ac:dyDescent="0.25">
      <c r="A2111" s="95"/>
      <c r="B2111" s="95"/>
      <c r="C2111" s="95"/>
      <c r="D2111" s="92"/>
      <c r="E2111" s="96"/>
      <c r="F2111" s="97"/>
      <c r="G2111" s="94"/>
      <c r="H2111" s="96"/>
    </row>
    <row r="2112" spans="1:8" ht="15" x14ac:dyDescent="0.25">
      <c r="A2112" s="95"/>
      <c r="B2112" s="95"/>
      <c r="C2112" s="95"/>
      <c r="D2112" s="92"/>
      <c r="E2112" s="96"/>
      <c r="F2112" s="97"/>
      <c r="G2112" s="94"/>
      <c r="H2112" s="96"/>
    </row>
    <row r="2113" spans="1:8" ht="15" x14ac:dyDescent="0.25">
      <c r="A2113" s="95"/>
      <c r="B2113" s="95"/>
      <c r="C2113" s="95"/>
      <c r="D2113" s="92"/>
      <c r="E2113" s="96"/>
      <c r="F2113" s="97"/>
      <c r="G2113" s="94"/>
      <c r="H2113" s="96"/>
    </row>
    <row r="2114" spans="1:8" ht="15" x14ac:dyDescent="0.25">
      <c r="A2114" s="95"/>
      <c r="B2114" s="95"/>
      <c r="C2114" s="95"/>
      <c r="D2114" s="92"/>
      <c r="E2114" s="96"/>
      <c r="F2114" s="97"/>
      <c r="G2114" s="94"/>
      <c r="H2114" s="96"/>
    </row>
    <row r="2115" spans="1:8" ht="15" x14ac:dyDescent="0.25">
      <c r="A2115" s="95"/>
      <c r="B2115" s="95"/>
      <c r="C2115" s="95"/>
      <c r="D2115" s="92"/>
      <c r="E2115" s="96"/>
      <c r="F2115" s="97"/>
      <c r="G2115" s="94"/>
      <c r="H2115" s="96"/>
    </row>
    <row r="2116" spans="1:8" ht="15" x14ac:dyDescent="0.25">
      <c r="A2116" s="95"/>
      <c r="B2116" s="95"/>
      <c r="C2116" s="95"/>
      <c r="D2116" s="92"/>
      <c r="E2116" s="96"/>
      <c r="F2116" s="97"/>
      <c r="G2116" s="94"/>
      <c r="H2116" s="96"/>
    </row>
    <row r="2117" spans="1:8" ht="15" x14ac:dyDescent="0.25">
      <c r="A2117" s="95"/>
      <c r="B2117" s="95"/>
      <c r="C2117" s="95"/>
      <c r="D2117" s="92"/>
      <c r="E2117" s="96"/>
      <c r="F2117" s="97"/>
      <c r="G2117" s="94"/>
      <c r="H2117" s="96"/>
    </row>
    <row r="2118" spans="1:8" ht="15" x14ac:dyDescent="0.25">
      <c r="A2118" s="95"/>
      <c r="B2118" s="95"/>
      <c r="C2118" s="95"/>
      <c r="D2118" s="92"/>
      <c r="E2118" s="96"/>
      <c r="F2118" s="97"/>
      <c r="G2118" s="94"/>
      <c r="H2118" s="96"/>
    </row>
    <row r="2119" spans="1:8" ht="15" x14ac:dyDescent="0.25">
      <c r="A2119" s="95"/>
      <c r="B2119" s="95"/>
      <c r="C2119" s="95"/>
      <c r="D2119" s="92"/>
      <c r="E2119" s="96"/>
      <c r="F2119" s="97"/>
      <c r="G2119" s="94"/>
      <c r="H2119" s="96"/>
    </row>
    <row r="2120" spans="1:8" ht="15" x14ac:dyDescent="0.25">
      <c r="A2120" s="95"/>
      <c r="B2120" s="95"/>
      <c r="C2120" s="95"/>
      <c r="D2120" s="92"/>
      <c r="E2120" s="96"/>
      <c r="F2120" s="97"/>
      <c r="G2120" s="94"/>
      <c r="H2120" s="96"/>
    </row>
    <row r="2121" spans="1:8" ht="15" x14ac:dyDescent="0.25">
      <c r="A2121" s="95"/>
      <c r="B2121" s="95"/>
      <c r="C2121" s="95"/>
      <c r="D2121" s="92"/>
      <c r="E2121" s="96"/>
      <c r="F2121" s="97"/>
      <c r="G2121" s="94"/>
      <c r="H2121" s="96"/>
    </row>
    <row r="2122" spans="1:8" ht="15" x14ac:dyDescent="0.25">
      <c r="A2122" s="95"/>
      <c r="B2122" s="95"/>
      <c r="C2122" s="95"/>
      <c r="D2122" s="92"/>
      <c r="E2122" s="96"/>
      <c r="F2122" s="97"/>
      <c r="G2122" s="94"/>
      <c r="H2122" s="96"/>
    </row>
    <row r="2123" spans="1:8" ht="15" x14ac:dyDescent="0.25">
      <c r="A2123" s="95"/>
      <c r="B2123" s="95"/>
      <c r="C2123" s="95"/>
      <c r="D2123" s="92"/>
      <c r="E2123" s="96"/>
      <c r="F2123" s="97"/>
      <c r="G2123" s="94"/>
      <c r="H2123" s="96"/>
    </row>
    <row r="2124" spans="1:8" ht="15" x14ac:dyDescent="0.25">
      <c r="A2124" s="95"/>
      <c r="B2124" s="95"/>
      <c r="C2124" s="95"/>
      <c r="D2124" s="92"/>
      <c r="E2124" s="96"/>
      <c r="F2124" s="97"/>
      <c r="G2124" s="94"/>
      <c r="H2124" s="96"/>
    </row>
    <row r="2125" spans="1:8" ht="15" x14ac:dyDescent="0.25">
      <c r="A2125" s="95"/>
      <c r="B2125" s="95"/>
      <c r="C2125" s="95"/>
      <c r="D2125" s="92"/>
      <c r="E2125" s="96"/>
      <c r="F2125" s="97"/>
      <c r="G2125" s="94"/>
      <c r="H2125" s="96"/>
    </row>
    <row r="2126" spans="1:8" ht="15" x14ac:dyDescent="0.25">
      <c r="A2126" s="95"/>
      <c r="B2126" s="95"/>
      <c r="C2126" s="95"/>
      <c r="D2126" s="92"/>
      <c r="E2126" s="96"/>
      <c r="F2126" s="97"/>
      <c r="G2126" s="94"/>
      <c r="H2126" s="96"/>
    </row>
    <row r="2127" spans="1:8" ht="15" x14ac:dyDescent="0.25">
      <c r="A2127" s="95"/>
      <c r="B2127" s="95"/>
      <c r="C2127" s="95"/>
      <c r="D2127" s="92"/>
      <c r="E2127" s="96"/>
      <c r="F2127" s="97"/>
      <c r="G2127" s="94"/>
      <c r="H2127" s="96"/>
    </row>
    <row r="2128" spans="1:8" ht="15" x14ac:dyDescent="0.25">
      <c r="A2128" s="95"/>
      <c r="B2128" s="95"/>
      <c r="C2128" s="95"/>
      <c r="D2128" s="92"/>
      <c r="E2128" s="96"/>
      <c r="F2128" s="97"/>
      <c r="G2128" s="94"/>
      <c r="H2128" s="96"/>
    </row>
    <row r="2129" spans="1:8" ht="15" x14ac:dyDescent="0.25">
      <c r="A2129" s="95"/>
      <c r="B2129" s="95"/>
      <c r="C2129" s="95"/>
      <c r="D2129" s="92"/>
      <c r="E2129" s="96"/>
      <c r="F2129" s="97"/>
      <c r="G2129" s="94"/>
      <c r="H2129" s="96"/>
    </row>
    <row r="2130" spans="1:8" ht="15" x14ac:dyDescent="0.25">
      <c r="A2130" s="95"/>
      <c r="B2130" s="95"/>
      <c r="C2130" s="95"/>
      <c r="D2130" s="92"/>
      <c r="E2130" s="96"/>
      <c r="F2130" s="97"/>
      <c r="G2130" s="94"/>
      <c r="H2130" s="96"/>
    </row>
    <row r="2131" spans="1:8" ht="15" x14ac:dyDescent="0.25">
      <c r="A2131" s="95"/>
      <c r="B2131" s="95"/>
      <c r="C2131" s="95"/>
      <c r="D2131" s="92"/>
      <c r="E2131" s="96"/>
      <c r="F2131" s="97"/>
      <c r="G2131" s="94"/>
      <c r="H2131" s="96"/>
    </row>
    <row r="2132" spans="1:8" ht="15" x14ac:dyDescent="0.25">
      <c r="A2132" s="95"/>
      <c r="B2132" s="95"/>
      <c r="C2132" s="95"/>
      <c r="D2132" s="92"/>
      <c r="E2132" s="96"/>
      <c r="F2132" s="97"/>
      <c r="G2132" s="94"/>
      <c r="H2132" s="96"/>
    </row>
    <row r="2133" spans="1:8" ht="15" x14ac:dyDescent="0.25">
      <c r="A2133" s="95"/>
      <c r="B2133" s="95"/>
      <c r="C2133" s="95"/>
      <c r="D2133" s="92"/>
      <c r="E2133" s="96"/>
      <c r="F2133" s="97"/>
      <c r="G2133" s="94"/>
      <c r="H2133" s="96"/>
    </row>
    <row r="2134" spans="1:8" ht="15" x14ac:dyDescent="0.25">
      <c r="A2134" s="95"/>
      <c r="B2134" s="95"/>
      <c r="C2134" s="95"/>
      <c r="D2134" s="92"/>
      <c r="E2134" s="96"/>
      <c r="F2134" s="97"/>
      <c r="G2134" s="94"/>
      <c r="H2134" s="96"/>
    </row>
    <row r="2135" spans="1:8" ht="15" x14ac:dyDescent="0.25">
      <c r="A2135" s="95"/>
      <c r="B2135" s="95"/>
      <c r="C2135" s="95"/>
      <c r="D2135" s="92"/>
      <c r="E2135" s="96"/>
      <c r="F2135" s="97"/>
      <c r="G2135" s="94"/>
      <c r="H2135" s="96"/>
    </row>
    <row r="2136" spans="1:8" ht="15" x14ac:dyDescent="0.25">
      <c r="A2136" s="95"/>
      <c r="B2136" s="95"/>
      <c r="C2136" s="95"/>
      <c r="D2136" s="92"/>
      <c r="E2136" s="96"/>
      <c r="F2136" s="97"/>
      <c r="G2136" s="94"/>
      <c r="H2136" s="96"/>
    </row>
    <row r="2137" spans="1:8" ht="15" x14ac:dyDescent="0.25">
      <c r="A2137" s="95"/>
      <c r="B2137" s="95"/>
      <c r="C2137" s="95"/>
      <c r="D2137" s="92"/>
      <c r="E2137" s="96"/>
      <c r="F2137" s="97"/>
      <c r="G2137" s="94"/>
      <c r="H2137" s="96"/>
    </row>
    <row r="2138" spans="1:8" ht="15" x14ac:dyDescent="0.25">
      <c r="A2138" s="95"/>
      <c r="B2138" s="95"/>
      <c r="C2138" s="95"/>
      <c r="D2138" s="92"/>
      <c r="E2138" s="96"/>
      <c r="F2138" s="97"/>
      <c r="G2138" s="94"/>
      <c r="H2138" s="96"/>
    </row>
    <row r="2139" spans="1:8" ht="15" x14ac:dyDescent="0.25">
      <c r="A2139" s="95"/>
      <c r="B2139" s="95"/>
      <c r="C2139" s="95"/>
      <c r="D2139" s="92"/>
      <c r="E2139" s="96"/>
      <c r="F2139" s="97"/>
      <c r="G2139" s="94"/>
      <c r="H2139" s="96"/>
    </row>
    <row r="2140" spans="1:8" ht="15" x14ac:dyDescent="0.25">
      <c r="A2140" s="95"/>
      <c r="B2140" s="95"/>
      <c r="C2140" s="95"/>
      <c r="D2140" s="92"/>
      <c r="E2140" s="96"/>
      <c r="F2140" s="97"/>
      <c r="G2140" s="94"/>
      <c r="H2140" s="96"/>
    </row>
    <row r="2141" spans="1:8" ht="15" x14ac:dyDescent="0.25">
      <c r="A2141" s="95"/>
      <c r="B2141" s="95"/>
      <c r="C2141" s="95"/>
      <c r="D2141" s="92"/>
      <c r="E2141" s="96"/>
      <c r="F2141" s="97"/>
      <c r="G2141" s="94"/>
      <c r="H2141" s="96"/>
    </row>
    <row r="2142" spans="1:8" ht="15" x14ac:dyDescent="0.25">
      <c r="A2142" s="95"/>
      <c r="B2142" s="95"/>
      <c r="C2142" s="95"/>
      <c r="D2142" s="92"/>
      <c r="E2142" s="96"/>
      <c r="F2142" s="97"/>
      <c r="G2142" s="94"/>
      <c r="H2142" s="96"/>
    </row>
    <row r="2143" spans="1:8" ht="15" x14ac:dyDescent="0.25">
      <c r="A2143" s="95"/>
      <c r="B2143" s="95"/>
      <c r="C2143" s="95"/>
      <c r="D2143" s="92"/>
      <c r="E2143" s="96"/>
      <c r="F2143" s="97"/>
      <c r="G2143" s="94"/>
      <c r="H2143" s="96"/>
    </row>
    <row r="2144" spans="1:8" ht="15" x14ac:dyDescent="0.25">
      <c r="A2144" s="95"/>
      <c r="B2144" s="95"/>
      <c r="C2144" s="95"/>
      <c r="D2144" s="92"/>
      <c r="E2144" s="96"/>
      <c r="F2144" s="97"/>
      <c r="G2144" s="94"/>
      <c r="H2144" s="96"/>
    </row>
    <row r="2145" spans="1:8" ht="15" x14ac:dyDescent="0.25">
      <c r="A2145" s="95"/>
      <c r="B2145" s="95"/>
      <c r="C2145" s="95"/>
      <c r="D2145" s="92"/>
      <c r="E2145" s="96"/>
      <c r="F2145" s="97"/>
      <c r="G2145" s="94"/>
      <c r="H2145" s="96"/>
    </row>
    <row r="2146" spans="1:8" ht="15" x14ac:dyDescent="0.25">
      <c r="A2146" s="95"/>
      <c r="B2146" s="95"/>
      <c r="C2146" s="95"/>
      <c r="D2146" s="92"/>
      <c r="E2146" s="96"/>
      <c r="F2146" s="97"/>
      <c r="G2146" s="94"/>
      <c r="H2146" s="96"/>
    </row>
    <row r="2147" spans="1:8" ht="15" x14ac:dyDescent="0.25">
      <c r="A2147" s="95"/>
      <c r="B2147" s="95"/>
      <c r="C2147" s="95"/>
      <c r="D2147" s="92"/>
      <c r="E2147" s="96"/>
      <c r="F2147" s="97"/>
      <c r="G2147" s="94"/>
      <c r="H2147" s="96"/>
    </row>
    <row r="2148" spans="1:8" ht="15" x14ac:dyDescent="0.25">
      <c r="A2148" s="95"/>
      <c r="B2148" s="95"/>
      <c r="C2148" s="95"/>
      <c r="D2148" s="92"/>
      <c r="E2148" s="96"/>
      <c r="F2148" s="97"/>
      <c r="G2148" s="94"/>
      <c r="H2148" s="96"/>
    </row>
    <row r="2149" spans="1:8" ht="15" x14ac:dyDescent="0.25">
      <c r="A2149" s="95"/>
      <c r="B2149" s="95"/>
      <c r="C2149" s="95"/>
      <c r="D2149" s="92"/>
      <c r="E2149" s="96"/>
      <c r="F2149" s="97"/>
      <c r="G2149" s="94"/>
      <c r="H2149" s="96"/>
    </row>
    <row r="2150" spans="1:8" ht="15" x14ac:dyDescent="0.25">
      <c r="A2150" s="95"/>
      <c r="B2150" s="95"/>
      <c r="C2150" s="95"/>
      <c r="D2150" s="92"/>
      <c r="E2150" s="96"/>
      <c r="F2150" s="97"/>
      <c r="G2150" s="94"/>
      <c r="H2150" s="96"/>
    </row>
    <row r="2151" spans="1:8" ht="15" x14ac:dyDescent="0.25">
      <c r="A2151" s="95"/>
      <c r="B2151" s="95"/>
      <c r="C2151" s="95"/>
      <c r="D2151" s="92"/>
      <c r="E2151" s="96"/>
      <c r="F2151" s="97"/>
      <c r="G2151" s="94"/>
      <c r="H2151" s="96"/>
    </row>
    <row r="2152" spans="1:8" ht="15" x14ac:dyDescent="0.25">
      <c r="A2152" s="95"/>
      <c r="B2152" s="95"/>
      <c r="C2152" s="95"/>
      <c r="D2152" s="92"/>
      <c r="E2152" s="96"/>
      <c r="F2152" s="97"/>
      <c r="G2152" s="94"/>
      <c r="H2152" s="96"/>
    </row>
    <row r="2153" spans="1:8" ht="15" x14ac:dyDescent="0.25">
      <c r="A2153" s="95"/>
      <c r="B2153" s="95"/>
      <c r="C2153" s="95"/>
      <c r="D2153" s="92"/>
      <c r="E2153" s="96"/>
      <c r="F2153" s="97"/>
      <c r="G2153" s="94"/>
      <c r="H2153" s="96"/>
    </row>
    <row r="2154" spans="1:8" ht="15" x14ac:dyDescent="0.25">
      <c r="A2154" s="95"/>
      <c r="B2154" s="95"/>
      <c r="C2154" s="95"/>
      <c r="D2154" s="92"/>
      <c r="E2154" s="96"/>
      <c r="F2154" s="97"/>
      <c r="G2154" s="94"/>
      <c r="H2154" s="96"/>
    </row>
    <row r="2155" spans="1:8" ht="15" x14ac:dyDescent="0.25">
      <c r="A2155" s="95"/>
      <c r="B2155" s="95"/>
      <c r="C2155" s="95"/>
      <c r="D2155" s="92"/>
      <c r="E2155" s="96"/>
      <c r="F2155" s="97"/>
      <c r="G2155" s="94"/>
      <c r="H2155" s="96"/>
    </row>
    <row r="2156" spans="1:8" ht="15" x14ac:dyDescent="0.25">
      <c r="A2156" s="95"/>
      <c r="B2156" s="95"/>
      <c r="C2156" s="95"/>
      <c r="D2156" s="92"/>
      <c r="E2156" s="96"/>
      <c r="F2156" s="97"/>
      <c r="G2156" s="94"/>
      <c r="H2156" s="96"/>
    </row>
    <row r="2157" spans="1:8" ht="15" x14ac:dyDescent="0.25">
      <c r="A2157" s="95"/>
      <c r="B2157" s="95"/>
      <c r="C2157" s="95"/>
      <c r="D2157" s="92"/>
      <c r="E2157" s="96"/>
      <c r="F2157" s="97"/>
      <c r="G2157" s="94"/>
      <c r="H2157" s="96"/>
    </row>
    <row r="2158" spans="1:8" ht="15" x14ac:dyDescent="0.25">
      <c r="A2158" s="95"/>
      <c r="B2158" s="95"/>
      <c r="C2158" s="95"/>
      <c r="D2158" s="92"/>
      <c r="E2158" s="96"/>
      <c r="F2158" s="97"/>
      <c r="G2158" s="94"/>
      <c r="H2158" s="96"/>
    </row>
    <row r="2159" spans="1:8" ht="15" x14ac:dyDescent="0.25">
      <c r="A2159" s="95"/>
      <c r="B2159" s="95"/>
      <c r="C2159" s="95"/>
      <c r="D2159" s="92"/>
      <c r="E2159" s="96"/>
      <c r="F2159" s="97"/>
      <c r="G2159" s="94"/>
      <c r="H2159" s="96"/>
    </row>
    <row r="2160" spans="1:8" ht="15" x14ac:dyDescent="0.25">
      <c r="A2160" s="95"/>
      <c r="B2160" s="95"/>
      <c r="C2160" s="95"/>
      <c r="D2160" s="92"/>
      <c r="E2160" s="96"/>
      <c r="F2160" s="97"/>
      <c r="G2160" s="94"/>
      <c r="H2160" s="96"/>
    </row>
    <row r="2161" spans="1:8" ht="15" x14ac:dyDescent="0.25">
      <c r="A2161" s="95"/>
      <c r="B2161" s="95"/>
      <c r="C2161" s="95"/>
      <c r="D2161" s="92"/>
      <c r="E2161" s="96"/>
      <c r="F2161" s="97"/>
      <c r="G2161" s="94"/>
      <c r="H2161" s="96"/>
    </row>
    <row r="2162" spans="1:8" ht="15" x14ac:dyDescent="0.25">
      <c r="A2162" s="95"/>
      <c r="B2162" s="95"/>
      <c r="C2162" s="95"/>
      <c r="D2162" s="92"/>
      <c r="E2162" s="96"/>
      <c r="F2162" s="97"/>
      <c r="G2162" s="94"/>
      <c r="H2162" s="96"/>
    </row>
    <row r="2163" spans="1:8" ht="15" x14ac:dyDescent="0.25">
      <c r="A2163" s="95"/>
      <c r="B2163" s="95"/>
      <c r="C2163" s="95"/>
      <c r="D2163" s="92"/>
      <c r="E2163" s="96"/>
      <c r="F2163" s="97"/>
      <c r="G2163" s="94"/>
      <c r="H2163" s="96"/>
    </row>
    <row r="2164" spans="1:8" ht="15" x14ac:dyDescent="0.25">
      <c r="A2164" s="95"/>
      <c r="B2164" s="95"/>
      <c r="C2164" s="95"/>
      <c r="D2164" s="92"/>
      <c r="E2164" s="96"/>
      <c r="F2164" s="97"/>
      <c r="G2164" s="94"/>
      <c r="H2164" s="96"/>
    </row>
    <row r="2165" spans="1:8" ht="15" x14ac:dyDescent="0.25">
      <c r="A2165" s="95"/>
      <c r="B2165" s="95"/>
      <c r="C2165" s="95"/>
      <c r="D2165" s="92"/>
      <c r="E2165" s="96"/>
      <c r="F2165" s="97"/>
      <c r="G2165" s="94"/>
      <c r="H2165" s="96"/>
    </row>
    <row r="2166" spans="1:8" ht="15" x14ac:dyDescent="0.25">
      <c r="A2166" s="95"/>
      <c r="B2166" s="95"/>
      <c r="C2166" s="95"/>
      <c r="D2166" s="92"/>
      <c r="E2166" s="96"/>
      <c r="F2166" s="97"/>
      <c r="G2166" s="94"/>
      <c r="H2166" s="96"/>
    </row>
    <row r="2167" spans="1:8" ht="15" x14ac:dyDescent="0.25">
      <c r="A2167" s="95"/>
      <c r="B2167" s="95"/>
      <c r="C2167" s="95"/>
      <c r="D2167" s="92"/>
      <c r="E2167" s="96"/>
      <c r="F2167" s="97"/>
      <c r="G2167" s="94"/>
      <c r="H2167" s="96"/>
    </row>
    <row r="2168" spans="1:8" ht="15" x14ac:dyDescent="0.25">
      <c r="A2168" s="95"/>
      <c r="B2168" s="95"/>
      <c r="C2168" s="95"/>
      <c r="D2168" s="92"/>
      <c r="E2168" s="96"/>
      <c r="F2168" s="97"/>
      <c r="G2168" s="94"/>
      <c r="H2168" s="96"/>
    </row>
    <row r="2169" spans="1:8" ht="15" x14ac:dyDescent="0.25">
      <c r="A2169" s="95"/>
      <c r="B2169" s="95"/>
      <c r="C2169" s="95"/>
      <c r="D2169" s="92"/>
      <c r="E2169" s="96"/>
      <c r="F2169" s="97"/>
      <c r="G2169" s="94"/>
      <c r="H2169" s="96"/>
    </row>
    <row r="2170" spans="1:8" ht="15" x14ac:dyDescent="0.25">
      <c r="A2170" s="95"/>
      <c r="B2170" s="95"/>
      <c r="C2170" s="95"/>
      <c r="D2170" s="92"/>
      <c r="E2170" s="96"/>
      <c r="F2170" s="97"/>
      <c r="G2170" s="94"/>
      <c r="H2170" s="96"/>
    </row>
    <row r="2171" spans="1:8" ht="15" x14ac:dyDescent="0.25">
      <c r="A2171" s="95"/>
      <c r="B2171" s="95"/>
      <c r="C2171" s="95"/>
      <c r="D2171" s="92"/>
      <c r="E2171" s="96"/>
      <c r="F2171" s="97"/>
      <c r="G2171" s="94"/>
      <c r="H2171" s="96"/>
    </row>
    <row r="2172" spans="1:8" ht="15" x14ac:dyDescent="0.25">
      <c r="A2172" s="95"/>
      <c r="B2172" s="95"/>
      <c r="C2172" s="95"/>
      <c r="D2172" s="92"/>
      <c r="E2172" s="96"/>
      <c r="F2172" s="97"/>
      <c r="G2172" s="94"/>
      <c r="H2172" s="96"/>
    </row>
    <row r="2173" spans="1:8" ht="15" x14ac:dyDescent="0.25">
      <c r="A2173" s="95"/>
      <c r="B2173" s="95"/>
      <c r="C2173" s="95"/>
      <c r="D2173" s="92"/>
      <c r="E2173" s="96"/>
      <c r="F2173" s="97"/>
      <c r="G2173" s="94"/>
      <c r="H2173" s="96"/>
    </row>
    <row r="2174" spans="1:8" ht="15" x14ac:dyDescent="0.25">
      <c r="A2174" s="95"/>
      <c r="B2174" s="95"/>
      <c r="C2174" s="95"/>
      <c r="D2174" s="92"/>
      <c r="E2174" s="96"/>
      <c r="F2174" s="97"/>
      <c r="G2174" s="94"/>
      <c r="H2174" s="96"/>
    </row>
    <row r="2175" spans="1:8" ht="15" x14ac:dyDescent="0.25">
      <c r="A2175" s="95"/>
      <c r="B2175" s="95"/>
      <c r="C2175" s="95"/>
      <c r="D2175" s="92"/>
      <c r="E2175" s="96"/>
      <c r="F2175" s="97"/>
      <c r="G2175" s="94"/>
      <c r="H2175" s="96"/>
    </row>
    <row r="2176" spans="1:8" ht="15" x14ac:dyDescent="0.25">
      <c r="A2176" s="95"/>
      <c r="B2176" s="95"/>
      <c r="C2176" s="95"/>
      <c r="D2176" s="92"/>
      <c r="E2176" s="96"/>
      <c r="F2176" s="97"/>
      <c r="G2176" s="94"/>
      <c r="H2176" s="96"/>
    </row>
    <row r="2177" spans="1:8" ht="15" x14ac:dyDescent="0.25">
      <c r="A2177" s="95"/>
      <c r="B2177" s="95"/>
      <c r="C2177" s="95"/>
      <c r="D2177" s="92"/>
      <c r="E2177" s="96"/>
      <c r="F2177" s="97"/>
      <c r="G2177" s="94"/>
      <c r="H2177" s="96"/>
    </row>
    <row r="2178" spans="1:8" ht="15" x14ac:dyDescent="0.25">
      <c r="A2178" s="95"/>
      <c r="B2178" s="95"/>
      <c r="C2178" s="95"/>
      <c r="D2178" s="92"/>
      <c r="E2178" s="96"/>
      <c r="F2178" s="97"/>
      <c r="G2178" s="94"/>
      <c r="H2178" s="96"/>
    </row>
    <row r="2179" spans="1:8" ht="15" x14ac:dyDescent="0.25">
      <c r="A2179" s="95"/>
      <c r="B2179" s="95"/>
      <c r="C2179" s="95"/>
      <c r="D2179" s="92"/>
      <c r="E2179" s="96"/>
      <c r="F2179" s="97"/>
      <c r="G2179" s="94"/>
      <c r="H2179" s="96"/>
    </row>
    <row r="2180" spans="1:8" ht="15" x14ac:dyDescent="0.25">
      <c r="A2180" s="95"/>
      <c r="B2180" s="95"/>
      <c r="C2180" s="95"/>
      <c r="D2180" s="92"/>
      <c r="E2180" s="96"/>
      <c r="F2180" s="97"/>
      <c r="G2180" s="94"/>
      <c r="H2180" s="96"/>
    </row>
    <row r="2181" spans="1:8" ht="15" x14ac:dyDescent="0.25">
      <c r="A2181" s="95"/>
      <c r="B2181" s="95"/>
      <c r="C2181" s="95"/>
      <c r="D2181" s="92"/>
      <c r="E2181" s="96"/>
      <c r="F2181" s="97"/>
      <c r="G2181" s="94"/>
      <c r="H2181" s="96"/>
    </row>
    <row r="2182" spans="1:8" ht="15" x14ac:dyDescent="0.25">
      <c r="A2182" s="95"/>
      <c r="B2182" s="95"/>
      <c r="C2182" s="95"/>
      <c r="D2182" s="92"/>
      <c r="E2182" s="96"/>
      <c r="F2182" s="97"/>
      <c r="G2182" s="94"/>
      <c r="H2182" s="96"/>
    </row>
    <row r="2183" spans="1:8" ht="15" x14ac:dyDescent="0.25">
      <c r="A2183" s="95"/>
      <c r="B2183" s="95"/>
      <c r="C2183" s="95"/>
      <c r="D2183" s="92"/>
      <c r="E2183" s="96"/>
      <c r="F2183" s="97"/>
      <c r="G2183" s="94"/>
      <c r="H2183" s="96"/>
    </row>
    <row r="2184" spans="1:8" ht="15" x14ac:dyDescent="0.25">
      <c r="A2184" s="95"/>
      <c r="B2184" s="95"/>
      <c r="C2184" s="95"/>
      <c r="D2184" s="92"/>
      <c r="E2184" s="96"/>
      <c r="F2184" s="97"/>
      <c r="G2184" s="94"/>
      <c r="H2184" s="96"/>
    </row>
    <row r="2185" spans="1:8" ht="15" x14ac:dyDescent="0.25">
      <c r="A2185" s="95"/>
      <c r="B2185" s="95"/>
      <c r="C2185" s="95"/>
      <c r="D2185" s="92"/>
      <c r="E2185" s="96"/>
      <c r="F2185" s="97"/>
      <c r="G2185" s="94"/>
      <c r="H2185" s="96"/>
    </row>
    <row r="2186" spans="1:8" ht="15" x14ac:dyDescent="0.25">
      <c r="A2186" s="95"/>
      <c r="B2186" s="95"/>
      <c r="C2186" s="95"/>
      <c r="D2186" s="92"/>
      <c r="E2186" s="96"/>
      <c r="F2186" s="97"/>
      <c r="G2186" s="94"/>
      <c r="H2186" s="96"/>
    </row>
    <row r="2187" spans="1:8" ht="15" x14ac:dyDescent="0.25">
      <c r="A2187" s="95"/>
      <c r="B2187" s="95"/>
      <c r="C2187" s="95"/>
      <c r="D2187" s="92"/>
      <c r="E2187" s="96"/>
      <c r="F2187" s="97"/>
      <c r="G2187" s="94"/>
      <c r="H2187" s="96"/>
    </row>
    <row r="2188" spans="1:8" ht="15" x14ac:dyDescent="0.25">
      <c r="A2188" s="95"/>
      <c r="B2188" s="95"/>
      <c r="C2188" s="95"/>
      <c r="D2188" s="92"/>
      <c r="E2188" s="96"/>
      <c r="F2188" s="97"/>
      <c r="G2188" s="94"/>
      <c r="H2188" s="96"/>
    </row>
    <row r="2189" spans="1:8" ht="15" x14ac:dyDescent="0.25">
      <c r="A2189" s="95"/>
      <c r="B2189" s="95"/>
      <c r="C2189" s="95"/>
      <c r="D2189" s="92"/>
      <c r="E2189" s="96"/>
      <c r="F2189" s="97"/>
      <c r="G2189" s="94"/>
      <c r="H2189" s="96"/>
    </row>
    <row r="2190" spans="1:8" ht="15" x14ac:dyDescent="0.25">
      <c r="A2190" s="95"/>
      <c r="B2190" s="95"/>
      <c r="C2190" s="95"/>
      <c r="D2190" s="92"/>
      <c r="E2190" s="96"/>
      <c r="F2190" s="97"/>
      <c r="G2190" s="94"/>
      <c r="H2190" s="96"/>
    </row>
    <row r="2191" spans="1:8" ht="15" x14ac:dyDescent="0.25">
      <c r="A2191" s="95"/>
      <c r="B2191" s="95"/>
      <c r="C2191" s="95"/>
      <c r="D2191" s="92"/>
      <c r="E2191" s="96"/>
      <c r="F2191" s="97"/>
      <c r="G2191" s="94"/>
      <c r="H2191" s="96"/>
    </row>
    <row r="2192" spans="1:8" ht="15" x14ac:dyDescent="0.25">
      <c r="A2192" s="95"/>
      <c r="B2192" s="95"/>
      <c r="C2192" s="95"/>
      <c r="D2192" s="92"/>
      <c r="E2192" s="96"/>
      <c r="F2192" s="97"/>
      <c r="G2192" s="94"/>
      <c r="H2192" s="96"/>
    </row>
    <row r="2193" spans="1:8" ht="15" x14ac:dyDescent="0.25">
      <c r="A2193" s="95"/>
      <c r="B2193" s="95"/>
      <c r="C2193" s="95"/>
      <c r="D2193" s="92"/>
      <c r="E2193" s="96"/>
      <c r="F2193" s="97"/>
      <c r="G2193" s="94"/>
      <c r="H2193" s="96"/>
    </row>
    <row r="2194" spans="1:8" ht="15" x14ac:dyDescent="0.25">
      <c r="A2194" s="95"/>
      <c r="B2194" s="95"/>
      <c r="C2194" s="95"/>
      <c r="D2194" s="92"/>
      <c r="E2194" s="96"/>
      <c r="F2194" s="97"/>
      <c r="G2194" s="94"/>
      <c r="H2194" s="96"/>
    </row>
    <row r="2195" spans="1:8" ht="15" x14ac:dyDescent="0.25">
      <c r="A2195" s="95"/>
      <c r="B2195" s="95"/>
      <c r="C2195" s="95"/>
      <c r="D2195" s="92"/>
      <c r="E2195" s="96"/>
      <c r="F2195" s="97"/>
      <c r="G2195" s="94"/>
      <c r="H2195" s="96"/>
    </row>
    <row r="2196" spans="1:8" ht="15" x14ac:dyDescent="0.25">
      <c r="A2196" s="95"/>
      <c r="B2196" s="95"/>
      <c r="C2196" s="95"/>
      <c r="D2196" s="92"/>
      <c r="E2196" s="96"/>
      <c r="F2196" s="97"/>
      <c r="G2196" s="94"/>
      <c r="H2196" s="96"/>
    </row>
    <row r="2197" spans="1:8" ht="15" x14ac:dyDescent="0.25">
      <c r="A2197" s="95"/>
      <c r="B2197" s="95"/>
      <c r="C2197" s="95"/>
      <c r="D2197" s="92"/>
      <c r="E2197" s="96"/>
      <c r="F2197" s="97"/>
      <c r="G2197" s="94"/>
      <c r="H2197" s="96"/>
    </row>
    <row r="2198" spans="1:8" ht="15" x14ac:dyDescent="0.25">
      <c r="A2198" s="95"/>
      <c r="B2198" s="95"/>
      <c r="C2198" s="95"/>
      <c r="D2198" s="92"/>
      <c r="E2198" s="96"/>
      <c r="F2198" s="97"/>
      <c r="G2198" s="94"/>
      <c r="H2198" s="96"/>
    </row>
    <row r="2199" spans="1:8" ht="15" x14ac:dyDescent="0.25">
      <c r="A2199" s="95"/>
      <c r="B2199" s="95"/>
      <c r="C2199" s="95"/>
      <c r="D2199" s="92"/>
      <c r="E2199" s="96"/>
      <c r="F2199" s="97"/>
      <c r="G2199" s="94"/>
      <c r="H2199" s="96"/>
    </row>
    <row r="2200" spans="1:8" ht="15" x14ac:dyDescent="0.25">
      <c r="A2200" s="95"/>
      <c r="B2200" s="95"/>
      <c r="C2200" s="95"/>
      <c r="D2200" s="92"/>
      <c r="E2200" s="96"/>
      <c r="F2200" s="97"/>
      <c r="G2200" s="94"/>
      <c r="H2200" s="96"/>
    </row>
    <row r="2201" spans="1:8" ht="15" x14ac:dyDescent="0.25">
      <c r="A2201" s="95"/>
      <c r="B2201" s="95"/>
      <c r="C2201" s="95"/>
      <c r="D2201" s="92"/>
      <c r="E2201" s="96"/>
      <c r="F2201" s="97"/>
      <c r="G2201" s="94"/>
      <c r="H2201" s="96"/>
    </row>
    <row r="2202" spans="1:8" ht="15" x14ac:dyDescent="0.25">
      <c r="A2202" s="95"/>
      <c r="B2202" s="95"/>
      <c r="C2202" s="95"/>
      <c r="D2202" s="92"/>
      <c r="E2202" s="96"/>
      <c r="F2202" s="97"/>
      <c r="G2202" s="94"/>
      <c r="H2202" s="96"/>
    </row>
    <row r="2203" spans="1:8" ht="15" x14ac:dyDescent="0.25">
      <c r="A2203" s="95"/>
      <c r="B2203" s="95"/>
      <c r="C2203" s="95"/>
      <c r="D2203" s="92"/>
      <c r="E2203" s="96"/>
      <c r="F2203" s="97"/>
      <c r="G2203" s="94"/>
      <c r="H2203" s="96"/>
    </row>
    <row r="2204" spans="1:8" ht="15" x14ac:dyDescent="0.25">
      <c r="A2204" s="95"/>
      <c r="B2204" s="95"/>
      <c r="C2204" s="95"/>
      <c r="D2204" s="92"/>
      <c r="E2204" s="96"/>
      <c r="F2204" s="97"/>
      <c r="G2204" s="94"/>
      <c r="H2204" s="96"/>
    </row>
    <row r="2205" spans="1:8" ht="15" x14ac:dyDescent="0.25">
      <c r="A2205" s="95"/>
      <c r="B2205" s="95"/>
      <c r="C2205" s="95"/>
      <c r="D2205" s="92"/>
      <c r="E2205" s="96"/>
      <c r="F2205" s="97"/>
      <c r="G2205" s="94"/>
      <c r="H2205" s="96"/>
    </row>
    <row r="2206" spans="1:8" ht="15" x14ac:dyDescent="0.25">
      <c r="A2206" s="95"/>
      <c r="B2206" s="95"/>
      <c r="C2206" s="95"/>
      <c r="D2206" s="92"/>
      <c r="E2206" s="96"/>
      <c r="F2206" s="97"/>
      <c r="G2206" s="94"/>
      <c r="H2206" s="96"/>
    </row>
    <row r="2207" spans="1:8" ht="15" x14ac:dyDescent="0.25">
      <c r="A2207" s="95"/>
      <c r="B2207" s="95"/>
      <c r="C2207" s="95"/>
      <c r="D2207" s="92"/>
      <c r="E2207" s="96"/>
      <c r="F2207" s="97"/>
      <c r="G2207" s="94"/>
      <c r="H2207" s="96"/>
    </row>
    <row r="2208" spans="1:8" ht="15" x14ac:dyDescent="0.25">
      <c r="A2208" s="95"/>
      <c r="B2208" s="95"/>
      <c r="C2208" s="95"/>
      <c r="D2208" s="92"/>
      <c r="E2208" s="96"/>
      <c r="F2208" s="97"/>
      <c r="G2208" s="94"/>
      <c r="H2208" s="96"/>
    </row>
    <row r="2209" spans="1:8" ht="15" x14ac:dyDescent="0.25">
      <c r="A2209" s="95"/>
      <c r="B2209" s="95"/>
      <c r="C2209" s="95"/>
      <c r="D2209" s="92"/>
      <c r="E2209" s="96"/>
      <c r="F2209" s="97"/>
      <c r="G2209" s="94"/>
      <c r="H2209" s="96"/>
    </row>
    <row r="2210" spans="1:8" ht="15" x14ac:dyDescent="0.25">
      <c r="A2210" s="95"/>
      <c r="B2210" s="95"/>
      <c r="C2210" s="95"/>
      <c r="D2210" s="92"/>
      <c r="E2210" s="96"/>
      <c r="F2210" s="97"/>
      <c r="G2210" s="94"/>
      <c r="H2210" s="96"/>
    </row>
    <row r="2211" spans="1:8" ht="15" x14ac:dyDescent="0.25">
      <c r="A2211" s="95"/>
      <c r="B2211" s="95"/>
      <c r="C2211" s="95"/>
      <c r="D2211" s="92"/>
      <c r="E2211" s="96"/>
      <c r="F2211" s="97"/>
      <c r="G2211" s="94"/>
      <c r="H2211" s="96"/>
    </row>
    <row r="2212" spans="1:8" ht="15" x14ac:dyDescent="0.25">
      <c r="A2212" s="95"/>
      <c r="B2212" s="95"/>
      <c r="C2212" s="95"/>
      <c r="D2212" s="92"/>
      <c r="E2212" s="96"/>
      <c r="F2212" s="97"/>
      <c r="G2212" s="94"/>
      <c r="H2212" s="96"/>
    </row>
    <row r="2213" spans="1:8" ht="15" x14ac:dyDescent="0.25">
      <c r="A2213" s="95"/>
      <c r="B2213" s="95"/>
      <c r="C2213" s="95"/>
      <c r="D2213" s="92"/>
      <c r="E2213" s="96"/>
      <c r="F2213" s="97"/>
      <c r="G2213" s="94"/>
      <c r="H2213" s="96"/>
    </row>
    <row r="2214" spans="1:8" ht="15" x14ac:dyDescent="0.25">
      <c r="A2214" s="95"/>
      <c r="B2214" s="95"/>
      <c r="C2214" s="95"/>
      <c r="D2214" s="92"/>
      <c r="E2214" s="96"/>
      <c r="F2214" s="97"/>
      <c r="G2214" s="94"/>
      <c r="H2214" s="96"/>
    </row>
    <row r="2215" spans="1:8" ht="15" x14ac:dyDescent="0.25">
      <c r="A2215" s="95"/>
      <c r="B2215" s="95"/>
      <c r="C2215" s="95"/>
      <c r="D2215" s="92"/>
      <c r="E2215" s="96"/>
      <c r="F2215" s="97"/>
      <c r="G2215" s="94"/>
      <c r="H2215" s="96"/>
    </row>
    <row r="2216" spans="1:8" ht="15" x14ac:dyDescent="0.25">
      <c r="A2216" s="95"/>
      <c r="B2216" s="95"/>
      <c r="C2216" s="95"/>
      <c r="D2216" s="92"/>
      <c r="E2216" s="96"/>
      <c r="F2216" s="97"/>
      <c r="G2216" s="94"/>
      <c r="H2216" s="96"/>
    </row>
    <row r="2217" spans="1:8" ht="15" x14ac:dyDescent="0.25">
      <c r="A2217" s="95"/>
      <c r="B2217" s="95"/>
      <c r="C2217" s="95"/>
      <c r="D2217" s="92"/>
      <c r="E2217" s="96"/>
      <c r="F2217" s="97"/>
      <c r="G2217" s="94"/>
      <c r="H2217" s="96"/>
    </row>
    <row r="2218" spans="1:8" ht="15" x14ac:dyDescent="0.25">
      <c r="A2218" s="95"/>
      <c r="B2218" s="95"/>
      <c r="C2218" s="95"/>
      <c r="D2218" s="92"/>
      <c r="E2218" s="96"/>
      <c r="F2218" s="97"/>
      <c r="G2218" s="94"/>
      <c r="H2218" s="96"/>
    </row>
    <row r="2219" spans="1:8" ht="15" x14ac:dyDescent="0.25">
      <c r="A2219" s="95"/>
      <c r="B2219" s="95"/>
      <c r="C2219" s="95"/>
      <c r="D2219" s="92"/>
      <c r="E2219" s="96"/>
      <c r="F2219" s="97"/>
      <c r="G2219" s="94"/>
      <c r="H2219" s="96"/>
    </row>
    <row r="2220" spans="1:8" ht="15" x14ac:dyDescent="0.25">
      <c r="A2220" s="95"/>
      <c r="B2220" s="95"/>
      <c r="C2220" s="95"/>
      <c r="D2220" s="92"/>
      <c r="E2220" s="96"/>
      <c r="F2220" s="97"/>
      <c r="G2220" s="94"/>
      <c r="H2220" s="96"/>
    </row>
    <row r="2221" spans="1:8" ht="15" x14ac:dyDescent="0.25">
      <c r="A2221" s="95"/>
      <c r="B2221" s="95"/>
      <c r="C2221" s="95"/>
      <c r="D2221" s="92"/>
      <c r="E2221" s="96"/>
      <c r="F2221" s="97"/>
      <c r="G2221" s="94"/>
      <c r="H2221" s="96"/>
    </row>
    <row r="2222" spans="1:8" ht="15" x14ac:dyDescent="0.25">
      <c r="A2222" s="95"/>
      <c r="B2222" s="95"/>
      <c r="C2222" s="95"/>
      <c r="D2222" s="92"/>
      <c r="E2222" s="96"/>
      <c r="F2222" s="97"/>
      <c r="G2222" s="94"/>
      <c r="H2222" s="96"/>
    </row>
    <row r="2223" spans="1:8" ht="15" x14ac:dyDescent="0.25">
      <c r="A2223" s="95"/>
      <c r="B2223" s="95"/>
      <c r="C2223" s="95"/>
      <c r="D2223" s="92"/>
      <c r="E2223" s="96"/>
      <c r="F2223" s="97"/>
      <c r="G2223" s="94"/>
      <c r="H2223" s="96"/>
    </row>
    <row r="2224" spans="1:8" ht="15" x14ac:dyDescent="0.25">
      <c r="A2224" s="95"/>
      <c r="B2224" s="95"/>
      <c r="C2224" s="95"/>
      <c r="D2224" s="92"/>
      <c r="E2224" s="96"/>
      <c r="F2224" s="97"/>
      <c r="G2224" s="94"/>
      <c r="H2224" s="96"/>
    </row>
    <row r="2225" spans="1:8" ht="15" x14ac:dyDescent="0.25">
      <c r="A2225" s="95"/>
      <c r="B2225" s="95"/>
      <c r="C2225" s="95"/>
      <c r="D2225" s="92"/>
      <c r="E2225" s="96"/>
      <c r="F2225" s="97"/>
      <c r="G2225" s="94"/>
      <c r="H2225" s="96"/>
    </row>
    <row r="2226" spans="1:8" ht="15" x14ac:dyDescent="0.25">
      <c r="A2226" s="95"/>
      <c r="B2226" s="95"/>
      <c r="C2226" s="95"/>
      <c r="D2226" s="92"/>
      <c r="E2226" s="96"/>
      <c r="F2226" s="97"/>
      <c r="G2226" s="94"/>
      <c r="H2226" s="96"/>
    </row>
    <row r="2227" spans="1:8" ht="15" x14ac:dyDescent="0.25">
      <c r="A2227" s="95"/>
      <c r="B2227" s="95"/>
      <c r="C2227" s="95"/>
      <c r="D2227" s="92"/>
      <c r="E2227" s="96"/>
      <c r="F2227" s="97"/>
      <c r="G2227" s="94"/>
      <c r="H2227" s="96"/>
    </row>
    <row r="2228" spans="1:8" ht="15" x14ac:dyDescent="0.25">
      <c r="A2228" s="95"/>
      <c r="B2228" s="95"/>
      <c r="C2228" s="95"/>
      <c r="D2228" s="92"/>
      <c r="E2228" s="96"/>
      <c r="F2228" s="97"/>
      <c r="G2228" s="94"/>
      <c r="H2228" s="96"/>
    </row>
    <row r="2229" spans="1:8" ht="15" x14ac:dyDescent="0.25">
      <c r="A2229" s="95"/>
      <c r="B2229" s="95"/>
      <c r="C2229" s="95"/>
      <c r="D2229" s="92"/>
      <c r="E2229" s="96"/>
      <c r="F2229" s="97"/>
      <c r="G2229" s="94"/>
      <c r="H2229" s="96"/>
    </row>
    <row r="2230" spans="1:8" ht="15" x14ac:dyDescent="0.25">
      <c r="A2230" s="95"/>
      <c r="B2230" s="95"/>
      <c r="C2230" s="95"/>
      <c r="D2230" s="92"/>
      <c r="E2230" s="96"/>
      <c r="F2230" s="97"/>
      <c r="G2230" s="94"/>
      <c r="H2230" s="96"/>
    </row>
    <row r="2231" spans="1:8" ht="15" x14ac:dyDescent="0.25">
      <c r="A2231" s="95"/>
      <c r="B2231" s="95"/>
      <c r="C2231" s="95"/>
      <c r="D2231" s="92"/>
      <c r="E2231" s="96"/>
      <c r="F2231" s="97"/>
      <c r="G2231" s="94"/>
      <c r="H2231" s="96"/>
    </row>
    <row r="2232" spans="1:8" ht="15" x14ac:dyDescent="0.25">
      <c r="A2232" s="95"/>
      <c r="B2232" s="95"/>
      <c r="C2232" s="95"/>
      <c r="D2232" s="92"/>
      <c r="E2232" s="96"/>
      <c r="F2232" s="97"/>
      <c r="G2232" s="94"/>
      <c r="H2232" s="96"/>
    </row>
    <row r="2233" spans="1:8" ht="15" x14ac:dyDescent="0.25">
      <c r="A2233" s="95"/>
      <c r="B2233" s="95"/>
      <c r="C2233" s="95"/>
      <c r="D2233" s="92"/>
      <c r="E2233" s="96"/>
      <c r="F2233" s="97"/>
      <c r="G2233" s="94"/>
      <c r="H2233" s="96"/>
    </row>
    <row r="2234" spans="1:8" ht="15" x14ac:dyDescent="0.25">
      <c r="A2234" s="95"/>
      <c r="B2234" s="95"/>
      <c r="C2234" s="95"/>
      <c r="D2234" s="92"/>
      <c r="E2234" s="96"/>
      <c r="F2234" s="97"/>
      <c r="G2234" s="94"/>
      <c r="H2234" s="96"/>
    </row>
    <row r="2235" spans="1:8" ht="15" x14ac:dyDescent="0.25">
      <c r="A2235" s="95"/>
      <c r="B2235" s="95"/>
      <c r="C2235" s="95"/>
      <c r="D2235" s="92"/>
      <c r="E2235" s="96"/>
      <c r="F2235" s="97"/>
      <c r="G2235" s="94"/>
      <c r="H2235" s="96"/>
    </row>
    <row r="2236" spans="1:8" ht="15" x14ac:dyDescent="0.25">
      <c r="A2236" s="95"/>
      <c r="B2236" s="95"/>
      <c r="C2236" s="95"/>
      <c r="D2236" s="92"/>
      <c r="E2236" s="96"/>
      <c r="F2236" s="97"/>
      <c r="G2236" s="94"/>
      <c r="H2236" s="96"/>
    </row>
    <row r="2237" spans="1:8" ht="15" x14ac:dyDescent="0.25">
      <c r="A2237" s="95"/>
      <c r="B2237" s="95"/>
      <c r="C2237" s="95"/>
      <c r="D2237" s="92"/>
      <c r="E2237" s="96"/>
      <c r="F2237" s="97"/>
      <c r="G2237" s="94"/>
      <c r="H2237" s="96"/>
    </row>
    <row r="2238" spans="1:8" ht="15" x14ac:dyDescent="0.25">
      <c r="A2238" s="95"/>
      <c r="B2238" s="95"/>
      <c r="C2238" s="95"/>
      <c r="D2238" s="92"/>
      <c r="E2238" s="96"/>
      <c r="F2238" s="97"/>
      <c r="G2238" s="94"/>
      <c r="H2238" s="96"/>
    </row>
    <row r="2239" spans="1:8" ht="15" x14ac:dyDescent="0.25">
      <c r="A2239" s="95"/>
      <c r="B2239" s="95"/>
      <c r="C2239" s="95"/>
      <c r="D2239" s="92"/>
      <c r="E2239" s="96"/>
      <c r="F2239" s="97"/>
      <c r="G2239" s="94"/>
      <c r="H2239" s="96"/>
    </row>
    <row r="2240" spans="1:8" ht="15" x14ac:dyDescent="0.25">
      <c r="A2240" s="95"/>
      <c r="B2240" s="95"/>
      <c r="C2240" s="95"/>
      <c r="D2240" s="92"/>
      <c r="E2240" s="96"/>
      <c r="F2240" s="97"/>
      <c r="G2240" s="94"/>
      <c r="H2240" s="96"/>
    </row>
    <row r="2241" spans="1:8" ht="15" x14ac:dyDescent="0.25">
      <c r="A2241" s="95"/>
      <c r="B2241" s="95"/>
      <c r="C2241" s="95"/>
      <c r="D2241" s="92"/>
      <c r="E2241" s="96"/>
      <c r="F2241" s="97"/>
      <c r="G2241" s="94"/>
      <c r="H2241" s="96"/>
    </row>
    <row r="2242" spans="1:8" ht="15" x14ac:dyDescent="0.25">
      <c r="A2242" s="95"/>
      <c r="B2242" s="95"/>
      <c r="C2242" s="95"/>
      <c r="D2242" s="92"/>
      <c r="E2242" s="96"/>
      <c r="F2242" s="97"/>
      <c r="G2242" s="94"/>
      <c r="H2242" s="96"/>
    </row>
    <row r="2243" spans="1:8" ht="15" x14ac:dyDescent="0.25">
      <c r="A2243" s="95"/>
      <c r="B2243" s="95"/>
      <c r="C2243" s="95"/>
      <c r="D2243" s="92"/>
      <c r="E2243" s="96"/>
      <c r="F2243" s="97"/>
      <c r="G2243" s="94"/>
      <c r="H2243" s="96"/>
    </row>
    <row r="2244" spans="1:8" ht="15" x14ac:dyDescent="0.25">
      <c r="A2244" s="95"/>
      <c r="B2244" s="95"/>
      <c r="C2244" s="95"/>
      <c r="D2244" s="92"/>
      <c r="E2244" s="96"/>
      <c r="F2244" s="97"/>
      <c r="G2244" s="94"/>
      <c r="H2244" s="96"/>
    </row>
    <row r="2245" spans="1:8" ht="15" x14ac:dyDescent="0.25">
      <c r="A2245" s="95"/>
      <c r="B2245" s="95"/>
      <c r="C2245" s="95"/>
      <c r="D2245" s="92"/>
      <c r="E2245" s="96"/>
      <c r="F2245" s="97"/>
      <c r="G2245" s="94"/>
      <c r="H2245" s="96"/>
    </row>
    <row r="2246" spans="1:8" ht="15" x14ac:dyDescent="0.25">
      <c r="A2246" s="95"/>
      <c r="B2246" s="95"/>
      <c r="C2246" s="95"/>
      <c r="D2246" s="92"/>
      <c r="E2246" s="96"/>
      <c r="F2246" s="97"/>
      <c r="G2246" s="94"/>
      <c r="H2246" s="96"/>
    </row>
    <row r="2247" spans="1:8" ht="15" x14ac:dyDescent="0.25">
      <c r="A2247" s="95"/>
      <c r="B2247" s="95"/>
      <c r="C2247" s="95"/>
      <c r="D2247" s="92"/>
      <c r="E2247" s="96"/>
      <c r="F2247" s="97"/>
      <c r="G2247" s="94"/>
      <c r="H2247" s="96"/>
    </row>
    <row r="2248" spans="1:8" ht="15" x14ac:dyDescent="0.25">
      <c r="A2248" s="95"/>
      <c r="B2248" s="95"/>
      <c r="C2248" s="95"/>
      <c r="D2248" s="92"/>
      <c r="E2248" s="96"/>
      <c r="F2248" s="97"/>
      <c r="G2248" s="94"/>
      <c r="H2248" s="96"/>
    </row>
    <row r="2249" spans="1:8" ht="15" x14ac:dyDescent="0.25">
      <c r="A2249" s="95"/>
      <c r="B2249" s="95"/>
      <c r="C2249" s="95"/>
      <c r="D2249" s="92"/>
      <c r="E2249" s="96"/>
      <c r="F2249" s="97"/>
      <c r="G2249" s="94"/>
      <c r="H2249" s="96"/>
    </row>
    <row r="2250" spans="1:8" ht="15" x14ac:dyDescent="0.25">
      <c r="A2250" s="95"/>
      <c r="B2250" s="95"/>
      <c r="C2250" s="95"/>
      <c r="D2250" s="92"/>
      <c r="E2250" s="96"/>
      <c r="F2250" s="97"/>
      <c r="G2250" s="94"/>
      <c r="H2250" s="96"/>
    </row>
    <row r="2251" spans="1:8" ht="15" x14ac:dyDescent="0.25">
      <c r="A2251" s="95"/>
      <c r="B2251" s="95"/>
      <c r="C2251" s="95"/>
      <c r="D2251" s="92"/>
      <c r="E2251" s="96"/>
      <c r="F2251" s="97"/>
      <c r="G2251" s="94"/>
      <c r="H2251" s="96"/>
    </row>
    <row r="2252" spans="1:8" ht="15" x14ac:dyDescent="0.25">
      <c r="A2252" s="95"/>
      <c r="B2252" s="95"/>
      <c r="C2252" s="95"/>
      <c r="D2252" s="92"/>
      <c r="E2252" s="96"/>
      <c r="F2252" s="97"/>
      <c r="G2252" s="94"/>
      <c r="H2252" s="96"/>
    </row>
    <row r="2253" spans="1:8" ht="15" x14ac:dyDescent="0.25">
      <c r="A2253" s="95"/>
      <c r="B2253" s="95"/>
      <c r="C2253" s="95"/>
      <c r="D2253" s="92"/>
      <c r="E2253" s="96"/>
      <c r="F2253" s="97"/>
      <c r="G2253" s="94"/>
      <c r="H2253" s="96"/>
    </row>
    <row r="2254" spans="1:8" ht="15" x14ac:dyDescent="0.25">
      <c r="A2254" s="95"/>
      <c r="B2254" s="95"/>
      <c r="C2254" s="95"/>
      <c r="D2254" s="92"/>
      <c r="E2254" s="96"/>
      <c r="F2254" s="97"/>
      <c r="G2254" s="94"/>
      <c r="H2254" s="96"/>
    </row>
    <row r="2255" spans="1:8" ht="15" x14ac:dyDescent="0.25">
      <c r="A2255" s="95"/>
      <c r="B2255" s="95"/>
      <c r="C2255" s="95"/>
      <c r="D2255" s="92"/>
      <c r="E2255" s="96"/>
      <c r="F2255" s="97"/>
      <c r="G2255" s="94"/>
      <c r="H2255" s="96"/>
    </row>
    <row r="2256" spans="1:8" ht="15" x14ac:dyDescent="0.25">
      <c r="A2256" s="95"/>
      <c r="B2256" s="95"/>
      <c r="C2256" s="95"/>
      <c r="D2256" s="92"/>
      <c r="E2256" s="96"/>
      <c r="F2256" s="97"/>
      <c r="G2256" s="94"/>
      <c r="H2256" s="96"/>
    </row>
    <row r="2257" spans="1:8" ht="15" x14ac:dyDescent="0.25">
      <c r="A2257" s="95"/>
      <c r="B2257" s="95"/>
      <c r="C2257" s="95"/>
      <c r="D2257" s="92"/>
      <c r="E2257" s="96"/>
      <c r="F2257" s="97"/>
      <c r="G2257" s="94"/>
      <c r="H2257" s="96"/>
    </row>
    <row r="2258" spans="1:8" ht="15" x14ac:dyDescent="0.25">
      <c r="A2258" s="95"/>
      <c r="B2258" s="95"/>
      <c r="C2258" s="95"/>
      <c r="D2258" s="92"/>
      <c r="E2258" s="96"/>
      <c r="F2258" s="97"/>
      <c r="G2258" s="94"/>
      <c r="H2258" s="96"/>
    </row>
    <row r="2259" spans="1:8" ht="15" x14ac:dyDescent="0.25">
      <c r="A2259" s="95"/>
      <c r="B2259" s="95"/>
      <c r="C2259" s="95"/>
      <c r="D2259" s="92"/>
      <c r="E2259" s="96"/>
      <c r="F2259" s="97"/>
      <c r="G2259" s="94"/>
      <c r="H2259" s="96"/>
    </row>
    <row r="2260" spans="1:8" ht="15" x14ac:dyDescent="0.25">
      <c r="A2260" s="95"/>
      <c r="B2260" s="95"/>
      <c r="C2260" s="95"/>
      <c r="D2260" s="92"/>
      <c r="E2260" s="96"/>
      <c r="F2260" s="97"/>
      <c r="G2260" s="94"/>
      <c r="H2260" s="96"/>
    </row>
    <row r="2261" spans="1:8" ht="15" x14ac:dyDescent="0.25">
      <c r="A2261" s="95"/>
      <c r="B2261" s="95"/>
      <c r="C2261" s="95"/>
      <c r="D2261" s="92"/>
      <c r="E2261" s="96"/>
      <c r="F2261" s="97"/>
      <c r="G2261" s="94"/>
      <c r="H2261" s="96"/>
    </row>
    <row r="2262" spans="1:8" ht="15" x14ac:dyDescent="0.25">
      <c r="A2262" s="95"/>
      <c r="B2262" s="95"/>
      <c r="C2262" s="95"/>
      <c r="D2262" s="92"/>
      <c r="E2262" s="96"/>
      <c r="F2262" s="97"/>
      <c r="G2262" s="94"/>
      <c r="H2262" s="96"/>
    </row>
    <row r="2263" spans="1:8" ht="15" x14ac:dyDescent="0.25">
      <c r="A2263" s="95"/>
      <c r="B2263" s="95"/>
      <c r="C2263" s="95"/>
      <c r="D2263" s="92"/>
      <c r="E2263" s="96"/>
      <c r="F2263" s="97"/>
      <c r="G2263" s="94"/>
      <c r="H2263" s="96"/>
    </row>
    <row r="2264" spans="1:8" ht="15" x14ac:dyDescent="0.25">
      <c r="A2264" s="95"/>
      <c r="B2264" s="95"/>
      <c r="C2264" s="95"/>
      <c r="D2264" s="92"/>
      <c r="E2264" s="96"/>
      <c r="F2264" s="97"/>
      <c r="G2264" s="94"/>
      <c r="H2264" s="96"/>
    </row>
    <row r="2265" spans="1:8" ht="15" x14ac:dyDescent="0.25">
      <c r="A2265" s="95"/>
      <c r="B2265" s="95"/>
      <c r="C2265" s="95"/>
      <c r="D2265" s="92"/>
      <c r="E2265" s="96"/>
      <c r="F2265" s="97"/>
      <c r="G2265" s="94"/>
      <c r="H2265" s="96"/>
    </row>
    <row r="2266" spans="1:8" ht="15" x14ac:dyDescent="0.25">
      <c r="A2266" s="95"/>
      <c r="B2266" s="95"/>
      <c r="C2266" s="95"/>
      <c r="D2266" s="92"/>
      <c r="E2266" s="96"/>
      <c r="F2266" s="97"/>
      <c r="G2266" s="94"/>
      <c r="H2266" s="96"/>
    </row>
    <row r="2267" spans="1:8" ht="15" x14ac:dyDescent="0.25">
      <c r="A2267" s="95"/>
      <c r="B2267" s="95"/>
      <c r="C2267" s="95"/>
      <c r="D2267" s="92"/>
      <c r="E2267" s="96"/>
      <c r="F2267" s="97"/>
      <c r="G2267" s="94"/>
      <c r="H2267" s="96"/>
    </row>
    <row r="2268" spans="1:8" ht="15" x14ac:dyDescent="0.25">
      <c r="A2268" s="95"/>
      <c r="B2268" s="95"/>
      <c r="C2268" s="95"/>
      <c r="D2268" s="92"/>
      <c r="E2268" s="96"/>
      <c r="F2268" s="97"/>
      <c r="G2268" s="94"/>
      <c r="H2268" s="96"/>
    </row>
    <row r="2269" spans="1:8" ht="15" x14ac:dyDescent="0.25">
      <c r="A2269" s="95"/>
      <c r="B2269" s="95"/>
      <c r="C2269" s="95"/>
      <c r="D2269" s="92"/>
      <c r="E2269" s="96"/>
      <c r="F2269" s="97"/>
      <c r="G2269" s="94"/>
      <c r="H2269" s="96"/>
    </row>
    <row r="2270" spans="1:8" ht="15" x14ac:dyDescent="0.25">
      <c r="A2270" s="95"/>
      <c r="B2270" s="95"/>
      <c r="C2270" s="95"/>
      <c r="D2270" s="92"/>
      <c r="E2270" s="96"/>
      <c r="F2270" s="97"/>
      <c r="G2270" s="94"/>
      <c r="H2270" s="96"/>
    </row>
    <row r="2271" spans="1:8" ht="15" x14ac:dyDescent="0.25">
      <c r="A2271" s="95"/>
      <c r="B2271" s="95"/>
      <c r="C2271" s="95"/>
      <c r="D2271" s="92"/>
      <c r="E2271" s="96"/>
      <c r="F2271" s="97"/>
      <c r="G2271" s="94"/>
      <c r="H2271" s="96"/>
    </row>
    <row r="2272" spans="1:8" ht="15" x14ac:dyDescent="0.25">
      <c r="A2272" s="95"/>
      <c r="B2272" s="95"/>
      <c r="C2272" s="95"/>
      <c r="D2272" s="92"/>
      <c r="E2272" s="96"/>
      <c r="F2272" s="97"/>
      <c r="G2272" s="94"/>
      <c r="H2272" s="96"/>
    </row>
    <row r="2273" spans="1:8" ht="15" x14ac:dyDescent="0.25">
      <c r="A2273" s="95"/>
      <c r="B2273" s="95"/>
      <c r="C2273" s="95"/>
      <c r="D2273" s="92"/>
      <c r="E2273" s="96"/>
      <c r="F2273" s="97"/>
      <c r="G2273" s="94"/>
      <c r="H2273" s="96"/>
    </row>
    <row r="2274" spans="1:8" ht="15" x14ac:dyDescent="0.25">
      <c r="A2274" s="95"/>
      <c r="B2274" s="95"/>
      <c r="C2274" s="95"/>
      <c r="D2274" s="92"/>
      <c r="E2274" s="96"/>
      <c r="F2274" s="97"/>
      <c r="G2274" s="94"/>
      <c r="H2274" s="96"/>
    </row>
    <row r="2275" spans="1:8" ht="15" x14ac:dyDescent="0.25">
      <c r="A2275" s="95"/>
      <c r="B2275" s="95"/>
      <c r="C2275" s="95"/>
      <c r="D2275" s="92"/>
      <c r="E2275" s="96"/>
      <c r="F2275" s="97"/>
      <c r="G2275" s="94"/>
      <c r="H2275" s="96"/>
    </row>
    <row r="2276" spans="1:8" ht="15" x14ac:dyDescent="0.25">
      <c r="A2276" s="95"/>
      <c r="B2276" s="95"/>
      <c r="C2276" s="95"/>
      <c r="D2276" s="92"/>
      <c r="E2276" s="96"/>
      <c r="F2276" s="97"/>
      <c r="G2276" s="94"/>
      <c r="H2276" s="96"/>
    </row>
    <row r="2277" spans="1:8" ht="15" x14ac:dyDescent="0.25">
      <c r="A2277" s="95"/>
      <c r="B2277" s="95"/>
      <c r="C2277" s="95"/>
      <c r="D2277" s="92"/>
      <c r="E2277" s="96"/>
      <c r="F2277" s="97"/>
      <c r="G2277" s="94"/>
      <c r="H2277" s="96"/>
    </row>
    <row r="2278" spans="1:8" ht="15" x14ac:dyDescent="0.25">
      <c r="A2278" s="95"/>
      <c r="B2278" s="95"/>
      <c r="C2278" s="95"/>
      <c r="D2278" s="92"/>
      <c r="E2278" s="96"/>
      <c r="F2278" s="97"/>
      <c r="G2278" s="94"/>
      <c r="H2278" s="96"/>
    </row>
    <row r="2279" spans="1:8" ht="15" x14ac:dyDescent="0.25">
      <c r="A2279" s="95"/>
      <c r="B2279" s="95"/>
      <c r="C2279" s="95"/>
      <c r="D2279" s="92"/>
      <c r="E2279" s="96"/>
      <c r="F2279" s="97"/>
      <c r="G2279" s="94"/>
      <c r="H2279" s="96"/>
    </row>
    <row r="2280" spans="1:8" ht="15" x14ac:dyDescent="0.25">
      <c r="A2280" s="95"/>
      <c r="B2280" s="95"/>
      <c r="C2280" s="95"/>
      <c r="D2280" s="92"/>
      <c r="E2280" s="96"/>
      <c r="F2280" s="97"/>
      <c r="G2280" s="94"/>
      <c r="H2280" s="96"/>
    </row>
    <row r="2281" spans="1:8" ht="15" x14ac:dyDescent="0.25">
      <c r="A2281" s="95"/>
      <c r="B2281" s="95"/>
      <c r="C2281" s="95"/>
      <c r="D2281" s="92"/>
      <c r="E2281" s="96"/>
      <c r="F2281" s="97"/>
      <c r="G2281" s="94"/>
      <c r="H2281" s="96"/>
    </row>
    <row r="2282" spans="1:8" ht="15" x14ac:dyDescent="0.25">
      <c r="A2282" s="95"/>
      <c r="B2282" s="95"/>
      <c r="C2282" s="95"/>
      <c r="D2282" s="92"/>
      <c r="E2282" s="96"/>
      <c r="F2282" s="97"/>
      <c r="G2282" s="94"/>
      <c r="H2282" s="96"/>
    </row>
    <row r="2283" spans="1:8" ht="15" x14ac:dyDescent="0.25">
      <c r="A2283" s="95"/>
      <c r="B2283" s="95"/>
      <c r="C2283" s="95"/>
      <c r="D2283" s="92"/>
      <c r="E2283" s="96"/>
      <c r="F2283" s="97"/>
      <c r="G2283" s="94"/>
      <c r="H2283" s="96"/>
    </row>
    <row r="2284" spans="1:8" ht="15" x14ac:dyDescent="0.25">
      <c r="A2284" s="95"/>
      <c r="B2284" s="95"/>
      <c r="C2284" s="95"/>
      <c r="D2284" s="92"/>
      <c r="E2284" s="96"/>
      <c r="F2284" s="97"/>
      <c r="G2284" s="94"/>
      <c r="H2284" s="96"/>
    </row>
    <row r="2285" spans="1:8" ht="15" x14ac:dyDescent="0.25">
      <c r="A2285" s="95"/>
      <c r="B2285" s="95"/>
      <c r="C2285" s="95"/>
      <c r="D2285" s="92"/>
      <c r="E2285" s="96"/>
      <c r="F2285" s="97"/>
      <c r="G2285" s="94"/>
      <c r="H2285" s="96"/>
    </row>
    <row r="2286" spans="1:8" ht="15" x14ac:dyDescent="0.25">
      <c r="A2286" s="95"/>
      <c r="B2286" s="95"/>
      <c r="C2286" s="95"/>
      <c r="D2286" s="92"/>
      <c r="E2286" s="96"/>
      <c r="F2286" s="97"/>
      <c r="G2286" s="94"/>
      <c r="H2286" s="96"/>
    </row>
    <row r="2287" spans="1:8" ht="15" x14ac:dyDescent="0.25">
      <c r="A2287" s="95"/>
      <c r="B2287" s="95"/>
      <c r="C2287" s="95"/>
      <c r="D2287" s="92"/>
      <c r="E2287" s="96"/>
      <c r="F2287" s="97"/>
      <c r="G2287" s="94"/>
      <c r="H2287" s="96"/>
    </row>
    <row r="2288" spans="1:8" ht="15" x14ac:dyDescent="0.25">
      <c r="A2288" s="95"/>
      <c r="B2288" s="95"/>
      <c r="C2288" s="95"/>
      <c r="D2288" s="92"/>
      <c r="E2288" s="96"/>
      <c r="F2288" s="97"/>
      <c r="G2288" s="94"/>
      <c r="H2288" s="96"/>
    </row>
    <row r="2289" spans="1:8" ht="15" x14ac:dyDescent="0.25">
      <c r="A2289" s="95"/>
      <c r="B2289" s="95"/>
      <c r="C2289" s="95"/>
      <c r="D2289" s="92"/>
      <c r="E2289" s="96"/>
      <c r="F2289" s="97"/>
      <c r="G2289" s="94"/>
      <c r="H2289" s="96"/>
    </row>
    <row r="2290" spans="1:8" ht="15" x14ac:dyDescent="0.25">
      <c r="A2290" s="95"/>
      <c r="B2290" s="95"/>
      <c r="C2290" s="95"/>
      <c r="D2290" s="92"/>
      <c r="E2290" s="96"/>
      <c r="F2290" s="97"/>
      <c r="G2290" s="94"/>
      <c r="H2290" s="96"/>
    </row>
    <row r="2291" spans="1:8" ht="15" x14ac:dyDescent="0.25">
      <c r="A2291" s="95"/>
      <c r="B2291" s="95"/>
      <c r="C2291" s="95"/>
      <c r="D2291" s="92"/>
      <c r="E2291" s="96"/>
      <c r="F2291" s="97"/>
      <c r="G2291" s="94"/>
      <c r="H2291" s="96"/>
    </row>
    <row r="2292" spans="1:8" ht="15" x14ac:dyDescent="0.25">
      <c r="A2292" s="95"/>
      <c r="B2292" s="95"/>
      <c r="C2292" s="95"/>
      <c r="D2292" s="92"/>
      <c r="E2292" s="96"/>
      <c r="F2292" s="97"/>
      <c r="G2292" s="94"/>
      <c r="H2292" s="96"/>
    </row>
    <row r="2293" spans="1:8" ht="15" x14ac:dyDescent="0.25">
      <c r="A2293" s="95"/>
      <c r="B2293" s="95"/>
      <c r="C2293" s="95"/>
      <c r="D2293" s="92"/>
      <c r="E2293" s="96"/>
      <c r="F2293" s="97"/>
      <c r="G2293" s="94"/>
      <c r="H2293" s="96"/>
    </row>
    <row r="2294" spans="1:8" ht="15" x14ac:dyDescent="0.25">
      <c r="A2294" s="95"/>
      <c r="B2294" s="95"/>
      <c r="C2294" s="95"/>
      <c r="D2294" s="92"/>
      <c r="E2294" s="96"/>
      <c r="F2294" s="97"/>
      <c r="G2294" s="94"/>
      <c r="H2294" s="96"/>
    </row>
    <row r="2295" spans="1:8" ht="15" x14ac:dyDescent="0.25">
      <c r="A2295" s="95"/>
      <c r="B2295" s="95"/>
      <c r="C2295" s="95"/>
      <c r="D2295" s="92"/>
      <c r="E2295" s="96"/>
      <c r="F2295" s="97"/>
      <c r="G2295" s="94"/>
      <c r="H2295" s="96"/>
    </row>
    <row r="2296" spans="1:8" ht="15" x14ac:dyDescent="0.25">
      <c r="A2296" s="95"/>
      <c r="B2296" s="95"/>
      <c r="C2296" s="95"/>
      <c r="D2296" s="92"/>
      <c r="E2296" s="96"/>
      <c r="F2296" s="97"/>
      <c r="G2296" s="94"/>
      <c r="H2296" s="96"/>
    </row>
    <row r="2297" spans="1:8" ht="15" x14ac:dyDescent="0.25">
      <c r="A2297" s="95"/>
      <c r="B2297" s="95"/>
      <c r="C2297" s="95"/>
      <c r="D2297" s="92"/>
      <c r="E2297" s="96"/>
      <c r="F2297" s="97"/>
      <c r="G2297" s="94"/>
      <c r="H2297" s="96"/>
    </row>
    <row r="2298" spans="1:8" ht="15" x14ac:dyDescent="0.25">
      <c r="A2298" s="95"/>
      <c r="B2298" s="95"/>
      <c r="C2298" s="95"/>
      <c r="D2298" s="92"/>
      <c r="E2298" s="96"/>
      <c r="F2298" s="97"/>
      <c r="G2298" s="94"/>
      <c r="H2298" s="96"/>
    </row>
    <row r="2299" spans="1:8" ht="15" x14ac:dyDescent="0.25">
      <c r="A2299" s="95"/>
      <c r="B2299" s="95"/>
      <c r="C2299" s="95"/>
      <c r="D2299" s="92"/>
      <c r="E2299" s="96"/>
      <c r="F2299" s="97"/>
      <c r="G2299" s="94"/>
      <c r="H2299" s="96"/>
    </row>
    <row r="2300" spans="1:8" ht="15" x14ac:dyDescent="0.25">
      <c r="A2300" s="95"/>
      <c r="B2300" s="95"/>
      <c r="C2300" s="95"/>
      <c r="D2300" s="92"/>
      <c r="E2300" s="96"/>
      <c r="F2300" s="97"/>
      <c r="G2300" s="94"/>
      <c r="H2300" s="96"/>
    </row>
    <row r="2301" spans="1:8" ht="15" x14ac:dyDescent="0.25">
      <c r="A2301" s="95"/>
      <c r="B2301" s="95"/>
      <c r="C2301" s="95"/>
      <c r="D2301" s="92"/>
      <c r="E2301" s="96"/>
      <c r="F2301" s="97"/>
      <c r="G2301" s="94"/>
      <c r="H2301" s="96"/>
    </row>
    <row r="2302" spans="1:8" ht="15" x14ac:dyDescent="0.25">
      <c r="A2302" s="95"/>
      <c r="B2302" s="95"/>
      <c r="C2302" s="95"/>
      <c r="D2302" s="92"/>
      <c r="E2302" s="96"/>
      <c r="F2302" s="97"/>
      <c r="G2302" s="94"/>
      <c r="H2302" s="96"/>
    </row>
    <row r="2303" spans="1:8" ht="15" x14ac:dyDescent="0.25">
      <c r="A2303" s="95"/>
      <c r="B2303" s="95"/>
      <c r="C2303" s="95"/>
      <c r="D2303" s="92"/>
      <c r="E2303" s="96"/>
      <c r="F2303" s="97"/>
      <c r="G2303" s="94"/>
      <c r="H2303" s="96"/>
    </row>
    <row r="2304" spans="1:8" ht="15" x14ac:dyDescent="0.25">
      <c r="A2304" s="95"/>
      <c r="B2304" s="95"/>
      <c r="C2304" s="95"/>
      <c r="D2304" s="92"/>
      <c r="E2304" s="96"/>
      <c r="F2304" s="97"/>
      <c r="G2304" s="94"/>
      <c r="H2304" s="96"/>
    </row>
    <row r="2305" spans="1:8" ht="15" x14ac:dyDescent="0.25">
      <c r="A2305" s="95"/>
      <c r="B2305" s="95"/>
      <c r="C2305" s="95"/>
      <c r="D2305" s="92"/>
      <c r="E2305" s="96"/>
      <c r="F2305" s="97"/>
      <c r="G2305" s="94"/>
      <c r="H2305" s="96"/>
    </row>
    <row r="2306" spans="1:8" ht="15" x14ac:dyDescent="0.25">
      <c r="A2306" s="95"/>
      <c r="B2306" s="95"/>
      <c r="C2306" s="95"/>
      <c r="D2306" s="92"/>
      <c r="E2306" s="96"/>
      <c r="F2306" s="97"/>
      <c r="G2306" s="94"/>
      <c r="H2306" s="96"/>
    </row>
    <row r="2307" spans="1:8" ht="15" x14ac:dyDescent="0.25">
      <c r="A2307" s="95"/>
      <c r="B2307" s="95"/>
      <c r="C2307" s="95"/>
      <c r="D2307" s="92"/>
      <c r="E2307" s="96"/>
      <c r="F2307" s="97"/>
      <c r="G2307" s="94"/>
      <c r="H2307" s="96"/>
    </row>
    <row r="2308" spans="1:8" ht="15" x14ac:dyDescent="0.25">
      <c r="A2308" s="95"/>
      <c r="B2308" s="95"/>
      <c r="C2308" s="95"/>
      <c r="D2308" s="92"/>
      <c r="E2308" s="96"/>
      <c r="F2308" s="97"/>
      <c r="G2308" s="94"/>
      <c r="H2308" s="96"/>
    </row>
    <row r="2309" spans="1:8" ht="15" x14ac:dyDescent="0.25">
      <c r="A2309" s="95"/>
      <c r="B2309" s="95"/>
      <c r="C2309" s="95"/>
      <c r="D2309" s="92"/>
      <c r="E2309" s="96"/>
      <c r="F2309" s="97"/>
      <c r="G2309" s="94"/>
      <c r="H2309" s="96"/>
    </row>
    <row r="2310" spans="1:8" ht="15" x14ac:dyDescent="0.25">
      <c r="A2310" s="95"/>
      <c r="B2310" s="95"/>
      <c r="C2310" s="95"/>
      <c r="D2310" s="92"/>
      <c r="E2310" s="96"/>
      <c r="F2310" s="97"/>
      <c r="G2310" s="94"/>
      <c r="H2310" s="96"/>
    </row>
    <row r="2311" spans="1:8" ht="15" x14ac:dyDescent="0.25">
      <c r="A2311" s="95"/>
      <c r="B2311" s="95"/>
      <c r="C2311" s="95"/>
      <c r="D2311" s="92"/>
      <c r="E2311" s="96"/>
      <c r="F2311" s="97"/>
      <c r="G2311" s="94"/>
      <c r="H2311" s="96"/>
    </row>
    <row r="2312" spans="1:8" ht="15" x14ac:dyDescent="0.25">
      <c r="A2312" s="95"/>
      <c r="B2312" s="95"/>
      <c r="C2312" s="95"/>
      <c r="D2312" s="92"/>
      <c r="E2312" s="96"/>
      <c r="F2312" s="97"/>
      <c r="G2312" s="94"/>
      <c r="H2312" s="96"/>
    </row>
    <row r="2313" spans="1:8" ht="15" x14ac:dyDescent="0.25">
      <c r="A2313" s="95"/>
      <c r="B2313" s="95"/>
      <c r="C2313" s="95"/>
      <c r="D2313" s="92"/>
      <c r="E2313" s="96"/>
      <c r="F2313" s="97"/>
      <c r="G2313" s="94"/>
      <c r="H2313" s="96"/>
    </row>
    <row r="2314" spans="1:8" ht="15" x14ac:dyDescent="0.25">
      <c r="A2314" s="95"/>
      <c r="B2314" s="95"/>
      <c r="C2314" s="95"/>
      <c r="D2314" s="92"/>
      <c r="E2314" s="96"/>
      <c r="F2314" s="97"/>
      <c r="G2314" s="94"/>
      <c r="H2314" s="96"/>
    </row>
    <row r="2315" spans="1:8" ht="15" x14ac:dyDescent="0.25">
      <c r="A2315" s="95"/>
      <c r="B2315" s="95"/>
      <c r="C2315" s="95"/>
      <c r="D2315" s="92"/>
      <c r="E2315" s="96"/>
      <c r="F2315" s="97"/>
      <c r="G2315" s="94"/>
      <c r="H2315" s="96"/>
    </row>
    <row r="2316" spans="1:8" ht="15" x14ac:dyDescent="0.25">
      <c r="A2316" s="95"/>
      <c r="B2316" s="95"/>
      <c r="C2316" s="95"/>
      <c r="D2316" s="92"/>
      <c r="E2316" s="96"/>
      <c r="F2316" s="97"/>
      <c r="G2316" s="94"/>
      <c r="H2316" s="96"/>
    </row>
    <row r="2317" spans="1:8" ht="15" x14ac:dyDescent="0.25">
      <c r="A2317" s="95"/>
      <c r="B2317" s="95"/>
      <c r="C2317" s="95"/>
      <c r="D2317" s="92"/>
      <c r="E2317" s="96"/>
      <c r="F2317" s="97"/>
      <c r="G2317" s="94"/>
      <c r="H2317" s="96"/>
    </row>
    <row r="2318" spans="1:8" ht="15" x14ac:dyDescent="0.25">
      <c r="A2318" s="95"/>
      <c r="B2318" s="95"/>
      <c r="C2318" s="95"/>
      <c r="D2318" s="92"/>
      <c r="E2318" s="96"/>
      <c r="F2318" s="97"/>
      <c r="G2318" s="94"/>
      <c r="H2318" s="96"/>
    </row>
    <row r="2319" spans="1:8" ht="15" x14ac:dyDescent="0.25">
      <c r="A2319" s="95"/>
      <c r="B2319" s="95"/>
      <c r="C2319" s="95"/>
      <c r="D2319" s="92"/>
      <c r="E2319" s="96"/>
      <c r="F2319" s="97"/>
      <c r="G2319" s="94"/>
      <c r="H2319" s="96"/>
    </row>
    <row r="2320" spans="1:8" ht="15" x14ac:dyDescent="0.25">
      <c r="A2320" s="95"/>
      <c r="B2320" s="95"/>
      <c r="C2320" s="95"/>
      <c r="D2320" s="92"/>
      <c r="E2320" s="96"/>
      <c r="F2320" s="97"/>
      <c r="G2320" s="94"/>
      <c r="H2320" s="96"/>
    </row>
    <row r="2321" spans="1:8" ht="15" x14ac:dyDescent="0.25">
      <c r="A2321" s="95"/>
      <c r="B2321" s="95"/>
      <c r="C2321" s="95"/>
      <c r="D2321" s="92"/>
      <c r="E2321" s="96"/>
      <c r="F2321" s="97"/>
      <c r="G2321" s="94"/>
      <c r="H2321" s="96"/>
    </row>
    <row r="2322" spans="1:8" ht="15" x14ac:dyDescent="0.25">
      <c r="A2322" s="95"/>
      <c r="B2322" s="95"/>
      <c r="C2322" s="95"/>
      <c r="D2322" s="92"/>
      <c r="E2322" s="96"/>
      <c r="F2322" s="97"/>
      <c r="G2322" s="94"/>
      <c r="H2322" s="96"/>
    </row>
    <row r="2323" spans="1:8" ht="15" x14ac:dyDescent="0.25">
      <c r="A2323" s="95"/>
      <c r="B2323" s="95"/>
      <c r="C2323" s="95"/>
      <c r="D2323" s="92"/>
      <c r="E2323" s="96"/>
      <c r="F2323" s="97"/>
      <c r="G2323" s="94"/>
      <c r="H2323" s="96"/>
    </row>
    <row r="2324" spans="1:8" ht="15" x14ac:dyDescent="0.25">
      <c r="A2324" s="95"/>
      <c r="B2324" s="95"/>
      <c r="C2324" s="95"/>
      <c r="D2324" s="92"/>
      <c r="E2324" s="96"/>
      <c r="F2324" s="97"/>
      <c r="G2324" s="94"/>
      <c r="H2324" s="96"/>
    </row>
    <row r="2325" spans="1:8" ht="15" x14ac:dyDescent="0.25">
      <c r="A2325" s="95"/>
      <c r="B2325" s="95"/>
      <c r="C2325" s="95"/>
      <c r="D2325" s="92"/>
      <c r="E2325" s="96"/>
      <c r="F2325" s="97"/>
      <c r="G2325" s="94"/>
      <c r="H2325" s="96"/>
    </row>
    <row r="2326" spans="1:8" ht="15" x14ac:dyDescent="0.25">
      <c r="A2326" s="95"/>
      <c r="B2326" s="95"/>
      <c r="C2326" s="95"/>
      <c r="D2326" s="92"/>
      <c r="E2326" s="96"/>
      <c r="F2326" s="97"/>
      <c r="G2326" s="94"/>
      <c r="H2326" s="96"/>
    </row>
    <row r="2327" spans="1:8" ht="15" x14ac:dyDescent="0.25">
      <c r="A2327" s="95"/>
      <c r="B2327" s="95"/>
      <c r="C2327" s="95"/>
      <c r="D2327" s="92"/>
      <c r="E2327" s="96"/>
      <c r="F2327" s="97"/>
      <c r="G2327" s="94"/>
      <c r="H2327" s="96"/>
    </row>
    <row r="2328" spans="1:8" ht="15" x14ac:dyDescent="0.25">
      <c r="A2328" s="95"/>
      <c r="B2328" s="95"/>
      <c r="C2328" s="95"/>
      <c r="D2328" s="92"/>
      <c r="E2328" s="96"/>
      <c r="F2328" s="97"/>
      <c r="G2328" s="94"/>
      <c r="H2328" s="96"/>
    </row>
    <row r="2329" spans="1:8" ht="15" x14ac:dyDescent="0.25">
      <c r="A2329" s="95"/>
      <c r="B2329" s="95"/>
      <c r="C2329" s="95"/>
      <c r="D2329" s="92"/>
      <c r="E2329" s="96"/>
      <c r="F2329" s="97"/>
      <c r="G2329" s="94"/>
      <c r="H2329" s="96"/>
    </row>
    <row r="2330" spans="1:8" ht="15" x14ac:dyDescent="0.25">
      <c r="A2330" s="95"/>
      <c r="B2330" s="95"/>
      <c r="C2330" s="95"/>
      <c r="D2330" s="92"/>
      <c r="E2330" s="96"/>
      <c r="F2330" s="97"/>
      <c r="G2330" s="94"/>
      <c r="H2330" s="96"/>
    </row>
    <row r="2331" spans="1:8" ht="15" x14ac:dyDescent="0.25">
      <c r="A2331" s="95"/>
      <c r="B2331" s="95"/>
      <c r="C2331" s="95"/>
      <c r="D2331" s="92"/>
      <c r="E2331" s="96"/>
      <c r="F2331" s="97"/>
      <c r="G2331" s="94"/>
      <c r="H2331" s="96"/>
    </row>
    <row r="2332" spans="1:8" ht="15" x14ac:dyDescent="0.25">
      <c r="A2332" s="95"/>
      <c r="B2332" s="95"/>
      <c r="C2332" s="95"/>
      <c r="D2332" s="92"/>
      <c r="E2332" s="96"/>
      <c r="F2332" s="97"/>
      <c r="G2332" s="94"/>
      <c r="H2332" s="96"/>
    </row>
    <row r="2333" spans="1:8" ht="15" x14ac:dyDescent="0.25">
      <c r="A2333" s="95"/>
      <c r="B2333" s="95"/>
      <c r="C2333" s="95"/>
      <c r="D2333" s="92"/>
      <c r="E2333" s="96"/>
      <c r="F2333" s="97"/>
      <c r="G2333" s="94"/>
      <c r="H2333" s="96"/>
    </row>
    <row r="2334" spans="1:8" ht="15" x14ac:dyDescent="0.25">
      <c r="A2334" s="95"/>
      <c r="B2334" s="95"/>
      <c r="C2334" s="95"/>
      <c r="D2334" s="92"/>
      <c r="E2334" s="96"/>
      <c r="F2334" s="97"/>
      <c r="G2334" s="94"/>
      <c r="H2334" s="96"/>
    </row>
    <row r="2335" spans="1:8" ht="15" x14ac:dyDescent="0.25">
      <c r="A2335" s="95"/>
      <c r="B2335" s="95"/>
      <c r="C2335" s="95"/>
      <c r="D2335" s="92"/>
      <c r="E2335" s="96"/>
      <c r="F2335" s="97"/>
      <c r="G2335" s="94"/>
      <c r="H2335" s="96"/>
    </row>
    <row r="2336" spans="1:8" ht="15" x14ac:dyDescent="0.25">
      <c r="A2336" s="95"/>
      <c r="B2336" s="95"/>
      <c r="C2336" s="95"/>
      <c r="D2336" s="92"/>
      <c r="E2336" s="96"/>
      <c r="F2336" s="97"/>
      <c r="G2336" s="94"/>
      <c r="H2336" s="96"/>
    </row>
    <row r="2337" spans="1:8" ht="15" x14ac:dyDescent="0.25">
      <c r="A2337" s="95"/>
      <c r="B2337" s="95"/>
      <c r="C2337" s="95"/>
      <c r="D2337" s="92"/>
      <c r="E2337" s="96"/>
      <c r="F2337" s="97"/>
      <c r="G2337" s="94"/>
      <c r="H2337" s="96"/>
    </row>
    <row r="2338" spans="1:8" ht="15" x14ac:dyDescent="0.25">
      <c r="A2338" s="95"/>
      <c r="B2338" s="95"/>
      <c r="C2338" s="95"/>
      <c r="D2338" s="92"/>
      <c r="E2338" s="96"/>
      <c r="F2338" s="97"/>
      <c r="G2338" s="94"/>
      <c r="H2338" s="96"/>
    </row>
    <row r="2339" spans="1:8" ht="15" x14ac:dyDescent="0.25">
      <c r="A2339" s="95"/>
      <c r="B2339" s="95"/>
      <c r="C2339" s="95"/>
      <c r="D2339" s="92"/>
      <c r="E2339" s="96"/>
      <c r="F2339" s="97"/>
      <c r="G2339" s="94"/>
      <c r="H2339" s="96"/>
    </row>
    <row r="2340" spans="1:8" ht="15" x14ac:dyDescent="0.25">
      <c r="A2340" s="95"/>
      <c r="B2340" s="95"/>
      <c r="C2340" s="95"/>
      <c r="D2340" s="92"/>
      <c r="E2340" s="96"/>
      <c r="F2340" s="97"/>
      <c r="G2340" s="94"/>
      <c r="H2340" s="96"/>
    </row>
    <row r="2341" spans="1:8" ht="15" x14ac:dyDescent="0.25">
      <c r="A2341" s="95"/>
      <c r="B2341" s="95"/>
      <c r="C2341" s="95"/>
      <c r="D2341" s="92"/>
      <c r="E2341" s="96"/>
      <c r="F2341" s="97"/>
      <c r="G2341" s="94"/>
      <c r="H2341" s="96"/>
    </row>
    <row r="2342" spans="1:8" ht="15" x14ac:dyDescent="0.25">
      <c r="A2342" s="95"/>
      <c r="B2342" s="95"/>
      <c r="C2342" s="95"/>
      <c r="D2342" s="92"/>
      <c r="E2342" s="96"/>
      <c r="F2342" s="97"/>
      <c r="G2342" s="94"/>
      <c r="H2342" s="96"/>
    </row>
    <row r="2343" spans="1:8" ht="15" x14ac:dyDescent="0.25">
      <c r="A2343" s="95"/>
      <c r="B2343" s="95"/>
      <c r="C2343" s="95"/>
      <c r="D2343" s="92"/>
      <c r="E2343" s="96"/>
      <c r="F2343" s="97"/>
      <c r="G2343" s="94"/>
      <c r="H2343" s="96"/>
    </row>
    <row r="2344" spans="1:8" ht="15" x14ac:dyDescent="0.25">
      <c r="A2344" s="95"/>
      <c r="B2344" s="95"/>
      <c r="C2344" s="95"/>
      <c r="D2344" s="92"/>
      <c r="E2344" s="96"/>
      <c r="F2344" s="97"/>
      <c r="G2344" s="94"/>
      <c r="H2344" s="96"/>
    </row>
    <row r="2345" spans="1:8" ht="15" x14ac:dyDescent="0.25">
      <c r="A2345" s="95"/>
      <c r="B2345" s="95"/>
      <c r="C2345" s="95"/>
      <c r="D2345" s="92"/>
      <c r="E2345" s="96"/>
      <c r="F2345" s="97"/>
      <c r="G2345" s="94"/>
      <c r="H2345" s="96"/>
    </row>
    <row r="2346" spans="1:8" ht="15" x14ac:dyDescent="0.25">
      <c r="A2346" s="95"/>
      <c r="B2346" s="95"/>
      <c r="C2346" s="95"/>
      <c r="D2346" s="92"/>
      <c r="E2346" s="96"/>
      <c r="F2346" s="97"/>
      <c r="G2346" s="94"/>
      <c r="H2346" s="96"/>
    </row>
    <row r="2347" spans="1:8" ht="15" x14ac:dyDescent="0.25">
      <c r="A2347" s="95"/>
      <c r="B2347" s="95"/>
      <c r="C2347" s="95"/>
      <c r="D2347" s="92"/>
      <c r="E2347" s="96"/>
      <c r="F2347" s="97"/>
      <c r="G2347" s="94"/>
      <c r="H2347" s="96"/>
    </row>
    <row r="2348" spans="1:8" ht="15" x14ac:dyDescent="0.25">
      <c r="A2348" s="95"/>
      <c r="B2348" s="95"/>
      <c r="C2348" s="95"/>
      <c r="D2348" s="92"/>
      <c r="E2348" s="96"/>
      <c r="F2348" s="97"/>
      <c r="G2348" s="94"/>
      <c r="H2348" s="96"/>
    </row>
    <row r="2349" spans="1:8" ht="15" x14ac:dyDescent="0.25">
      <c r="A2349" s="95"/>
      <c r="B2349" s="95"/>
      <c r="C2349" s="95"/>
      <c r="D2349" s="92"/>
      <c r="E2349" s="96"/>
      <c r="F2349" s="97"/>
      <c r="G2349" s="94"/>
      <c r="H2349" s="96"/>
    </row>
    <row r="2350" spans="1:8" ht="15" x14ac:dyDescent="0.25">
      <c r="A2350" s="95"/>
      <c r="B2350" s="95"/>
      <c r="C2350" s="95"/>
      <c r="D2350" s="92"/>
      <c r="E2350" s="96"/>
      <c r="F2350" s="97"/>
      <c r="G2350" s="94"/>
      <c r="H2350" s="96"/>
    </row>
    <row r="2351" spans="1:8" ht="15" x14ac:dyDescent="0.25">
      <c r="A2351" s="95"/>
      <c r="B2351" s="95"/>
      <c r="C2351" s="95"/>
      <c r="D2351" s="92"/>
      <c r="E2351" s="96"/>
      <c r="F2351" s="97"/>
      <c r="G2351" s="94"/>
      <c r="H2351" s="96"/>
    </row>
    <row r="2352" spans="1:8" ht="15" x14ac:dyDescent="0.25">
      <c r="A2352" s="95"/>
      <c r="B2352" s="95"/>
      <c r="C2352" s="95"/>
      <c r="D2352" s="92"/>
      <c r="E2352" s="96"/>
      <c r="F2352" s="97"/>
      <c r="G2352" s="94"/>
      <c r="H2352" s="96"/>
    </row>
    <row r="2353" spans="1:8" ht="15" x14ac:dyDescent="0.25">
      <c r="A2353" s="95"/>
      <c r="B2353" s="95"/>
      <c r="C2353" s="95"/>
      <c r="D2353" s="92"/>
      <c r="E2353" s="96"/>
      <c r="F2353" s="97"/>
      <c r="G2353" s="94"/>
      <c r="H2353" s="96"/>
    </row>
    <row r="2354" spans="1:8" ht="15" x14ac:dyDescent="0.25">
      <c r="A2354" s="95"/>
      <c r="B2354" s="95"/>
      <c r="C2354" s="95"/>
      <c r="D2354" s="92"/>
      <c r="E2354" s="96"/>
      <c r="F2354" s="97"/>
      <c r="G2354" s="94"/>
      <c r="H2354" s="96"/>
    </row>
    <row r="2355" spans="1:8" ht="15" x14ac:dyDescent="0.25">
      <c r="A2355" s="95"/>
      <c r="B2355" s="95"/>
      <c r="C2355" s="95"/>
      <c r="D2355" s="92"/>
      <c r="E2355" s="96"/>
      <c r="F2355" s="97"/>
      <c r="G2355" s="94"/>
      <c r="H2355" s="96"/>
    </row>
    <row r="2356" spans="1:8" ht="15" x14ac:dyDescent="0.25">
      <c r="A2356" s="95"/>
      <c r="B2356" s="95"/>
      <c r="C2356" s="95"/>
      <c r="D2356" s="92"/>
      <c r="E2356" s="96"/>
      <c r="F2356" s="97"/>
      <c r="G2356" s="94"/>
      <c r="H2356" s="96"/>
    </row>
    <row r="2357" spans="1:8" ht="15" x14ac:dyDescent="0.25">
      <c r="A2357" s="95"/>
      <c r="B2357" s="95"/>
      <c r="C2357" s="95"/>
      <c r="D2357" s="92"/>
      <c r="E2357" s="96"/>
      <c r="F2357" s="97"/>
      <c r="G2357" s="94"/>
      <c r="H2357" s="96"/>
    </row>
    <row r="2358" spans="1:8" ht="15" x14ac:dyDescent="0.25">
      <c r="A2358" s="95"/>
      <c r="B2358" s="95"/>
      <c r="C2358" s="95"/>
      <c r="D2358" s="92"/>
      <c r="E2358" s="96"/>
      <c r="F2358" s="97"/>
      <c r="G2358" s="94"/>
      <c r="H2358" s="96"/>
    </row>
    <row r="2359" spans="1:8" ht="15" x14ac:dyDescent="0.25">
      <c r="A2359" s="95"/>
      <c r="B2359" s="95"/>
      <c r="C2359" s="95"/>
      <c r="D2359" s="92"/>
      <c r="E2359" s="96"/>
      <c r="F2359" s="97"/>
      <c r="G2359" s="94"/>
      <c r="H2359" s="96"/>
    </row>
    <row r="2360" spans="1:8" ht="15" x14ac:dyDescent="0.25">
      <c r="A2360" s="95"/>
      <c r="B2360" s="95"/>
      <c r="C2360" s="95"/>
      <c r="D2360" s="92"/>
      <c r="E2360" s="96"/>
      <c r="F2360" s="97"/>
      <c r="G2360" s="94"/>
      <c r="H2360" s="96"/>
    </row>
    <row r="2361" spans="1:8" ht="15" x14ac:dyDescent="0.25">
      <c r="A2361" s="95"/>
      <c r="B2361" s="95"/>
      <c r="C2361" s="95"/>
      <c r="D2361" s="92"/>
      <c r="E2361" s="96"/>
      <c r="F2361" s="97"/>
      <c r="G2361" s="94"/>
      <c r="H2361" s="96"/>
    </row>
    <row r="2362" spans="1:8" ht="15" x14ac:dyDescent="0.25">
      <c r="A2362" s="95"/>
      <c r="B2362" s="95"/>
      <c r="C2362" s="95"/>
      <c r="D2362" s="92"/>
      <c r="E2362" s="96"/>
      <c r="F2362" s="97"/>
      <c r="G2362" s="94"/>
      <c r="H2362" s="96"/>
    </row>
    <row r="2363" spans="1:8" ht="15" x14ac:dyDescent="0.25">
      <c r="A2363" s="95"/>
      <c r="B2363" s="95"/>
      <c r="C2363" s="95"/>
      <c r="D2363" s="92"/>
      <c r="E2363" s="96"/>
      <c r="F2363" s="97"/>
      <c r="G2363" s="94"/>
      <c r="H2363" s="96"/>
    </row>
    <row r="2364" spans="1:8" ht="15" x14ac:dyDescent="0.25">
      <c r="A2364" s="95"/>
      <c r="B2364" s="95"/>
      <c r="C2364" s="95"/>
      <c r="D2364" s="92"/>
      <c r="E2364" s="96"/>
      <c r="F2364" s="97"/>
      <c r="G2364" s="94"/>
      <c r="H2364" s="96"/>
    </row>
    <row r="2365" spans="1:8" ht="15" x14ac:dyDescent="0.25">
      <c r="A2365" s="95"/>
      <c r="B2365" s="95"/>
      <c r="C2365" s="95"/>
      <c r="D2365" s="92"/>
      <c r="E2365" s="96"/>
      <c r="F2365" s="97"/>
      <c r="G2365" s="94"/>
      <c r="H2365" s="96"/>
    </row>
    <row r="2366" spans="1:8" ht="15" x14ac:dyDescent="0.25">
      <c r="A2366" s="95"/>
      <c r="B2366" s="95"/>
      <c r="C2366" s="95"/>
      <c r="D2366" s="92"/>
      <c r="E2366" s="96"/>
      <c r="F2366" s="97"/>
      <c r="G2366" s="94"/>
      <c r="H2366" s="96"/>
    </row>
    <row r="2367" spans="1:8" ht="15" x14ac:dyDescent="0.25">
      <c r="A2367" s="95"/>
      <c r="B2367" s="95"/>
      <c r="C2367" s="95"/>
      <c r="D2367" s="92"/>
      <c r="E2367" s="96"/>
      <c r="F2367" s="97"/>
      <c r="G2367" s="94"/>
      <c r="H2367" s="96"/>
    </row>
    <row r="2368" spans="1:8" ht="15" x14ac:dyDescent="0.25">
      <c r="A2368" s="95"/>
      <c r="B2368" s="95"/>
      <c r="C2368" s="95"/>
      <c r="D2368" s="92"/>
      <c r="E2368" s="96"/>
      <c r="F2368" s="97"/>
      <c r="G2368" s="94"/>
      <c r="H2368" s="96"/>
    </row>
    <row r="2369" spans="1:8" ht="15" x14ac:dyDescent="0.25">
      <c r="A2369" s="95"/>
      <c r="B2369" s="95"/>
      <c r="C2369" s="95"/>
      <c r="D2369" s="92"/>
      <c r="E2369" s="96"/>
      <c r="F2369" s="97"/>
      <c r="G2369" s="94"/>
      <c r="H2369" s="96"/>
    </row>
    <row r="2370" spans="1:8" ht="15" x14ac:dyDescent="0.25">
      <c r="A2370" s="95"/>
      <c r="B2370" s="95"/>
      <c r="C2370" s="95"/>
      <c r="D2370" s="92"/>
      <c r="E2370" s="96"/>
      <c r="F2370" s="97"/>
      <c r="G2370" s="94"/>
      <c r="H2370" s="96"/>
    </row>
    <row r="2371" spans="1:8" ht="15" x14ac:dyDescent="0.25">
      <c r="A2371" s="95"/>
      <c r="B2371" s="95"/>
      <c r="C2371" s="95"/>
      <c r="D2371" s="92"/>
      <c r="E2371" s="96"/>
      <c r="F2371" s="97"/>
      <c r="G2371" s="94"/>
      <c r="H2371" s="96"/>
    </row>
    <row r="2372" spans="1:8" ht="15" x14ac:dyDescent="0.25">
      <c r="A2372" s="95"/>
      <c r="B2372" s="95"/>
      <c r="C2372" s="95"/>
      <c r="D2372" s="92"/>
      <c r="E2372" s="96"/>
      <c r="F2372" s="97"/>
      <c r="G2372" s="94"/>
      <c r="H2372" s="96"/>
    </row>
    <row r="2373" spans="1:8" ht="15" x14ac:dyDescent="0.25">
      <c r="A2373" s="95"/>
      <c r="B2373" s="95"/>
      <c r="C2373" s="95"/>
      <c r="D2373" s="92"/>
      <c r="E2373" s="96"/>
      <c r="F2373" s="97"/>
      <c r="G2373" s="94"/>
      <c r="H2373" s="96"/>
    </row>
    <row r="2374" spans="1:8" ht="15" x14ac:dyDescent="0.25">
      <c r="A2374" s="95"/>
      <c r="B2374" s="95"/>
      <c r="C2374" s="95"/>
      <c r="D2374" s="92"/>
      <c r="E2374" s="96"/>
      <c r="F2374" s="97"/>
      <c r="G2374" s="94"/>
      <c r="H2374" s="96"/>
    </row>
    <row r="2375" spans="1:8" ht="15" x14ac:dyDescent="0.25">
      <c r="A2375" s="95"/>
      <c r="B2375" s="95"/>
      <c r="C2375" s="95"/>
      <c r="D2375" s="92"/>
      <c r="E2375" s="96"/>
      <c r="F2375" s="97"/>
      <c r="G2375" s="94"/>
      <c r="H2375" s="96"/>
    </row>
    <row r="2376" spans="1:8" ht="15" x14ac:dyDescent="0.25">
      <c r="A2376" s="95"/>
      <c r="B2376" s="95"/>
      <c r="C2376" s="95"/>
      <c r="D2376" s="92"/>
      <c r="E2376" s="96"/>
      <c r="F2376" s="97"/>
      <c r="G2376" s="94"/>
      <c r="H2376" s="96"/>
    </row>
    <row r="2377" spans="1:8" ht="15" x14ac:dyDescent="0.25">
      <c r="A2377" s="95"/>
      <c r="B2377" s="95"/>
      <c r="C2377" s="95"/>
      <c r="D2377" s="92"/>
      <c r="E2377" s="96"/>
      <c r="F2377" s="97"/>
      <c r="G2377" s="94"/>
      <c r="H2377" s="96"/>
    </row>
    <row r="2378" spans="1:8" ht="15" x14ac:dyDescent="0.25">
      <c r="A2378" s="95"/>
      <c r="B2378" s="95"/>
      <c r="C2378" s="95"/>
      <c r="D2378" s="92"/>
      <c r="E2378" s="96"/>
      <c r="F2378" s="97"/>
      <c r="G2378" s="94"/>
      <c r="H2378" s="96"/>
    </row>
    <row r="2379" spans="1:8" ht="15" x14ac:dyDescent="0.25">
      <c r="A2379" s="95"/>
      <c r="B2379" s="95"/>
      <c r="C2379" s="95"/>
      <c r="D2379" s="92"/>
      <c r="E2379" s="96"/>
      <c r="F2379" s="97"/>
      <c r="G2379" s="94"/>
      <c r="H2379" s="96"/>
    </row>
    <row r="2380" spans="1:8" ht="15" x14ac:dyDescent="0.25">
      <c r="A2380" s="95"/>
      <c r="B2380" s="95"/>
      <c r="C2380" s="95"/>
      <c r="D2380" s="92"/>
      <c r="E2380" s="96"/>
      <c r="F2380" s="97"/>
      <c r="G2380" s="94"/>
      <c r="H2380" s="96"/>
    </row>
    <row r="2381" spans="1:8" ht="15" x14ac:dyDescent="0.25">
      <c r="A2381" s="95"/>
      <c r="B2381" s="95"/>
      <c r="C2381" s="95"/>
      <c r="D2381" s="92"/>
      <c r="E2381" s="96"/>
      <c r="F2381" s="97"/>
      <c r="G2381" s="94"/>
      <c r="H2381" s="96"/>
    </row>
    <row r="2382" spans="1:8" ht="15" x14ac:dyDescent="0.25">
      <c r="A2382" s="95"/>
      <c r="B2382" s="95"/>
      <c r="C2382" s="95"/>
      <c r="D2382" s="92"/>
      <c r="E2382" s="96"/>
      <c r="F2382" s="97"/>
      <c r="G2382" s="94"/>
      <c r="H2382" s="96"/>
    </row>
    <row r="2383" spans="1:8" ht="15" x14ac:dyDescent="0.25">
      <c r="A2383" s="95"/>
      <c r="B2383" s="95"/>
      <c r="C2383" s="95"/>
      <c r="D2383" s="92"/>
      <c r="E2383" s="96"/>
      <c r="F2383" s="97"/>
      <c r="G2383" s="94"/>
      <c r="H2383" s="96"/>
    </row>
    <row r="2384" spans="1:8" ht="15" x14ac:dyDescent="0.25">
      <c r="A2384" s="95"/>
      <c r="B2384" s="95"/>
      <c r="C2384" s="95"/>
      <c r="D2384" s="92"/>
      <c r="E2384" s="96"/>
      <c r="F2384" s="97"/>
      <c r="G2384" s="94"/>
      <c r="H2384" s="96"/>
    </row>
    <row r="2385" spans="1:8" ht="15" x14ac:dyDescent="0.25">
      <c r="A2385" s="95"/>
      <c r="B2385" s="95"/>
      <c r="C2385" s="95"/>
      <c r="D2385" s="92"/>
      <c r="E2385" s="96"/>
      <c r="F2385" s="97"/>
      <c r="G2385" s="94"/>
      <c r="H2385" s="96"/>
    </row>
    <row r="2386" spans="1:8" ht="15" x14ac:dyDescent="0.25">
      <c r="A2386" s="95"/>
      <c r="B2386" s="95"/>
      <c r="C2386" s="95"/>
      <c r="D2386" s="92"/>
      <c r="E2386" s="96"/>
      <c r="F2386" s="97"/>
      <c r="G2386" s="94"/>
      <c r="H2386" s="96"/>
    </row>
    <row r="2387" spans="1:8" ht="15" x14ac:dyDescent="0.25">
      <c r="A2387" s="95"/>
      <c r="B2387" s="95"/>
      <c r="C2387" s="95"/>
      <c r="D2387" s="92"/>
      <c r="E2387" s="96"/>
      <c r="F2387" s="97"/>
      <c r="G2387" s="94"/>
      <c r="H2387" s="96"/>
    </row>
    <row r="2388" spans="1:8" ht="15" x14ac:dyDescent="0.25">
      <c r="A2388" s="95"/>
      <c r="B2388" s="95"/>
      <c r="C2388" s="95"/>
      <c r="D2388" s="92"/>
      <c r="E2388" s="96"/>
      <c r="F2388" s="97"/>
      <c r="G2388" s="94"/>
      <c r="H2388" s="96"/>
    </row>
    <row r="2389" spans="1:8" ht="15" x14ac:dyDescent="0.25">
      <c r="A2389" s="95"/>
      <c r="B2389" s="95"/>
      <c r="C2389" s="95"/>
      <c r="D2389" s="92"/>
      <c r="E2389" s="96"/>
      <c r="F2389" s="97"/>
      <c r="G2389" s="94"/>
      <c r="H2389" s="96"/>
    </row>
    <row r="2390" spans="1:8" ht="15" x14ac:dyDescent="0.25">
      <c r="A2390" s="95"/>
      <c r="B2390" s="95"/>
      <c r="C2390" s="95"/>
      <c r="D2390" s="92"/>
      <c r="E2390" s="96"/>
      <c r="F2390" s="97"/>
      <c r="G2390" s="94"/>
      <c r="H2390" s="96"/>
    </row>
    <row r="2391" spans="1:8" ht="15" x14ac:dyDescent="0.25">
      <c r="A2391" s="95"/>
      <c r="B2391" s="95"/>
      <c r="C2391" s="95"/>
      <c r="D2391" s="92"/>
      <c r="E2391" s="96"/>
      <c r="F2391" s="97"/>
      <c r="G2391" s="94"/>
      <c r="H2391" s="96"/>
    </row>
    <row r="2392" spans="1:8" ht="15" x14ac:dyDescent="0.25">
      <c r="A2392" s="95"/>
      <c r="B2392" s="95"/>
      <c r="C2392" s="95"/>
      <c r="D2392" s="92"/>
      <c r="E2392" s="96"/>
      <c r="F2392" s="97"/>
      <c r="G2392" s="94"/>
      <c r="H2392" s="96"/>
    </row>
    <row r="2393" spans="1:8" ht="15" x14ac:dyDescent="0.25">
      <c r="A2393" s="95"/>
      <c r="B2393" s="95"/>
      <c r="C2393" s="95"/>
      <c r="D2393" s="92"/>
      <c r="E2393" s="96"/>
      <c r="F2393" s="97"/>
      <c r="G2393" s="94"/>
      <c r="H2393" s="96"/>
    </row>
    <row r="2394" spans="1:8" ht="15" x14ac:dyDescent="0.25">
      <c r="A2394" s="95"/>
      <c r="B2394" s="95"/>
      <c r="C2394" s="95"/>
      <c r="D2394" s="92"/>
      <c r="E2394" s="96"/>
      <c r="F2394" s="97"/>
      <c r="G2394" s="94"/>
      <c r="H2394" s="96"/>
    </row>
    <row r="2395" spans="1:8" ht="15" x14ac:dyDescent="0.25">
      <c r="A2395" s="95"/>
      <c r="B2395" s="95"/>
      <c r="C2395" s="95"/>
      <c r="D2395" s="92"/>
      <c r="E2395" s="96"/>
      <c r="F2395" s="97"/>
      <c r="G2395" s="94"/>
      <c r="H2395" s="96"/>
    </row>
    <row r="2396" spans="1:8" ht="15" x14ac:dyDescent="0.25">
      <c r="A2396" s="95"/>
      <c r="B2396" s="95"/>
      <c r="C2396" s="95"/>
      <c r="D2396" s="92"/>
      <c r="E2396" s="96"/>
      <c r="F2396" s="97"/>
      <c r="G2396" s="94"/>
      <c r="H2396" s="96"/>
    </row>
    <row r="2397" spans="1:8" ht="15" x14ac:dyDescent="0.25">
      <c r="A2397" s="95"/>
      <c r="B2397" s="95"/>
      <c r="C2397" s="95"/>
      <c r="D2397" s="92"/>
      <c r="E2397" s="96"/>
      <c r="F2397" s="97"/>
      <c r="G2397" s="94"/>
      <c r="H2397" s="96"/>
    </row>
    <row r="2398" spans="1:8" ht="15" x14ac:dyDescent="0.25">
      <c r="A2398" s="95"/>
      <c r="B2398" s="95"/>
      <c r="C2398" s="95"/>
      <c r="D2398" s="92"/>
      <c r="E2398" s="96"/>
      <c r="F2398" s="97"/>
      <c r="G2398" s="94"/>
      <c r="H2398" s="96"/>
    </row>
    <row r="2399" spans="1:8" ht="15" x14ac:dyDescent="0.25">
      <c r="A2399" s="95"/>
      <c r="B2399" s="95"/>
      <c r="C2399" s="95"/>
      <c r="D2399" s="92"/>
      <c r="E2399" s="96"/>
      <c r="F2399" s="97"/>
      <c r="G2399" s="94"/>
      <c r="H2399" s="96"/>
    </row>
    <row r="2400" spans="1:8" ht="15" x14ac:dyDescent="0.25">
      <c r="A2400" s="95"/>
      <c r="B2400" s="95"/>
      <c r="C2400" s="95"/>
      <c r="D2400" s="92"/>
      <c r="E2400" s="96"/>
      <c r="F2400" s="97"/>
      <c r="G2400" s="94"/>
      <c r="H2400" s="96"/>
    </row>
    <row r="2401" spans="1:8" ht="15" x14ac:dyDescent="0.25">
      <c r="A2401" s="95"/>
      <c r="B2401" s="95"/>
      <c r="C2401" s="95"/>
      <c r="D2401" s="92"/>
      <c r="E2401" s="96"/>
      <c r="F2401" s="97"/>
      <c r="G2401" s="94"/>
      <c r="H2401" s="96"/>
    </row>
    <row r="2402" spans="1:8" ht="15" x14ac:dyDescent="0.25">
      <c r="A2402" s="95"/>
      <c r="B2402" s="95"/>
      <c r="C2402" s="95"/>
      <c r="D2402" s="92"/>
      <c r="E2402" s="96"/>
      <c r="F2402" s="97"/>
      <c r="G2402" s="94"/>
      <c r="H2402" s="96"/>
    </row>
    <row r="2403" spans="1:8" ht="15" x14ac:dyDescent="0.25">
      <c r="A2403" s="95"/>
      <c r="B2403" s="95"/>
      <c r="C2403" s="95"/>
      <c r="D2403" s="92"/>
      <c r="E2403" s="96"/>
      <c r="F2403" s="97"/>
      <c r="G2403" s="94"/>
      <c r="H2403" s="96"/>
    </row>
    <row r="2404" spans="1:8" ht="15" x14ac:dyDescent="0.25">
      <c r="A2404" s="95"/>
      <c r="B2404" s="95"/>
      <c r="C2404" s="95"/>
      <c r="D2404" s="92"/>
      <c r="E2404" s="96"/>
      <c r="F2404" s="97"/>
      <c r="G2404" s="94"/>
      <c r="H2404" s="96"/>
    </row>
    <row r="2405" spans="1:8" ht="15" x14ac:dyDescent="0.25">
      <c r="A2405" s="95"/>
      <c r="B2405" s="95"/>
      <c r="C2405" s="95"/>
      <c r="D2405" s="92"/>
      <c r="E2405" s="96"/>
      <c r="F2405" s="97"/>
      <c r="G2405" s="94"/>
      <c r="H2405" s="96"/>
    </row>
    <row r="2406" spans="1:8" ht="15" x14ac:dyDescent="0.25">
      <c r="A2406" s="95"/>
      <c r="B2406" s="95"/>
      <c r="C2406" s="95"/>
      <c r="D2406" s="92"/>
      <c r="E2406" s="96"/>
      <c r="F2406" s="97"/>
      <c r="G2406" s="94"/>
      <c r="H2406" s="96"/>
    </row>
    <row r="2407" spans="1:8" ht="15" x14ac:dyDescent="0.25">
      <c r="A2407" s="95"/>
      <c r="B2407" s="95"/>
      <c r="C2407" s="95"/>
      <c r="D2407" s="92"/>
      <c r="E2407" s="96"/>
      <c r="F2407" s="97"/>
      <c r="G2407" s="94"/>
      <c r="H2407" s="96"/>
    </row>
    <row r="2408" spans="1:8" ht="15" x14ac:dyDescent="0.25">
      <c r="A2408" s="95"/>
      <c r="B2408" s="95"/>
      <c r="C2408" s="95"/>
      <c r="D2408" s="92"/>
      <c r="E2408" s="96"/>
      <c r="F2408" s="97"/>
      <c r="G2408" s="94"/>
      <c r="H2408" s="96"/>
    </row>
    <row r="2409" spans="1:8" ht="15" x14ac:dyDescent="0.25">
      <c r="A2409" s="95"/>
      <c r="B2409" s="95"/>
      <c r="C2409" s="95"/>
      <c r="D2409" s="92"/>
      <c r="E2409" s="96"/>
      <c r="F2409" s="97"/>
      <c r="G2409" s="94"/>
      <c r="H2409" s="96"/>
    </row>
    <row r="2410" spans="1:8" ht="15" x14ac:dyDescent="0.25">
      <c r="A2410" s="95"/>
      <c r="B2410" s="95"/>
      <c r="C2410" s="95"/>
      <c r="D2410" s="92"/>
      <c r="E2410" s="96"/>
      <c r="F2410" s="97"/>
      <c r="G2410" s="94"/>
      <c r="H2410" s="96"/>
    </row>
    <row r="2411" spans="1:8" ht="15" x14ac:dyDescent="0.25">
      <c r="A2411" s="95"/>
      <c r="B2411" s="95"/>
      <c r="C2411" s="95"/>
      <c r="D2411" s="92"/>
      <c r="E2411" s="96"/>
      <c r="F2411" s="97"/>
      <c r="G2411" s="94"/>
      <c r="H2411" s="96"/>
    </row>
    <row r="2412" spans="1:8" ht="15" x14ac:dyDescent="0.25">
      <c r="A2412" s="95"/>
      <c r="B2412" s="95"/>
      <c r="C2412" s="95"/>
      <c r="D2412" s="92"/>
      <c r="E2412" s="96"/>
      <c r="F2412" s="97"/>
      <c r="G2412" s="94"/>
      <c r="H2412" s="96"/>
    </row>
    <row r="2413" spans="1:8" ht="15" x14ac:dyDescent="0.25">
      <c r="A2413" s="95"/>
      <c r="B2413" s="95"/>
      <c r="C2413" s="95"/>
      <c r="D2413" s="92"/>
      <c r="E2413" s="96"/>
      <c r="F2413" s="97"/>
      <c r="G2413" s="94"/>
      <c r="H2413" s="96"/>
    </row>
    <row r="2414" spans="1:8" ht="15" x14ac:dyDescent="0.25">
      <c r="A2414" s="95"/>
      <c r="B2414" s="95"/>
      <c r="C2414" s="95"/>
      <c r="D2414" s="92"/>
      <c r="E2414" s="96"/>
      <c r="F2414" s="97"/>
      <c r="G2414" s="94"/>
      <c r="H2414" s="96"/>
    </row>
    <row r="2415" spans="1:8" ht="15" x14ac:dyDescent="0.25">
      <c r="A2415" s="95"/>
      <c r="B2415" s="95"/>
      <c r="C2415" s="95"/>
      <c r="D2415" s="92"/>
      <c r="E2415" s="96"/>
      <c r="F2415" s="97"/>
      <c r="G2415" s="94"/>
      <c r="H2415" s="96"/>
    </row>
    <row r="2416" spans="1:8" ht="15" x14ac:dyDescent="0.25">
      <c r="A2416" s="95"/>
      <c r="B2416" s="95"/>
      <c r="C2416" s="95"/>
      <c r="D2416" s="92"/>
      <c r="E2416" s="96"/>
      <c r="F2416" s="97"/>
      <c r="G2416" s="94"/>
      <c r="H2416" s="96"/>
    </row>
    <row r="2417" spans="1:8" ht="15" x14ac:dyDescent="0.25">
      <c r="A2417" s="95"/>
      <c r="B2417" s="95"/>
      <c r="C2417" s="95"/>
      <c r="D2417" s="92"/>
      <c r="E2417" s="96"/>
      <c r="F2417" s="97"/>
      <c r="G2417" s="94"/>
      <c r="H2417" s="96"/>
    </row>
    <row r="2418" spans="1:8" ht="15" x14ac:dyDescent="0.25">
      <c r="A2418" s="95"/>
      <c r="B2418" s="95"/>
      <c r="C2418" s="95"/>
      <c r="D2418" s="92"/>
      <c r="E2418" s="96"/>
      <c r="F2418" s="97"/>
      <c r="G2418" s="94"/>
      <c r="H2418" s="96"/>
    </row>
    <row r="2419" spans="1:8" ht="15" x14ac:dyDescent="0.25">
      <c r="A2419" s="95"/>
      <c r="B2419" s="95"/>
      <c r="C2419" s="95"/>
      <c r="D2419" s="92"/>
      <c r="E2419" s="96"/>
      <c r="F2419" s="97"/>
      <c r="G2419" s="94"/>
      <c r="H2419" s="96"/>
    </row>
    <row r="2420" spans="1:8" ht="15" x14ac:dyDescent="0.25">
      <c r="A2420" s="95"/>
      <c r="B2420" s="95"/>
      <c r="C2420" s="95"/>
      <c r="D2420" s="92"/>
      <c r="E2420" s="96"/>
      <c r="F2420" s="97"/>
      <c r="G2420" s="94"/>
      <c r="H2420" s="96"/>
    </row>
    <row r="2421" spans="1:8" ht="15" x14ac:dyDescent="0.25">
      <c r="A2421" s="95"/>
      <c r="B2421" s="95"/>
      <c r="C2421" s="95"/>
      <c r="D2421" s="92"/>
      <c r="E2421" s="96"/>
      <c r="F2421" s="97"/>
      <c r="G2421" s="94"/>
      <c r="H2421" s="96"/>
    </row>
    <row r="2422" spans="1:8" ht="15" x14ac:dyDescent="0.25">
      <c r="A2422" s="95"/>
      <c r="B2422" s="95"/>
      <c r="C2422" s="95"/>
      <c r="D2422" s="92"/>
      <c r="E2422" s="96"/>
      <c r="F2422" s="97"/>
      <c r="G2422" s="94"/>
      <c r="H2422" s="96"/>
    </row>
    <row r="2423" spans="1:8" ht="15" x14ac:dyDescent="0.25">
      <c r="A2423" s="95"/>
      <c r="B2423" s="95"/>
      <c r="C2423" s="95"/>
      <c r="D2423" s="92"/>
      <c r="E2423" s="96"/>
      <c r="F2423" s="97"/>
      <c r="G2423" s="94"/>
      <c r="H2423" s="96"/>
    </row>
    <row r="2424" spans="1:8" ht="15" x14ac:dyDescent="0.25">
      <c r="A2424" s="95"/>
      <c r="B2424" s="95"/>
      <c r="C2424" s="95"/>
      <c r="D2424" s="92"/>
      <c r="E2424" s="96"/>
      <c r="F2424" s="97"/>
      <c r="G2424" s="94"/>
      <c r="H2424" s="96"/>
    </row>
    <row r="2425" spans="1:8" ht="15" x14ac:dyDescent="0.25">
      <c r="A2425" s="95"/>
      <c r="B2425" s="95"/>
      <c r="C2425" s="95"/>
      <c r="D2425" s="92"/>
      <c r="E2425" s="96"/>
      <c r="F2425" s="97"/>
      <c r="G2425" s="94"/>
      <c r="H2425" s="96"/>
    </row>
    <row r="2426" spans="1:8" ht="15" x14ac:dyDescent="0.25">
      <c r="A2426" s="95"/>
      <c r="B2426" s="95"/>
      <c r="C2426" s="95"/>
      <c r="D2426" s="92"/>
      <c r="E2426" s="96"/>
      <c r="F2426" s="97"/>
      <c r="G2426" s="94"/>
      <c r="H2426" s="96"/>
    </row>
    <row r="2427" spans="1:8" ht="15" x14ac:dyDescent="0.25">
      <c r="A2427" s="95"/>
      <c r="B2427" s="95"/>
      <c r="C2427" s="95"/>
      <c r="D2427" s="92"/>
      <c r="E2427" s="96"/>
      <c r="F2427" s="97"/>
      <c r="G2427" s="94"/>
      <c r="H2427" s="96"/>
    </row>
    <row r="2428" spans="1:8" ht="15" x14ac:dyDescent="0.25">
      <c r="A2428" s="95"/>
      <c r="B2428" s="95"/>
      <c r="C2428" s="95"/>
      <c r="D2428" s="92"/>
      <c r="E2428" s="96"/>
      <c r="F2428" s="97"/>
      <c r="G2428" s="94"/>
      <c r="H2428" s="96"/>
    </row>
    <row r="2429" spans="1:8" ht="15" x14ac:dyDescent="0.25">
      <c r="A2429" s="95"/>
      <c r="B2429" s="95"/>
      <c r="C2429" s="95"/>
      <c r="D2429" s="92"/>
      <c r="E2429" s="96"/>
      <c r="F2429" s="97"/>
      <c r="G2429" s="94"/>
      <c r="H2429" s="96"/>
    </row>
    <row r="2430" spans="1:8" ht="15" x14ac:dyDescent="0.25">
      <c r="A2430" s="95"/>
      <c r="B2430" s="95"/>
      <c r="C2430" s="95"/>
      <c r="D2430" s="92"/>
      <c r="E2430" s="96"/>
      <c r="F2430" s="97"/>
      <c r="G2430" s="94"/>
      <c r="H2430" s="96"/>
    </row>
    <row r="2431" spans="1:8" ht="15" x14ac:dyDescent="0.25">
      <c r="A2431" s="95"/>
      <c r="B2431" s="95"/>
      <c r="C2431" s="95"/>
      <c r="D2431" s="92"/>
      <c r="E2431" s="96"/>
      <c r="F2431" s="97"/>
      <c r="G2431" s="94"/>
      <c r="H2431" s="96"/>
    </row>
    <row r="2432" spans="1:8" ht="15" x14ac:dyDescent="0.25">
      <c r="A2432" s="95"/>
      <c r="B2432" s="95"/>
      <c r="C2432" s="95"/>
      <c r="D2432" s="92"/>
      <c r="E2432" s="96"/>
      <c r="F2432" s="97"/>
      <c r="G2432" s="94"/>
      <c r="H2432" s="96"/>
    </row>
    <row r="2433" spans="1:8" ht="15" x14ac:dyDescent="0.25">
      <c r="A2433" s="95"/>
      <c r="B2433" s="95"/>
      <c r="C2433" s="95"/>
      <c r="D2433" s="92"/>
      <c r="E2433" s="96"/>
      <c r="F2433" s="97"/>
      <c r="G2433" s="94"/>
      <c r="H2433" s="96"/>
    </row>
    <row r="2434" spans="1:8" ht="15" x14ac:dyDescent="0.25">
      <c r="A2434" s="95"/>
      <c r="B2434" s="95"/>
      <c r="C2434" s="95"/>
      <c r="D2434" s="92"/>
      <c r="E2434" s="96"/>
      <c r="F2434" s="97"/>
      <c r="G2434" s="94"/>
      <c r="H2434" s="96"/>
    </row>
    <row r="2435" spans="1:8" ht="15" x14ac:dyDescent="0.25">
      <c r="A2435" s="95"/>
      <c r="B2435" s="95"/>
      <c r="C2435" s="95"/>
      <c r="D2435" s="92"/>
      <c r="E2435" s="96"/>
      <c r="F2435" s="97"/>
      <c r="G2435" s="94"/>
      <c r="H2435" s="96"/>
    </row>
    <row r="2436" spans="1:8" ht="15" x14ac:dyDescent="0.25">
      <c r="A2436" s="95"/>
      <c r="B2436" s="95"/>
      <c r="C2436" s="95"/>
      <c r="D2436" s="92"/>
      <c r="E2436" s="96"/>
      <c r="F2436" s="97"/>
      <c r="G2436" s="94"/>
      <c r="H2436" s="96"/>
    </row>
    <row r="2437" spans="1:8" ht="15" x14ac:dyDescent="0.25">
      <c r="A2437" s="95"/>
      <c r="B2437" s="95"/>
      <c r="C2437" s="95"/>
      <c r="D2437" s="92"/>
      <c r="E2437" s="96"/>
      <c r="F2437" s="97"/>
      <c r="G2437" s="94"/>
      <c r="H2437" s="96"/>
    </row>
    <row r="2438" spans="1:8" ht="15" x14ac:dyDescent="0.25">
      <c r="A2438" s="95"/>
      <c r="B2438" s="95"/>
      <c r="C2438" s="95"/>
      <c r="D2438" s="92"/>
      <c r="E2438" s="96"/>
      <c r="F2438" s="97"/>
      <c r="G2438" s="94"/>
      <c r="H2438" s="96"/>
    </row>
    <row r="2439" spans="1:8" ht="15" x14ac:dyDescent="0.25">
      <c r="A2439" s="95"/>
      <c r="B2439" s="95"/>
      <c r="C2439" s="95"/>
      <c r="D2439" s="92"/>
      <c r="E2439" s="96"/>
      <c r="F2439" s="97"/>
      <c r="G2439" s="94"/>
      <c r="H2439" s="96"/>
    </row>
    <row r="2440" spans="1:8" ht="15" x14ac:dyDescent="0.25">
      <c r="A2440" s="95"/>
      <c r="B2440" s="95"/>
      <c r="C2440" s="95"/>
      <c r="D2440" s="92"/>
      <c r="E2440" s="96"/>
      <c r="F2440" s="97"/>
      <c r="G2440" s="94"/>
      <c r="H2440" s="96"/>
    </row>
    <row r="2441" spans="1:8" ht="15" x14ac:dyDescent="0.25">
      <c r="A2441" s="95"/>
      <c r="B2441" s="95"/>
      <c r="C2441" s="95"/>
      <c r="D2441" s="92"/>
      <c r="E2441" s="96"/>
      <c r="F2441" s="97"/>
      <c r="G2441" s="94"/>
      <c r="H2441" s="96"/>
    </row>
    <row r="2442" spans="1:8" ht="15" x14ac:dyDescent="0.25">
      <c r="A2442" s="95"/>
      <c r="B2442" s="95"/>
      <c r="C2442" s="95"/>
      <c r="D2442" s="92"/>
      <c r="E2442" s="96"/>
      <c r="F2442" s="97"/>
      <c r="G2442" s="94"/>
      <c r="H2442" s="96"/>
    </row>
    <row r="2443" spans="1:8" ht="15" x14ac:dyDescent="0.25">
      <c r="A2443" s="95"/>
      <c r="B2443" s="95"/>
      <c r="C2443" s="95"/>
      <c r="D2443" s="92"/>
      <c r="E2443" s="96"/>
      <c r="F2443" s="97"/>
      <c r="G2443" s="94"/>
      <c r="H2443" s="96"/>
    </row>
    <row r="2444" spans="1:8" ht="15" x14ac:dyDescent="0.25">
      <c r="A2444" s="95"/>
      <c r="B2444" s="95"/>
      <c r="C2444" s="95"/>
      <c r="D2444" s="92"/>
      <c r="E2444" s="96"/>
      <c r="F2444" s="97"/>
      <c r="G2444" s="94"/>
      <c r="H2444" s="96"/>
    </row>
    <row r="2445" spans="1:8" ht="15" x14ac:dyDescent="0.25">
      <c r="A2445" s="95"/>
      <c r="B2445" s="95"/>
      <c r="C2445" s="95"/>
      <c r="D2445" s="92"/>
      <c r="E2445" s="96"/>
      <c r="F2445" s="97"/>
      <c r="G2445" s="94"/>
      <c r="H2445" s="96"/>
    </row>
    <row r="2446" spans="1:8" ht="15" x14ac:dyDescent="0.25">
      <c r="A2446" s="95"/>
      <c r="B2446" s="95"/>
      <c r="C2446" s="95"/>
      <c r="D2446" s="92"/>
      <c r="E2446" s="96"/>
      <c r="F2446" s="97"/>
      <c r="G2446" s="94"/>
      <c r="H2446" s="96"/>
    </row>
    <row r="2447" spans="1:8" ht="15" x14ac:dyDescent="0.25">
      <c r="A2447" s="95"/>
      <c r="B2447" s="95"/>
      <c r="C2447" s="95"/>
      <c r="D2447" s="92"/>
      <c r="E2447" s="96"/>
      <c r="F2447" s="97"/>
      <c r="G2447" s="94"/>
      <c r="H2447" s="96"/>
    </row>
    <row r="2448" spans="1:8" ht="15" x14ac:dyDescent="0.25">
      <c r="A2448" s="95"/>
      <c r="B2448" s="95"/>
      <c r="C2448" s="95"/>
      <c r="D2448" s="92"/>
      <c r="E2448" s="96"/>
      <c r="F2448" s="97"/>
      <c r="G2448" s="94"/>
      <c r="H2448" s="96"/>
    </row>
    <row r="2449" spans="1:8" ht="15" x14ac:dyDescent="0.25">
      <c r="A2449" s="95"/>
      <c r="B2449" s="95"/>
      <c r="C2449" s="95"/>
      <c r="D2449" s="92"/>
      <c r="E2449" s="96"/>
      <c r="F2449" s="97"/>
      <c r="G2449" s="94"/>
      <c r="H2449" s="96"/>
    </row>
    <row r="2450" spans="1:8" ht="15" x14ac:dyDescent="0.25">
      <c r="A2450" s="95"/>
      <c r="B2450" s="95"/>
      <c r="C2450" s="95"/>
      <c r="D2450" s="92"/>
      <c r="E2450" s="96"/>
      <c r="F2450" s="97"/>
      <c r="G2450" s="94"/>
      <c r="H2450" s="96"/>
    </row>
    <row r="2451" spans="1:8" ht="15" x14ac:dyDescent="0.25">
      <c r="A2451" s="95"/>
      <c r="B2451" s="95"/>
      <c r="C2451" s="95"/>
      <c r="D2451" s="92"/>
      <c r="E2451" s="96"/>
      <c r="F2451" s="97"/>
      <c r="G2451" s="94"/>
      <c r="H2451" s="96"/>
    </row>
    <row r="2452" spans="1:8" ht="15" x14ac:dyDescent="0.25">
      <c r="A2452" s="95"/>
      <c r="B2452" s="95"/>
      <c r="C2452" s="95"/>
      <c r="D2452" s="92"/>
      <c r="E2452" s="96"/>
      <c r="F2452" s="97"/>
      <c r="G2452" s="94"/>
      <c r="H2452" s="96"/>
    </row>
    <row r="2453" spans="1:8" ht="15" x14ac:dyDescent="0.25">
      <c r="A2453" s="95"/>
      <c r="B2453" s="95"/>
      <c r="C2453" s="95"/>
      <c r="D2453" s="92"/>
      <c r="E2453" s="96"/>
      <c r="F2453" s="97"/>
      <c r="G2453" s="94"/>
      <c r="H2453" s="96"/>
    </row>
    <row r="2454" spans="1:8" ht="15" x14ac:dyDescent="0.25">
      <c r="A2454" s="95"/>
      <c r="B2454" s="95"/>
      <c r="C2454" s="95"/>
      <c r="D2454" s="92"/>
      <c r="E2454" s="96"/>
      <c r="F2454" s="97"/>
      <c r="G2454" s="94"/>
      <c r="H2454" s="96"/>
    </row>
    <row r="2455" spans="1:8" ht="15" x14ac:dyDescent="0.25">
      <c r="A2455" s="95"/>
      <c r="B2455" s="95"/>
      <c r="C2455" s="95"/>
      <c r="D2455" s="92"/>
      <c r="E2455" s="96"/>
      <c r="F2455" s="97"/>
      <c r="G2455" s="94"/>
      <c r="H2455" s="96"/>
    </row>
    <row r="2456" spans="1:8" ht="15" x14ac:dyDescent="0.25">
      <c r="A2456" s="95"/>
      <c r="B2456" s="95"/>
      <c r="C2456" s="95"/>
      <c r="D2456" s="92"/>
      <c r="E2456" s="96"/>
      <c r="F2456" s="97"/>
      <c r="G2456" s="94"/>
      <c r="H2456" s="96"/>
    </row>
    <row r="2457" spans="1:8" ht="15" x14ac:dyDescent="0.25">
      <c r="A2457" s="95"/>
      <c r="B2457" s="95"/>
      <c r="C2457" s="95"/>
      <c r="D2457" s="92"/>
      <c r="E2457" s="96"/>
      <c r="F2457" s="97"/>
      <c r="G2457" s="94"/>
      <c r="H2457" s="96"/>
    </row>
    <row r="2458" spans="1:8" ht="15" x14ac:dyDescent="0.25">
      <c r="A2458" s="95"/>
      <c r="B2458" s="95"/>
      <c r="C2458" s="95"/>
      <c r="D2458" s="92"/>
      <c r="E2458" s="96"/>
      <c r="F2458" s="97"/>
      <c r="G2458" s="94"/>
      <c r="H2458" s="96"/>
    </row>
    <row r="2459" spans="1:8" ht="15" x14ac:dyDescent="0.25">
      <c r="A2459" s="95"/>
      <c r="B2459" s="95"/>
      <c r="C2459" s="95"/>
      <c r="D2459" s="92"/>
      <c r="E2459" s="96"/>
      <c r="F2459" s="97"/>
      <c r="G2459" s="94"/>
      <c r="H2459" s="96"/>
    </row>
    <row r="2460" spans="1:8" ht="15" x14ac:dyDescent="0.25">
      <c r="A2460" s="95"/>
      <c r="B2460" s="95"/>
      <c r="C2460" s="95"/>
      <c r="D2460" s="92"/>
      <c r="E2460" s="96"/>
      <c r="F2460" s="97"/>
      <c r="G2460" s="94"/>
      <c r="H2460" s="96"/>
    </row>
    <row r="2461" spans="1:8" ht="15" x14ac:dyDescent="0.25">
      <c r="A2461" s="95"/>
      <c r="B2461" s="95"/>
      <c r="C2461" s="95"/>
      <c r="D2461" s="92"/>
      <c r="E2461" s="96"/>
      <c r="F2461" s="97"/>
      <c r="G2461" s="94"/>
      <c r="H2461" s="96"/>
    </row>
    <row r="2462" spans="1:8" ht="15" x14ac:dyDescent="0.25">
      <c r="A2462" s="95"/>
      <c r="B2462" s="95"/>
      <c r="C2462" s="95"/>
      <c r="D2462" s="92"/>
      <c r="E2462" s="96"/>
      <c r="F2462" s="97"/>
      <c r="G2462" s="94"/>
      <c r="H2462" s="96"/>
    </row>
    <row r="2463" spans="1:8" ht="15" x14ac:dyDescent="0.25">
      <c r="A2463" s="95"/>
      <c r="B2463" s="95"/>
      <c r="C2463" s="95"/>
      <c r="D2463" s="92"/>
      <c r="E2463" s="96"/>
      <c r="F2463" s="97"/>
      <c r="G2463" s="94"/>
      <c r="H2463" s="96"/>
    </row>
    <row r="2464" spans="1:8" ht="15" x14ac:dyDescent="0.25">
      <c r="A2464" s="95"/>
      <c r="B2464" s="95"/>
      <c r="C2464" s="95"/>
      <c r="D2464" s="92"/>
      <c r="E2464" s="96"/>
      <c r="F2464" s="97"/>
      <c r="G2464" s="94"/>
      <c r="H2464" s="96"/>
    </row>
    <row r="2465" spans="1:8" ht="15" x14ac:dyDescent="0.25">
      <c r="A2465" s="95"/>
      <c r="B2465" s="95"/>
      <c r="C2465" s="95"/>
      <c r="D2465" s="92"/>
      <c r="E2465" s="96"/>
      <c r="F2465" s="97"/>
      <c r="G2465" s="94"/>
      <c r="H2465" s="96"/>
    </row>
    <row r="2466" spans="1:8" ht="15" x14ac:dyDescent="0.25">
      <c r="A2466" s="95"/>
      <c r="B2466" s="95"/>
      <c r="C2466" s="95"/>
      <c r="D2466" s="92"/>
      <c r="E2466" s="96"/>
      <c r="F2466" s="97"/>
      <c r="G2466" s="94"/>
      <c r="H2466" s="96"/>
    </row>
    <row r="2467" spans="1:8" ht="15" x14ac:dyDescent="0.25">
      <c r="A2467" s="95"/>
      <c r="B2467" s="95"/>
      <c r="C2467" s="95"/>
      <c r="D2467" s="92"/>
      <c r="E2467" s="96"/>
      <c r="F2467" s="97"/>
      <c r="G2467" s="94"/>
      <c r="H2467" s="96"/>
    </row>
    <row r="2468" spans="1:8" ht="15" x14ac:dyDescent="0.25">
      <c r="A2468" s="95"/>
      <c r="B2468" s="95"/>
      <c r="C2468" s="95"/>
      <c r="D2468" s="92"/>
      <c r="E2468" s="96"/>
      <c r="F2468" s="97"/>
      <c r="G2468" s="94"/>
      <c r="H2468" s="96"/>
    </row>
    <row r="2469" spans="1:8" ht="15" x14ac:dyDescent="0.25">
      <c r="A2469" s="95"/>
      <c r="B2469" s="95"/>
      <c r="C2469" s="95"/>
      <c r="D2469" s="92"/>
      <c r="E2469" s="96"/>
      <c r="F2469" s="97"/>
      <c r="G2469" s="94"/>
      <c r="H2469" s="96"/>
    </row>
    <row r="2470" spans="1:8" ht="15" x14ac:dyDescent="0.25">
      <c r="A2470" s="95"/>
      <c r="B2470" s="95"/>
      <c r="C2470" s="95"/>
      <c r="D2470" s="92"/>
      <c r="E2470" s="96"/>
      <c r="F2470" s="97"/>
      <c r="G2470" s="94"/>
      <c r="H2470" s="96"/>
    </row>
    <row r="2471" spans="1:8" ht="15" x14ac:dyDescent="0.25">
      <c r="A2471" s="95"/>
      <c r="B2471" s="95"/>
      <c r="C2471" s="95"/>
      <c r="D2471" s="92"/>
      <c r="E2471" s="96"/>
      <c r="F2471" s="97"/>
      <c r="G2471" s="94"/>
      <c r="H2471" s="96"/>
    </row>
    <row r="2472" spans="1:8" ht="15" x14ac:dyDescent="0.25">
      <c r="A2472" s="95"/>
      <c r="B2472" s="95"/>
      <c r="C2472" s="95"/>
      <c r="D2472" s="92"/>
      <c r="E2472" s="96"/>
      <c r="F2472" s="97"/>
      <c r="G2472" s="94"/>
      <c r="H2472" s="96"/>
    </row>
    <row r="2473" spans="1:8" ht="15" x14ac:dyDescent="0.25">
      <c r="A2473" s="95"/>
      <c r="B2473" s="95"/>
      <c r="C2473" s="95"/>
      <c r="D2473" s="92"/>
      <c r="E2473" s="96"/>
      <c r="F2473" s="97"/>
      <c r="G2473" s="94"/>
      <c r="H2473" s="96"/>
    </row>
    <row r="2474" spans="1:8" ht="15" x14ac:dyDescent="0.25">
      <c r="A2474" s="95"/>
      <c r="B2474" s="95"/>
      <c r="C2474" s="95"/>
      <c r="D2474" s="92"/>
      <c r="E2474" s="96"/>
      <c r="F2474" s="97"/>
      <c r="G2474" s="94"/>
      <c r="H2474" s="96"/>
    </row>
    <row r="2475" spans="1:8" ht="15" x14ac:dyDescent="0.25">
      <c r="A2475" s="95"/>
      <c r="B2475" s="95"/>
      <c r="C2475" s="95"/>
      <c r="D2475" s="92"/>
      <c r="E2475" s="96"/>
      <c r="F2475" s="97"/>
      <c r="G2475" s="94"/>
      <c r="H2475" s="96"/>
    </row>
    <row r="2476" spans="1:8" ht="15" x14ac:dyDescent="0.25">
      <c r="A2476" s="95"/>
      <c r="B2476" s="95"/>
      <c r="C2476" s="95"/>
      <c r="D2476" s="92"/>
      <c r="E2476" s="96"/>
      <c r="F2476" s="97"/>
      <c r="G2476" s="94"/>
      <c r="H2476" s="96"/>
    </row>
    <row r="2477" spans="1:8" ht="15" x14ac:dyDescent="0.25">
      <c r="A2477" s="95"/>
      <c r="B2477" s="95"/>
      <c r="C2477" s="95"/>
      <c r="D2477" s="92"/>
      <c r="E2477" s="96"/>
      <c r="F2477" s="97"/>
      <c r="G2477" s="94"/>
      <c r="H2477" s="96"/>
    </row>
    <row r="2478" spans="1:8" ht="15" x14ac:dyDescent="0.25">
      <c r="A2478" s="95"/>
      <c r="B2478" s="95"/>
      <c r="C2478" s="95"/>
      <c r="D2478" s="92"/>
      <c r="E2478" s="96"/>
      <c r="F2478" s="97"/>
      <c r="G2478" s="94"/>
      <c r="H2478" s="96"/>
    </row>
    <row r="2479" spans="1:8" ht="15" x14ac:dyDescent="0.25">
      <c r="A2479" s="95"/>
      <c r="B2479" s="95"/>
      <c r="C2479" s="95"/>
      <c r="D2479" s="92"/>
      <c r="E2479" s="96"/>
      <c r="F2479" s="97"/>
      <c r="G2479" s="94"/>
      <c r="H2479" s="96"/>
    </row>
    <row r="2480" spans="1:8" ht="15" x14ac:dyDescent="0.25">
      <c r="A2480" s="95"/>
      <c r="B2480" s="95"/>
      <c r="C2480" s="95"/>
      <c r="D2480" s="92"/>
      <c r="E2480" s="96"/>
      <c r="F2480" s="97"/>
      <c r="G2480" s="94"/>
      <c r="H2480" s="96"/>
    </row>
    <row r="2481" spans="1:8" ht="15" x14ac:dyDescent="0.25">
      <c r="A2481" s="95"/>
      <c r="B2481" s="95"/>
      <c r="C2481" s="95"/>
      <c r="D2481" s="92"/>
      <c r="E2481" s="96"/>
      <c r="F2481" s="97"/>
      <c r="G2481" s="94"/>
      <c r="H2481" s="96"/>
    </row>
    <row r="2482" spans="1:8" ht="15" x14ac:dyDescent="0.25">
      <c r="A2482" s="95"/>
      <c r="B2482" s="95"/>
      <c r="C2482" s="95"/>
      <c r="D2482" s="92"/>
      <c r="E2482" s="96"/>
      <c r="F2482" s="97"/>
      <c r="G2482" s="94"/>
      <c r="H2482" s="96"/>
    </row>
    <row r="2483" spans="1:8" ht="15" x14ac:dyDescent="0.25">
      <c r="A2483" s="95"/>
      <c r="B2483" s="95"/>
      <c r="C2483" s="95"/>
      <c r="D2483" s="92"/>
      <c r="E2483" s="96"/>
      <c r="F2483" s="97"/>
      <c r="G2483" s="94"/>
      <c r="H2483" s="96"/>
    </row>
    <row r="2484" spans="1:8" ht="15" x14ac:dyDescent="0.25">
      <c r="A2484" s="95"/>
      <c r="B2484" s="95"/>
      <c r="C2484" s="95"/>
      <c r="D2484" s="92"/>
      <c r="E2484" s="96"/>
      <c r="F2484" s="97"/>
      <c r="G2484" s="94"/>
      <c r="H2484" s="96"/>
    </row>
    <row r="2485" spans="1:8" ht="15" x14ac:dyDescent="0.25">
      <c r="A2485" s="95"/>
      <c r="B2485" s="95"/>
      <c r="C2485" s="95"/>
      <c r="D2485" s="92"/>
      <c r="E2485" s="96"/>
      <c r="F2485" s="97"/>
      <c r="G2485" s="94"/>
      <c r="H2485" s="96"/>
    </row>
    <row r="2486" spans="1:8" ht="15" x14ac:dyDescent="0.25">
      <c r="A2486" s="95"/>
      <c r="B2486" s="95"/>
      <c r="C2486" s="95"/>
      <c r="D2486" s="92"/>
      <c r="E2486" s="96"/>
      <c r="F2486" s="97"/>
      <c r="G2486" s="94"/>
      <c r="H2486" s="96"/>
    </row>
    <row r="2487" spans="1:8" ht="15" x14ac:dyDescent="0.25">
      <c r="A2487" s="95"/>
      <c r="B2487" s="95"/>
      <c r="C2487" s="95"/>
      <c r="D2487" s="92"/>
      <c r="E2487" s="96"/>
      <c r="F2487" s="97"/>
      <c r="G2487" s="94"/>
      <c r="H2487" s="96"/>
    </row>
    <row r="2488" spans="1:8" ht="15" x14ac:dyDescent="0.25">
      <c r="A2488" s="95"/>
      <c r="B2488" s="95"/>
      <c r="C2488" s="95"/>
      <c r="D2488" s="92"/>
      <c r="E2488" s="96"/>
      <c r="F2488" s="97"/>
      <c r="G2488" s="94"/>
      <c r="H2488" s="96"/>
    </row>
    <row r="2489" spans="1:8" ht="15" x14ac:dyDescent="0.25">
      <c r="A2489" s="95"/>
      <c r="B2489" s="95"/>
      <c r="C2489" s="95"/>
      <c r="D2489" s="92"/>
      <c r="E2489" s="96"/>
      <c r="F2489" s="97"/>
      <c r="G2489" s="94"/>
      <c r="H2489" s="96"/>
    </row>
    <row r="2490" spans="1:8" ht="15" x14ac:dyDescent="0.25">
      <c r="A2490" s="95"/>
      <c r="B2490" s="95"/>
      <c r="C2490" s="95"/>
      <c r="D2490" s="92"/>
      <c r="E2490" s="96"/>
      <c r="F2490" s="97"/>
      <c r="G2490" s="94"/>
      <c r="H2490" s="96"/>
    </row>
    <row r="2491" spans="1:8" ht="15" x14ac:dyDescent="0.25">
      <c r="A2491" s="95"/>
      <c r="B2491" s="95"/>
      <c r="C2491" s="95"/>
      <c r="D2491" s="92"/>
      <c r="E2491" s="96"/>
      <c r="F2491" s="97"/>
      <c r="G2491" s="94"/>
      <c r="H2491" s="96"/>
    </row>
    <row r="2492" spans="1:8" ht="15" x14ac:dyDescent="0.25">
      <c r="A2492" s="95"/>
      <c r="B2492" s="95"/>
      <c r="C2492" s="95"/>
      <c r="D2492" s="92"/>
      <c r="E2492" s="96"/>
      <c r="F2492" s="97"/>
      <c r="G2492" s="94"/>
      <c r="H2492" s="96"/>
    </row>
    <row r="2493" spans="1:8" ht="15" x14ac:dyDescent="0.25">
      <c r="A2493" s="95"/>
      <c r="B2493" s="95"/>
      <c r="C2493" s="95"/>
      <c r="D2493" s="92"/>
      <c r="E2493" s="96"/>
      <c r="F2493" s="97"/>
      <c r="G2493" s="94"/>
      <c r="H2493" s="96"/>
    </row>
    <row r="2494" spans="1:8" ht="15" x14ac:dyDescent="0.25">
      <c r="A2494" s="95"/>
      <c r="B2494" s="95"/>
      <c r="C2494" s="95"/>
      <c r="D2494" s="92"/>
      <c r="E2494" s="96"/>
      <c r="F2494" s="97"/>
      <c r="G2494" s="94"/>
      <c r="H2494" s="96"/>
    </row>
    <row r="2495" spans="1:8" ht="15" x14ac:dyDescent="0.25">
      <c r="A2495" s="95"/>
      <c r="B2495" s="95"/>
      <c r="C2495" s="95"/>
      <c r="D2495" s="92"/>
      <c r="E2495" s="96"/>
      <c r="F2495" s="97"/>
      <c r="G2495" s="94"/>
      <c r="H2495" s="96"/>
    </row>
    <row r="2496" spans="1:8" ht="15" x14ac:dyDescent="0.25">
      <c r="A2496" s="95"/>
      <c r="B2496" s="95"/>
      <c r="C2496" s="95"/>
      <c r="D2496" s="92"/>
      <c r="E2496" s="96"/>
      <c r="F2496" s="97"/>
      <c r="G2496" s="94"/>
      <c r="H2496" s="96"/>
    </row>
    <row r="2497" spans="1:8" ht="15" x14ac:dyDescent="0.25">
      <c r="A2497" s="95"/>
      <c r="B2497" s="95"/>
      <c r="C2497" s="95"/>
      <c r="D2497" s="92"/>
      <c r="E2497" s="96"/>
      <c r="F2497" s="97"/>
      <c r="G2497" s="94"/>
      <c r="H2497" s="96"/>
    </row>
    <row r="2498" spans="1:8" ht="15" x14ac:dyDescent="0.25">
      <c r="A2498" s="95"/>
      <c r="B2498" s="95"/>
      <c r="C2498" s="95"/>
      <c r="D2498" s="92"/>
      <c r="E2498" s="96"/>
      <c r="F2498" s="97"/>
      <c r="G2498" s="94"/>
      <c r="H2498" s="96"/>
    </row>
    <row r="2499" spans="1:8" ht="15" x14ac:dyDescent="0.25">
      <c r="A2499" s="95"/>
      <c r="B2499" s="95"/>
      <c r="C2499" s="95"/>
      <c r="D2499" s="92"/>
      <c r="E2499" s="96"/>
      <c r="F2499" s="97"/>
      <c r="G2499" s="94"/>
      <c r="H2499" s="96"/>
    </row>
    <row r="2500" spans="1:8" ht="15" x14ac:dyDescent="0.25">
      <c r="A2500" s="95"/>
      <c r="B2500" s="95"/>
      <c r="C2500" s="95"/>
      <c r="D2500" s="92"/>
      <c r="E2500" s="96"/>
      <c r="F2500" s="97"/>
      <c r="G2500" s="94"/>
      <c r="H2500" s="96"/>
    </row>
    <row r="2501" spans="1:8" ht="15" x14ac:dyDescent="0.25">
      <c r="A2501" s="95"/>
      <c r="B2501" s="95"/>
      <c r="C2501" s="95"/>
      <c r="D2501" s="92"/>
      <c r="E2501" s="96"/>
      <c r="F2501" s="97"/>
      <c r="G2501" s="94"/>
      <c r="H2501" s="96"/>
    </row>
    <row r="2502" spans="1:8" ht="15" x14ac:dyDescent="0.25">
      <c r="A2502" s="95"/>
      <c r="B2502" s="95"/>
      <c r="C2502" s="95"/>
      <c r="D2502" s="92"/>
      <c r="E2502" s="96"/>
      <c r="F2502" s="97"/>
      <c r="G2502" s="94"/>
      <c r="H2502" s="96"/>
    </row>
    <row r="2503" spans="1:8" ht="15" x14ac:dyDescent="0.25">
      <c r="A2503" s="95"/>
      <c r="B2503" s="95"/>
      <c r="C2503" s="95"/>
      <c r="D2503" s="92"/>
      <c r="E2503" s="96"/>
      <c r="F2503" s="97"/>
      <c r="G2503" s="94"/>
      <c r="H2503" s="96"/>
    </row>
    <row r="2504" spans="1:8" ht="15" x14ac:dyDescent="0.25">
      <c r="A2504" s="95"/>
      <c r="B2504" s="95"/>
      <c r="C2504" s="95"/>
      <c r="D2504" s="92"/>
      <c r="E2504" s="96"/>
      <c r="F2504" s="97"/>
      <c r="G2504" s="94"/>
      <c r="H2504" s="96"/>
    </row>
    <row r="2505" spans="1:8" ht="15" x14ac:dyDescent="0.25">
      <c r="A2505" s="95"/>
      <c r="B2505" s="95"/>
      <c r="C2505" s="95"/>
      <c r="D2505" s="92"/>
      <c r="E2505" s="96"/>
      <c r="F2505" s="97"/>
      <c r="G2505" s="94"/>
      <c r="H2505" s="96"/>
    </row>
    <row r="2506" spans="1:8" ht="15" x14ac:dyDescent="0.25">
      <c r="A2506" s="95"/>
      <c r="B2506" s="95"/>
      <c r="C2506" s="95"/>
      <c r="D2506" s="92"/>
      <c r="E2506" s="96"/>
      <c r="F2506" s="97"/>
      <c r="G2506" s="94"/>
      <c r="H2506" s="96"/>
    </row>
    <row r="2507" spans="1:8" ht="15" x14ac:dyDescent="0.25">
      <c r="A2507" s="95"/>
      <c r="B2507" s="95"/>
      <c r="C2507" s="95"/>
      <c r="D2507" s="92"/>
      <c r="E2507" s="96"/>
      <c r="F2507" s="97"/>
      <c r="G2507" s="94"/>
      <c r="H2507" s="96"/>
    </row>
    <row r="2508" spans="1:8" ht="15" x14ac:dyDescent="0.25">
      <c r="A2508" s="95"/>
      <c r="B2508" s="95"/>
      <c r="C2508" s="95"/>
      <c r="D2508" s="92"/>
      <c r="E2508" s="96"/>
      <c r="F2508" s="97"/>
      <c r="G2508" s="94"/>
      <c r="H2508" s="96"/>
    </row>
    <row r="2509" spans="1:8" ht="15" x14ac:dyDescent="0.25">
      <c r="A2509" s="95"/>
      <c r="B2509" s="95"/>
      <c r="C2509" s="95"/>
      <c r="D2509" s="92"/>
      <c r="E2509" s="96"/>
      <c r="F2509" s="97"/>
      <c r="G2509" s="94"/>
      <c r="H2509" s="96"/>
    </row>
    <row r="2510" spans="1:8" ht="15" x14ac:dyDescent="0.25">
      <c r="A2510" s="95"/>
      <c r="B2510" s="95"/>
      <c r="C2510" s="95"/>
      <c r="D2510" s="92"/>
      <c r="E2510" s="96"/>
      <c r="F2510" s="97"/>
      <c r="G2510" s="94"/>
      <c r="H2510" s="96"/>
    </row>
    <row r="2511" spans="1:8" ht="15" x14ac:dyDescent="0.25">
      <c r="A2511" s="95"/>
      <c r="B2511" s="95"/>
      <c r="C2511" s="95"/>
      <c r="D2511" s="92"/>
      <c r="E2511" s="96"/>
      <c r="F2511" s="97"/>
      <c r="G2511" s="94"/>
      <c r="H2511" s="96"/>
    </row>
    <row r="2512" spans="1:8" ht="15" x14ac:dyDescent="0.25">
      <c r="A2512" s="95"/>
      <c r="B2512" s="95"/>
      <c r="C2512" s="95"/>
      <c r="D2512" s="92"/>
      <c r="E2512" s="96"/>
      <c r="F2512" s="97"/>
      <c r="G2512" s="94"/>
      <c r="H2512" s="96"/>
    </row>
    <row r="2513" spans="1:8" ht="15" x14ac:dyDescent="0.25">
      <c r="A2513" s="95"/>
      <c r="B2513" s="95"/>
      <c r="C2513" s="95"/>
      <c r="D2513" s="92"/>
      <c r="E2513" s="96"/>
      <c r="F2513" s="97"/>
      <c r="G2513" s="94"/>
      <c r="H2513" s="96"/>
    </row>
    <row r="2514" spans="1:8" ht="15" x14ac:dyDescent="0.25">
      <c r="A2514" s="95"/>
      <c r="B2514" s="95"/>
      <c r="C2514" s="95"/>
      <c r="D2514" s="92"/>
      <c r="E2514" s="96"/>
      <c r="F2514" s="97"/>
      <c r="G2514" s="94"/>
      <c r="H2514" s="96"/>
    </row>
    <row r="2515" spans="1:8" ht="15" x14ac:dyDescent="0.25">
      <c r="A2515" s="95"/>
      <c r="B2515" s="95"/>
      <c r="C2515" s="95"/>
      <c r="D2515" s="92"/>
      <c r="E2515" s="96"/>
      <c r="F2515" s="97"/>
      <c r="G2515" s="94"/>
      <c r="H2515" s="96"/>
    </row>
    <row r="2516" spans="1:8" ht="15" x14ac:dyDescent="0.25">
      <c r="A2516" s="95"/>
      <c r="B2516" s="95"/>
      <c r="C2516" s="95"/>
      <c r="D2516" s="92"/>
      <c r="E2516" s="96"/>
      <c r="F2516" s="97"/>
      <c r="G2516" s="94"/>
      <c r="H2516" s="96"/>
    </row>
    <row r="2517" spans="1:8" ht="15" x14ac:dyDescent="0.25">
      <c r="A2517" s="95"/>
      <c r="B2517" s="95"/>
      <c r="C2517" s="95"/>
      <c r="D2517" s="92"/>
      <c r="E2517" s="96"/>
      <c r="F2517" s="97"/>
      <c r="G2517" s="94"/>
      <c r="H2517" s="96"/>
    </row>
    <row r="2518" spans="1:8" ht="15" x14ac:dyDescent="0.25">
      <c r="A2518" s="95"/>
      <c r="B2518" s="95"/>
      <c r="C2518" s="95"/>
      <c r="D2518" s="92"/>
      <c r="E2518" s="96"/>
      <c r="F2518" s="97"/>
      <c r="G2518" s="94"/>
      <c r="H2518" s="96"/>
    </row>
    <row r="2519" spans="1:8" ht="15" x14ac:dyDescent="0.25">
      <c r="A2519" s="95"/>
      <c r="B2519" s="95"/>
      <c r="C2519" s="95"/>
      <c r="D2519" s="92"/>
      <c r="E2519" s="96"/>
      <c r="F2519" s="97"/>
      <c r="G2519" s="94"/>
      <c r="H2519" s="96"/>
    </row>
    <row r="2520" spans="1:8" ht="15" x14ac:dyDescent="0.25">
      <c r="A2520" s="95"/>
      <c r="B2520" s="95"/>
      <c r="C2520" s="95"/>
      <c r="D2520" s="92"/>
      <c r="E2520" s="96"/>
      <c r="F2520" s="97"/>
      <c r="G2520" s="94"/>
      <c r="H2520" s="96"/>
    </row>
    <row r="2521" spans="1:8" ht="15" x14ac:dyDescent="0.25">
      <c r="A2521" s="95"/>
      <c r="B2521" s="95"/>
      <c r="C2521" s="95"/>
      <c r="D2521" s="92"/>
      <c r="E2521" s="96"/>
      <c r="F2521" s="97"/>
      <c r="G2521" s="94"/>
      <c r="H2521" s="96"/>
    </row>
    <row r="2522" spans="1:8" ht="15" x14ac:dyDescent="0.25">
      <c r="A2522" s="95"/>
      <c r="B2522" s="95"/>
      <c r="C2522" s="95"/>
      <c r="D2522" s="92"/>
      <c r="E2522" s="96"/>
      <c r="F2522" s="97"/>
      <c r="G2522" s="94"/>
      <c r="H2522" s="96"/>
    </row>
    <row r="2523" spans="1:8" ht="15" x14ac:dyDescent="0.25">
      <c r="A2523" s="95"/>
      <c r="B2523" s="95"/>
      <c r="C2523" s="95"/>
      <c r="D2523" s="92"/>
      <c r="E2523" s="96"/>
      <c r="F2523" s="97"/>
      <c r="G2523" s="94"/>
      <c r="H2523" s="96"/>
    </row>
    <row r="2524" spans="1:8" ht="15" x14ac:dyDescent="0.25">
      <c r="A2524" s="95"/>
      <c r="B2524" s="95"/>
      <c r="C2524" s="95"/>
      <c r="D2524" s="92"/>
      <c r="E2524" s="96"/>
      <c r="F2524" s="97"/>
      <c r="G2524" s="94"/>
      <c r="H2524" s="96"/>
    </row>
    <row r="2525" spans="1:8" ht="15" x14ac:dyDescent="0.25">
      <c r="A2525" s="95"/>
      <c r="B2525" s="95"/>
      <c r="C2525" s="95"/>
      <c r="D2525" s="92"/>
      <c r="E2525" s="96"/>
      <c r="F2525" s="97"/>
      <c r="G2525" s="94"/>
      <c r="H2525" s="96"/>
    </row>
    <row r="2526" spans="1:8" ht="15" x14ac:dyDescent="0.25">
      <c r="A2526" s="95"/>
      <c r="B2526" s="95"/>
      <c r="C2526" s="95"/>
      <c r="D2526" s="92"/>
      <c r="E2526" s="96"/>
      <c r="F2526" s="97"/>
      <c r="G2526" s="94"/>
      <c r="H2526" s="96"/>
    </row>
    <row r="2527" spans="1:8" ht="15" x14ac:dyDescent="0.25">
      <c r="A2527" s="95"/>
      <c r="B2527" s="95"/>
      <c r="C2527" s="95"/>
      <c r="D2527" s="92"/>
      <c r="E2527" s="96"/>
      <c r="F2527" s="97"/>
      <c r="G2527" s="94"/>
      <c r="H2527" s="96"/>
    </row>
    <row r="2528" spans="1:8" ht="15" x14ac:dyDescent="0.25">
      <c r="A2528" s="95"/>
      <c r="B2528" s="95"/>
      <c r="C2528" s="95"/>
      <c r="D2528" s="92"/>
      <c r="E2528" s="96"/>
      <c r="F2528" s="97"/>
      <c r="G2528" s="94"/>
      <c r="H2528" s="96"/>
    </row>
    <row r="2529" spans="1:8" ht="15" x14ac:dyDescent="0.25">
      <c r="A2529" s="95"/>
      <c r="B2529" s="95"/>
      <c r="C2529" s="95"/>
      <c r="D2529" s="92"/>
      <c r="E2529" s="96"/>
      <c r="F2529" s="97"/>
      <c r="G2529" s="94"/>
      <c r="H2529" s="96"/>
    </row>
    <row r="2530" spans="1:8" ht="15" x14ac:dyDescent="0.25">
      <c r="A2530" s="95"/>
      <c r="B2530" s="95"/>
      <c r="C2530" s="95"/>
      <c r="D2530" s="92"/>
      <c r="E2530" s="96"/>
      <c r="F2530" s="97"/>
      <c r="G2530" s="94"/>
      <c r="H2530" s="96"/>
    </row>
    <row r="2531" spans="1:8" ht="15" x14ac:dyDescent="0.25">
      <c r="A2531" s="95"/>
      <c r="B2531" s="95"/>
      <c r="C2531" s="95"/>
      <c r="D2531" s="92"/>
      <c r="E2531" s="96"/>
      <c r="F2531" s="97"/>
      <c r="G2531" s="94"/>
      <c r="H2531" s="96"/>
    </row>
    <row r="2532" spans="1:8" ht="15" x14ac:dyDescent="0.25">
      <c r="A2532" s="95"/>
      <c r="B2532" s="95"/>
      <c r="C2532" s="95"/>
      <c r="D2532" s="92"/>
      <c r="E2532" s="96"/>
      <c r="F2532" s="97"/>
      <c r="G2532" s="94"/>
      <c r="H2532" s="96"/>
    </row>
    <row r="2533" spans="1:8" ht="15" x14ac:dyDescent="0.25">
      <c r="A2533" s="95"/>
      <c r="B2533" s="95"/>
      <c r="C2533" s="95"/>
      <c r="D2533" s="92"/>
      <c r="E2533" s="96"/>
      <c r="F2533" s="97"/>
      <c r="G2533" s="94"/>
      <c r="H2533" s="96"/>
    </row>
    <row r="2534" spans="1:8" ht="15" x14ac:dyDescent="0.25">
      <c r="A2534" s="95"/>
      <c r="B2534" s="95"/>
      <c r="C2534" s="95"/>
      <c r="D2534" s="92"/>
      <c r="E2534" s="96"/>
      <c r="F2534" s="97"/>
      <c r="G2534" s="94"/>
      <c r="H2534" s="96"/>
    </row>
    <row r="2535" spans="1:8" ht="15" x14ac:dyDescent="0.25">
      <c r="A2535" s="95"/>
      <c r="B2535" s="95"/>
      <c r="C2535" s="95"/>
      <c r="D2535" s="92"/>
      <c r="E2535" s="96"/>
      <c r="F2535" s="97"/>
      <c r="G2535" s="94"/>
      <c r="H2535" s="96"/>
    </row>
    <row r="2536" spans="1:8" ht="15" x14ac:dyDescent="0.25">
      <c r="A2536" s="95"/>
      <c r="B2536" s="95"/>
      <c r="C2536" s="95"/>
      <c r="D2536" s="92"/>
      <c r="E2536" s="96"/>
      <c r="F2536" s="97"/>
      <c r="G2536" s="94"/>
      <c r="H2536" s="96"/>
    </row>
    <row r="2537" spans="1:8" ht="15" x14ac:dyDescent="0.25">
      <c r="A2537" s="95"/>
      <c r="B2537" s="95"/>
      <c r="C2537" s="95"/>
      <c r="D2537" s="92"/>
      <c r="E2537" s="96"/>
      <c r="F2537" s="97"/>
      <c r="G2537" s="94"/>
      <c r="H2537" s="96"/>
    </row>
    <row r="2538" spans="1:8" ht="15" x14ac:dyDescent="0.25">
      <c r="A2538" s="95"/>
      <c r="B2538" s="95"/>
      <c r="C2538" s="95"/>
      <c r="D2538" s="92"/>
      <c r="E2538" s="96"/>
      <c r="F2538" s="97"/>
      <c r="G2538" s="94"/>
      <c r="H2538" s="96"/>
    </row>
    <row r="2539" spans="1:8" ht="15" x14ac:dyDescent="0.25">
      <c r="A2539" s="95"/>
      <c r="B2539" s="95"/>
      <c r="C2539" s="95"/>
      <c r="D2539" s="92"/>
      <c r="E2539" s="96"/>
      <c r="F2539" s="97"/>
      <c r="G2539" s="94"/>
      <c r="H2539" s="96"/>
    </row>
    <row r="2540" spans="1:8" ht="15" x14ac:dyDescent="0.25">
      <c r="A2540" s="95"/>
      <c r="B2540" s="95"/>
      <c r="C2540" s="95"/>
      <c r="D2540" s="92"/>
      <c r="E2540" s="96"/>
      <c r="F2540" s="97"/>
      <c r="G2540" s="94"/>
      <c r="H2540" s="96"/>
    </row>
    <row r="2541" spans="1:8" ht="15" x14ac:dyDescent="0.25">
      <c r="A2541" s="95"/>
      <c r="B2541" s="95"/>
      <c r="C2541" s="95"/>
      <c r="D2541" s="92"/>
      <c r="E2541" s="96"/>
      <c r="F2541" s="97"/>
      <c r="G2541" s="94"/>
      <c r="H2541" s="96"/>
    </row>
    <row r="2542" spans="1:8" ht="15" x14ac:dyDescent="0.25">
      <c r="A2542" s="95"/>
      <c r="B2542" s="95"/>
      <c r="C2542" s="95"/>
      <c r="D2542" s="92"/>
      <c r="E2542" s="96"/>
      <c r="F2542" s="97"/>
      <c r="G2542" s="94"/>
      <c r="H2542" s="96"/>
    </row>
    <row r="2543" spans="1:8" ht="15" x14ac:dyDescent="0.25">
      <c r="A2543" s="95"/>
      <c r="B2543" s="95"/>
      <c r="C2543" s="95"/>
      <c r="D2543" s="92"/>
      <c r="E2543" s="96"/>
      <c r="F2543" s="97"/>
      <c r="G2543" s="94"/>
      <c r="H2543" s="96"/>
    </row>
    <row r="2544" spans="1:8" ht="15" x14ac:dyDescent="0.25">
      <c r="A2544" s="95"/>
      <c r="B2544" s="95"/>
      <c r="C2544" s="95"/>
      <c r="D2544" s="92"/>
      <c r="E2544" s="96"/>
      <c r="F2544" s="97"/>
      <c r="G2544" s="94"/>
      <c r="H2544" s="96"/>
    </row>
    <row r="2545" spans="1:8" ht="15" x14ac:dyDescent="0.25">
      <c r="A2545" s="95"/>
      <c r="B2545" s="95"/>
      <c r="C2545" s="95"/>
      <c r="D2545" s="92"/>
      <c r="E2545" s="96"/>
      <c r="F2545" s="97"/>
      <c r="G2545" s="94"/>
      <c r="H2545" s="96"/>
    </row>
    <row r="2546" spans="1:8" ht="15" x14ac:dyDescent="0.25">
      <c r="A2546" s="95"/>
      <c r="B2546" s="95"/>
      <c r="C2546" s="95"/>
      <c r="D2546" s="92"/>
      <c r="E2546" s="96"/>
      <c r="F2546" s="97"/>
      <c r="G2546" s="94"/>
      <c r="H2546" s="96"/>
    </row>
    <row r="2547" spans="1:8" ht="15" x14ac:dyDescent="0.25">
      <c r="A2547" s="95"/>
      <c r="B2547" s="95"/>
      <c r="C2547" s="95"/>
      <c r="D2547" s="92"/>
      <c r="E2547" s="96"/>
      <c r="F2547" s="97"/>
      <c r="G2547" s="94"/>
      <c r="H2547" s="96"/>
    </row>
    <row r="2548" spans="1:8" ht="15" x14ac:dyDescent="0.25">
      <c r="A2548" s="95"/>
      <c r="B2548" s="95"/>
      <c r="C2548" s="95"/>
      <c r="D2548" s="92"/>
      <c r="E2548" s="96"/>
      <c r="F2548" s="97"/>
      <c r="G2548" s="94"/>
      <c r="H2548" s="96"/>
    </row>
    <row r="2549" spans="1:8" ht="15" x14ac:dyDescent="0.25">
      <c r="A2549" s="95"/>
      <c r="B2549" s="95"/>
      <c r="C2549" s="95"/>
      <c r="D2549" s="92"/>
      <c r="E2549" s="96"/>
      <c r="F2549" s="97"/>
      <c r="G2549" s="94"/>
      <c r="H2549" s="96"/>
    </row>
    <row r="2550" spans="1:8" ht="15" x14ac:dyDescent="0.25">
      <c r="A2550" s="95"/>
      <c r="B2550" s="95"/>
      <c r="C2550" s="95"/>
      <c r="D2550" s="92"/>
      <c r="E2550" s="96"/>
      <c r="F2550" s="97"/>
      <c r="G2550" s="94"/>
      <c r="H2550" s="96"/>
    </row>
    <row r="2551" spans="1:8" ht="15" x14ac:dyDescent="0.25">
      <c r="A2551" s="95"/>
      <c r="B2551" s="95"/>
      <c r="C2551" s="95"/>
      <c r="D2551" s="92"/>
      <c r="E2551" s="96"/>
      <c r="F2551" s="97"/>
      <c r="G2551" s="94"/>
      <c r="H2551" s="96"/>
    </row>
    <row r="2552" spans="1:8" ht="15" x14ac:dyDescent="0.25">
      <c r="A2552" s="95"/>
      <c r="B2552" s="95"/>
      <c r="C2552" s="95"/>
      <c r="D2552" s="92"/>
      <c r="E2552" s="96"/>
      <c r="F2552" s="97"/>
      <c r="G2552" s="94"/>
      <c r="H2552" s="96"/>
    </row>
    <row r="2553" spans="1:8" ht="15" x14ac:dyDescent="0.25">
      <c r="A2553" s="95"/>
      <c r="B2553" s="95"/>
      <c r="C2553" s="95"/>
      <c r="D2553" s="92"/>
      <c r="E2553" s="96"/>
      <c r="F2553" s="97"/>
      <c r="G2553" s="94"/>
      <c r="H2553" s="96"/>
    </row>
    <row r="2554" spans="1:8" ht="15" x14ac:dyDescent="0.25">
      <c r="A2554" s="95"/>
      <c r="B2554" s="95"/>
      <c r="C2554" s="95"/>
      <c r="D2554" s="92"/>
      <c r="E2554" s="96"/>
      <c r="F2554" s="97"/>
      <c r="G2554" s="94"/>
      <c r="H2554" s="96"/>
    </row>
    <row r="2555" spans="1:8" ht="15" x14ac:dyDescent="0.25">
      <c r="A2555" s="95"/>
      <c r="B2555" s="95"/>
      <c r="C2555" s="95"/>
      <c r="D2555" s="92"/>
      <c r="E2555" s="96"/>
      <c r="F2555" s="97"/>
      <c r="G2555" s="94"/>
      <c r="H2555" s="96"/>
    </row>
    <row r="2556" spans="1:8" ht="15" x14ac:dyDescent="0.25">
      <c r="A2556" s="95"/>
      <c r="B2556" s="95"/>
      <c r="C2556" s="95"/>
      <c r="D2556" s="92"/>
      <c r="E2556" s="96"/>
      <c r="F2556" s="97"/>
      <c r="G2556" s="94"/>
      <c r="H2556" s="96"/>
    </row>
    <row r="2557" spans="1:8" ht="15" x14ac:dyDescent="0.25">
      <c r="A2557" s="95"/>
      <c r="B2557" s="95"/>
      <c r="C2557" s="95"/>
      <c r="D2557" s="92"/>
      <c r="E2557" s="96"/>
      <c r="F2557" s="97"/>
      <c r="G2557" s="94"/>
      <c r="H2557" s="96"/>
    </row>
    <row r="2558" spans="1:8" ht="15" x14ac:dyDescent="0.25">
      <c r="A2558" s="95"/>
      <c r="B2558" s="95"/>
      <c r="C2558" s="95"/>
      <c r="D2558" s="92"/>
      <c r="E2558" s="96"/>
      <c r="F2558" s="97"/>
      <c r="G2558" s="94"/>
      <c r="H2558" s="96"/>
    </row>
    <row r="2559" spans="1:8" ht="15" x14ac:dyDescent="0.25">
      <c r="A2559" s="95"/>
      <c r="B2559" s="95"/>
      <c r="C2559" s="95"/>
      <c r="D2559" s="92"/>
      <c r="E2559" s="96"/>
      <c r="F2559" s="97"/>
      <c r="G2559" s="94"/>
      <c r="H2559" s="96"/>
    </row>
    <row r="2560" spans="1:8" ht="15" x14ac:dyDescent="0.25">
      <c r="A2560" s="95"/>
      <c r="B2560" s="95"/>
      <c r="C2560" s="95"/>
      <c r="D2560" s="92"/>
      <c r="E2560" s="96"/>
      <c r="F2560" s="97"/>
      <c r="G2560" s="94"/>
      <c r="H2560" s="96"/>
    </row>
    <row r="2561" spans="1:8" ht="15" x14ac:dyDescent="0.25">
      <c r="A2561" s="95"/>
      <c r="B2561" s="95"/>
      <c r="C2561" s="95"/>
      <c r="D2561" s="92"/>
      <c r="E2561" s="96"/>
      <c r="F2561" s="97"/>
      <c r="G2561" s="94"/>
      <c r="H2561" s="96"/>
    </row>
    <row r="2562" spans="1:8" ht="15" x14ac:dyDescent="0.25">
      <c r="A2562" s="95"/>
      <c r="B2562" s="95"/>
      <c r="C2562" s="95"/>
      <c r="D2562" s="92"/>
      <c r="E2562" s="96"/>
      <c r="F2562" s="97"/>
      <c r="G2562" s="94"/>
      <c r="H2562" s="96"/>
    </row>
    <row r="2563" spans="1:8" ht="15" x14ac:dyDescent="0.25">
      <c r="A2563" s="95"/>
      <c r="B2563" s="95"/>
      <c r="C2563" s="95"/>
      <c r="D2563" s="92"/>
      <c r="E2563" s="96"/>
      <c r="F2563" s="97"/>
      <c r="G2563" s="94"/>
      <c r="H2563" s="96"/>
    </row>
    <row r="2564" spans="1:8" ht="15" x14ac:dyDescent="0.25">
      <c r="A2564" s="95"/>
      <c r="B2564" s="95"/>
      <c r="C2564" s="95"/>
      <c r="D2564" s="92"/>
      <c r="E2564" s="96"/>
      <c r="F2564" s="97"/>
      <c r="G2564" s="94"/>
      <c r="H2564" s="96"/>
    </row>
    <row r="2565" spans="1:8" ht="15" x14ac:dyDescent="0.25">
      <c r="A2565" s="95"/>
      <c r="B2565" s="95"/>
      <c r="C2565" s="95"/>
      <c r="D2565" s="92"/>
      <c r="E2565" s="96"/>
      <c r="F2565" s="97"/>
      <c r="G2565" s="94"/>
      <c r="H2565" s="96"/>
    </row>
    <row r="2566" spans="1:8" ht="15" x14ac:dyDescent="0.25">
      <c r="A2566" s="95"/>
      <c r="B2566" s="95"/>
      <c r="C2566" s="95"/>
      <c r="D2566" s="92"/>
      <c r="E2566" s="96"/>
      <c r="F2566" s="97"/>
      <c r="G2566" s="94"/>
      <c r="H2566" s="96"/>
    </row>
    <row r="2567" spans="1:8" ht="15" x14ac:dyDescent="0.25">
      <c r="A2567" s="95"/>
      <c r="B2567" s="95"/>
      <c r="C2567" s="95"/>
      <c r="D2567" s="92"/>
      <c r="E2567" s="96"/>
      <c r="F2567" s="97"/>
      <c r="G2567" s="94"/>
      <c r="H2567" s="96"/>
    </row>
    <row r="2568" spans="1:8" ht="15" x14ac:dyDescent="0.25">
      <c r="A2568" s="95"/>
      <c r="B2568" s="95"/>
      <c r="C2568" s="95"/>
      <c r="D2568" s="92"/>
      <c r="E2568" s="96"/>
      <c r="F2568" s="97"/>
      <c r="G2568" s="94"/>
      <c r="H2568" s="96"/>
    </row>
    <row r="2569" spans="1:8" ht="15" x14ac:dyDescent="0.25">
      <c r="A2569" s="95"/>
      <c r="B2569" s="95"/>
      <c r="C2569" s="95"/>
      <c r="D2569" s="92"/>
      <c r="E2569" s="96"/>
      <c r="F2569" s="97"/>
      <c r="G2569" s="94"/>
      <c r="H2569" s="96"/>
    </row>
    <row r="2570" spans="1:8" ht="15" x14ac:dyDescent="0.25">
      <c r="A2570" s="95"/>
      <c r="B2570" s="95"/>
      <c r="C2570" s="95"/>
      <c r="D2570" s="92"/>
      <c r="E2570" s="96"/>
      <c r="F2570" s="97"/>
      <c r="G2570" s="94"/>
      <c r="H2570" s="96"/>
    </row>
    <row r="2571" spans="1:8" ht="15" x14ac:dyDescent="0.25">
      <c r="A2571" s="95"/>
      <c r="B2571" s="95"/>
      <c r="C2571" s="95"/>
      <c r="D2571" s="92"/>
      <c r="E2571" s="96"/>
      <c r="F2571" s="97"/>
      <c r="G2571" s="94"/>
      <c r="H2571" s="96"/>
    </row>
    <row r="2572" spans="1:8" ht="15" x14ac:dyDescent="0.25">
      <c r="A2572" s="95"/>
      <c r="B2572" s="95"/>
      <c r="C2572" s="95"/>
      <c r="D2572" s="92"/>
      <c r="E2572" s="96"/>
      <c r="F2572" s="97"/>
      <c r="G2572" s="94"/>
      <c r="H2572" s="96"/>
    </row>
    <row r="2573" spans="1:8" ht="15" x14ac:dyDescent="0.25">
      <c r="A2573" s="95"/>
      <c r="B2573" s="95"/>
      <c r="C2573" s="95"/>
      <c r="D2573" s="92"/>
      <c r="E2573" s="96"/>
      <c r="F2573" s="97"/>
      <c r="G2573" s="94"/>
      <c r="H2573" s="96"/>
    </row>
    <row r="2574" spans="1:8" ht="15" x14ac:dyDescent="0.25">
      <c r="A2574" s="95"/>
      <c r="B2574" s="95"/>
      <c r="C2574" s="95"/>
      <c r="D2574" s="92"/>
      <c r="E2574" s="96"/>
      <c r="F2574" s="97"/>
      <c r="G2574" s="94"/>
      <c r="H2574" s="96"/>
    </row>
    <row r="2575" spans="1:8" ht="15" x14ac:dyDescent="0.25">
      <c r="A2575" s="95"/>
      <c r="B2575" s="95"/>
      <c r="C2575" s="95"/>
      <c r="D2575" s="92"/>
      <c r="E2575" s="96"/>
      <c r="F2575" s="97"/>
      <c r="G2575" s="94"/>
      <c r="H2575" s="96"/>
    </row>
    <row r="2576" spans="1:8" ht="15" x14ac:dyDescent="0.25">
      <c r="A2576" s="95"/>
      <c r="B2576" s="95"/>
      <c r="C2576" s="95"/>
      <c r="D2576" s="92"/>
      <c r="E2576" s="96"/>
      <c r="F2576" s="97"/>
      <c r="G2576" s="94"/>
      <c r="H2576" s="96"/>
    </row>
    <row r="2577" spans="1:8" ht="15" x14ac:dyDescent="0.25">
      <c r="A2577" s="95"/>
      <c r="B2577" s="95"/>
      <c r="C2577" s="95"/>
      <c r="D2577" s="92"/>
      <c r="E2577" s="96"/>
      <c r="F2577" s="97"/>
      <c r="G2577" s="94"/>
      <c r="H2577" s="96"/>
    </row>
    <row r="2578" spans="1:8" ht="15" x14ac:dyDescent="0.25">
      <c r="A2578" s="95"/>
      <c r="B2578" s="95"/>
      <c r="C2578" s="95"/>
      <c r="D2578" s="92"/>
      <c r="E2578" s="96"/>
      <c r="F2578" s="97"/>
      <c r="G2578" s="94"/>
      <c r="H2578" s="96"/>
    </row>
    <row r="2579" spans="1:8" ht="15" x14ac:dyDescent="0.25">
      <c r="A2579" s="95"/>
      <c r="B2579" s="95"/>
      <c r="C2579" s="95"/>
      <c r="D2579" s="92"/>
      <c r="E2579" s="96"/>
      <c r="F2579" s="97"/>
      <c r="G2579" s="94"/>
      <c r="H2579" s="96"/>
    </row>
    <row r="2580" spans="1:8" ht="15" x14ac:dyDescent="0.25">
      <c r="A2580" s="95"/>
      <c r="B2580" s="95"/>
      <c r="C2580" s="95"/>
      <c r="D2580" s="92"/>
      <c r="E2580" s="96"/>
      <c r="F2580" s="97"/>
      <c r="G2580" s="94"/>
      <c r="H2580" s="96"/>
    </row>
    <row r="2581" spans="1:8" ht="15" x14ac:dyDescent="0.25">
      <c r="A2581" s="95"/>
      <c r="B2581" s="95"/>
      <c r="C2581" s="95"/>
      <c r="D2581" s="92"/>
      <c r="E2581" s="96"/>
      <c r="F2581" s="97"/>
      <c r="G2581" s="94"/>
      <c r="H2581" s="96"/>
    </row>
    <row r="2582" spans="1:8" ht="15" x14ac:dyDescent="0.25">
      <c r="A2582" s="95"/>
      <c r="B2582" s="95"/>
      <c r="C2582" s="95"/>
      <c r="D2582" s="92"/>
      <c r="E2582" s="96"/>
      <c r="F2582" s="97"/>
      <c r="G2582" s="94"/>
      <c r="H2582" s="96"/>
    </row>
    <row r="2583" spans="1:8" ht="15" x14ac:dyDescent="0.25">
      <c r="A2583" s="95"/>
      <c r="B2583" s="95"/>
      <c r="C2583" s="95"/>
      <c r="D2583" s="92"/>
      <c r="E2583" s="96"/>
      <c r="F2583" s="97"/>
      <c r="G2583" s="94"/>
      <c r="H2583" s="96"/>
    </row>
    <row r="2584" spans="1:8" ht="15" x14ac:dyDescent="0.25">
      <c r="A2584" s="95"/>
      <c r="B2584" s="95"/>
      <c r="C2584" s="95"/>
      <c r="D2584" s="92"/>
      <c r="E2584" s="96"/>
      <c r="F2584" s="97"/>
      <c r="G2584" s="94"/>
      <c r="H2584" s="96"/>
    </row>
    <row r="2585" spans="1:8" ht="15" x14ac:dyDescent="0.25">
      <c r="A2585" s="95"/>
      <c r="B2585" s="95"/>
      <c r="C2585" s="95"/>
      <c r="D2585" s="92"/>
      <c r="E2585" s="96"/>
      <c r="F2585" s="97"/>
      <c r="G2585" s="94"/>
      <c r="H2585" s="96"/>
    </row>
    <row r="2586" spans="1:8" ht="15" x14ac:dyDescent="0.25">
      <c r="A2586" s="95"/>
      <c r="B2586" s="95"/>
      <c r="C2586" s="95"/>
      <c r="D2586" s="92"/>
      <c r="E2586" s="96"/>
      <c r="F2586" s="97"/>
      <c r="G2586" s="94"/>
      <c r="H2586" s="96"/>
    </row>
    <row r="2587" spans="1:8" ht="15" x14ac:dyDescent="0.25">
      <c r="A2587" s="95"/>
      <c r="B2587" s="95"/>
      <c r="C2587" s="95"/>
      <c r="D2587" s="92"/>
      <c r="E2587" s="96"/>
      <c r="F2587" s="97"/>
      <c r="G2587" s="94"/>
      <c r="H2587" s="96"/>
    </row>
    <row r="2588" spans="1:8" ht="15" x14ac:dyDescent="0.25">
      <c r="A2588" s="95"/>
      <c r="B2588" s="95"/>
      <c r="C2588" s="95"/>
      <c r="D2588" s="92"/>
      <c r="E2588" s="96"/>
      <c r="F2588" s="97"/>
      <c r="G2588" s="94"/>
      <c r="H2588" s="96"/>
    </row>
    <row r="2589" spans="1:8" ht="15" x14ac:dyDescent="0.25">
      <c r="A2589" s="95"/>
      <c r="B2589" s="95"/>
      <c r="C2589" s="95"/>
      <c r="D2589" s="92"/>
      <c r="E2589" s="96"/>
      <c r="F2589" s="97"/>
      <c r="G2589" s="94"/>
      <c r="H2589" s="96"/>
    </row>
    <row r="2590" spans="1:8" ht="15" x14ac:dyDescent="0.25">
      <c r="A2590" s="95"/>
      <c r="B2590" s="95"/>
      <c r="C2590" s="95"/>
      <c r="D2590" s="92"/>
      <c r="E2590" s="96"/>
      <c r="F2590" s="97"/>
      <c r="G2590" s="94"/>
      <c r="H2590" s="96"/>
    </row>
    <row r="2591" spans="1:8" ht="15" x14ac:dyDescent="0.25">
      <c r="A2591" s="95"/>
      <c r="B2591" s="95"/>
      <c r="C2591" s="95"/>
      <c r="D2591" s="92"/>
      <c r="E2591" s="96"/>
      <c r="F2591" s="97"/>
      <c r="G2591" s="94"/>
      <c r="H2591" s="96"/>
    </row>
    <row r="2592" spans="1:8" ht="15" x14ac:dyDescent="0.25">
      <c r="A2592" s="95"/>
      <c r="B2592" s="95"/>
      <c r="C2592" s="95"/>
      <c r="D2592" s="92"/>
      <c r="E2592" s="96"/>
      <c r="F2592" s="97"/>
      <c r="G2592" s="94"/>
      <c r="H2592" s="96"/>
    </row>
    <row r="2593" spans="1:8" ht="15" x14ac:dyDescent="0.25">
      <c r="A2593" s="95"/>
      <c r="B2593" s="95"/>
      <c r="C2593" s="95"/>
      <c r="D2593" s="92"/>
      <c r="E2593" s="96"/>
      <c r="F2593" s="97"/>
      <c r="G2593" s="94"/>
      <c r="H2593" s="96"/>
    </row>
    <row r="2594" spans="1:8" ht="15" x14ac:dyDescent="0.25">
      <c r="A2594" s="95"/>
      <c r="B2594" s="95"/>
      <c r="C2594" s="95"/>
      <c r="D2594" s="92"/>
      <c r="E2594" s="96"/>
      <c r="F2594" s="97"/>
      <c r="G2594" s="94"/>
      <c r="H2594" s="96"/>
    </row>
    <row r="2595" spans="1:8" ht="15" x14ac:dyDescent="0.25">
      <c r="A2595" s="95"/>
      <c r="B2595" s="95"/>
      <c r="C2595" s="95"/>
      <c r="D2595" s="92"/>
      <c r="E2595" s="96"/>
      <c r="F2595" s="97"/>
      <c r="G2595" s="94"/>
      <c r="H2595" s="96"/>
    </row>
    <row r="2596" spans="1:8" ht="15" x14ac:dyDescent="0.25">
      <c r="A2596" s="95"/>
      <c r="B2596" s="95"/>
      <c r="C2596" s="95"/>
      <c r="D2596" s="92"/>
      <c r="E2596" s="96"/>
      <c r="F2596" s="97"/>
      <c r="G2596" s="94"/>
      <c r="H2596" s="96"/>
    </row>
    <row r="2597" spans="1:8" ht="15" x14ac:dyDescent="0.25">
      <c r="A2597" s="95"/>
      <c r="B2597" s="95"/>
      <c r="C2597" s="95"/>
      <c r="D2597" s="92"/>
      <c r="E2597" s="96"/>
      <c r="F2597" s="97"/>
      <c r="G2597" s="94"/>
      <c r="H2597" s="96"/>
    </row>
    <row r="2598" spans="1:8" ht="15" x14ac:dyDescent="0.25">
      <c r="A2598" s="95"/>
      <c r="B2598" s="95"/>
      <c r="C2598" s="95"/>
      <c r="D2598" s="92"/>
      <c r="E2598" s="96"/>
      <c r="F2598" s="97"/>
      <c r="G2598" s="94"/>
      <c r="H2598" s="96"/>
    </row>
    <row r="2599" spans="1:8" ht="15" x14ac:dyDescent="0.25">
      <c r="A2599" s="95"/>
      <c r="B2599" s="95"/>
      <c r="C2599" s="95"/>
      <c r="D2599" s="92"/>
      <c r="E2599" s="96"/>
      <c r="F2599" s="97"/>
      <c r="G2599" s="94"/>
      <c r="H2599" s="96"/>
    </row>
    <row r="2600" spans="1:8" ht="15" x14ac:dyDescent="0.25">
      <c r="A2600" s="95"/>
      <c r="B2600" s="95"/>
      <c r="C2600" s="95"/>
      <c r="D2600" s="92"/>
      <c r="E2600" s="96"/>
      <c r="F2600" s="97"/>
      <c r="G2600" s="94"/>
      <c r="H2600" s="96"/>
    </row>
    <row r="2601" spans="1:8" ht="15" x14ac:dyDescent="0.25">
      <c r="A2601" s="95"/>
      <c r="B2601" s="95"/>
      <c r="C2601" s="95"/>
      <c r="D2601" s="92"/>
      <c r="E2601" s="96"/>
      <c r="F2601" s="97"/>
      <c r="G2601" s="94"/>
      <c r="H2601" s="96"/>
    </row>
    <row r="2602" spans="1:8" ht="15" x14ac:dyDescent="0.25">
      <c r="A2602" s="95"/>
      <c r="B2602" s="95"/>
      <c r="C2602" s="95"/>
      <c r="D2602" s="92"/>
      <c r="E2602" s="96"/>
      <c r="F2602" s="97"/>
      <c r="G2602" s="94"/>
      <c r="H2602" s="96"/>
    </row>
    <row r="2603" spans="1:8" ht="15" x14ac:dyDescent="0.25">
      <c r="A2603" s="95"/>
      <c r="B2603" s="95"/>
      <c r="C2603" s="95"/>
      <c r="D2603" s="92"/>
      <c r="E2603" s="96"/>
      <c r="F2603" s="97"/>
      <c r="G2603" s="94"/>
      <c r="H2603" s="96"/>
    </row>
    <row r="2604" spans="1:8" ht="15" x14ac:dyDescent="0.25">
      <c r="A2604" s="95"/>
      <c r="B2604" s="95"/>
      <c r="C2604" s="95"/>
      <c r="D2604" s="92"/>
      <c r="E2604" s="96"/>
      <c r="F2604" s="97"/>
      <c r="G2604" s="94"/>
      <c r="H2604" s="96"/>
    </row>
    <row r="2605" spans="1:8" ht="15" x14ac:dyDescent="0.25">
      <c r="A2605" s="95"/>
      <c r="B2605" s="95"/>
      <c r="C2605" s="95"/>
      <c r="D2605" s="92"/>
      <c r="E2605" s="96"/>
      <c r="F2605" s="97"/>
      <c r="G2605" s="94"/>
      <c r="H2605" s="96"/>
    </row>
    <row r="2606" spans="1:8" ht="15" x14ac:dyDescent="0.25">
      <c r="A2606" s="95"/>
      <c r="B2606" s="95"/>
      <c r="C2606" s="95"/>
      <c r="D2606" s="92"/>
      <c r="E2606" s="96"/>
      <c r="F2606" s="97"/>
      <c r="G2606" s="94"/>
      <c r="H2606" s="96"/>
    </row>
    <row r="2607" spans="1:8" ht="15" x14ac:dyDescent="0.25">
      <c r="A2607" s="95"/>
      <c r="B2607" s="95"/>
      <c r="C2607" s="95"/>
      <c r="D2607" s="92"/>
      <c r="E2607" s="96"/>
      <c r="F2607" s="97"/>
      <c r="G2607" s="94"/>
      <c r="H2607" s="96"/>
    </row>
    <row r="2608" spans="1:8" ht="15" x14ac:dyDescent="0.25">
      <c r="A2608" s="95"/>
      <c r="B2608" s="95"/>
      <c r="C2608" s="95"/>
      <c r="D2608" s="92"/>
      <c r="E2608" s="96"/>
      <c r="F2608" s="97"/>
      <c r="G2608" s="94"/>
      <c r="H2608" s="96"/>
    </row>
    <row r="2609" spans="1:8" ht="15" x14ac:dyDescent="0.25">
      <c r="A2609" s="95"/>
      <c r="B2609" s="95"/>
      <c r="C2609" s="95"/>
      <c r="D2609" s="92"/>
      <c r="E2609" s="96"/>
      <c r="F2609" s="97"/>
      <c r="G2609" s="94"/>
      <c r="H2609" s="96"/>
    </row>
    <row r="2610" spans="1:8" ht="15" x14ac:dyDescent="0.25">
      <c r="A2610" s="95"/>
      <c r="B2610" s="95"/>
      <c r="C2610" s="95"/>
      <c r="D2610" s="92"/>
      <c r="E2610" s="96"/>
      <c r="F2610" s="97"/>
      <c r="G2610" s="94"/>
      <c r="H2610" s="96"/>
    </row>
    <row r="2611" spans="1:8" ht="15" x14ac:dyDescent="0.25">
      <c r="A2611" s="95"/>
      <c r="B2611" s="95"/>
      <c r="C2611" s="95"/>
      <c r="D2611" s="92"/>
      <c r="E2611" s="96"/>
      <c r="F2611" s="97"/>
      <c r="G2611" s="94"/>
      <c r="H2611" s="96"/>
    </row>
    <row r="2612" spans="1:8" ht="15" x14ac:dyDescent="0.25">
      <c r="A2612" s="95"/>
      <c r="B2612" s="95"/>
      <c r="C2612" s="95"/>
      <c r="D2612" s="92"/>
      <c r="E2612" s="96"/>
      <c r="F2612" s="97"/>
      <c r="G2612" s="94"/>
      <c r="H2612" s="96"/>
    </row>
    <row r="2613" spans="1:8" ht="15" x14ac:dyDescent="0.25">
      <c r="A2613" s="95"/>
      <c r="B2613" s="95"/>
      <c r="C2613" s="95"/>
      <c r="D2613" s="92"/>
      <c r="E2613" s="96"/>
      <c r="F2613" s="97"/>
      <c r="G2613" s="94"/>
      <c r="H2613" s="96"/>
    </row>
    <row r="2614" spans="1:8" ht="15" x14ac:dyDescent="0.25">
      <c r="A2614" s="95"/>
      <c r="B2614" s="95"/>
      <c r="C2614" s="95"/>
      <c r="D2614" s="92"/>
      <c r="E2614" s="96"/>
      <c r="F2614" s="97"/>
      <c r="G2614" s="94"/>
      <c r="H2614" s="96"/>
    </row>
    <row r="2615" spans="1:8" ht="15" x14ac:dyDescent="0.25">
      <c r="A2615" s="95"/>
      <c r="B2615" s="95"/>
      <c r="C2615" s="95"/>
      <c r="D2615" s="92"/>
      <c r="E2615" s="96"/>
      <c r="F2615" s="97"/>
      <c r="G2615" s="94"/>
      <c r="H2615" s="96"/>
    </row>
    <row r="2616" spans="1:8" ht="15" x14ac:dyDescent="0.25">
      <c r="A2616" s="95"/>
      <c r="B2616" s="95"/>
      <c r="C2616" s="95"/>
      <c r="D2616" s="92"/>
      <c r="E2616" s="96"/>
      <c r="F2616" s="97"/>
      <c r="G2616" s="94"/>
      <c r="H2616" s="96"/>
    </row>
    <row r="2617" spans="1:8" ht="15" x14ac:dyDescent="0.25">
      <c r="A2617" s="95"/>
      <c r="B2617" s="95"/>
      <c r="C2617" s="95"/>
      <c r="D2617" s="92"/>
      <c r="E2617" s="96"/>
      <c r="F2617" s="97"/>
      <c r="G2617" s="94"/>
      <c r="H2617" s="96"/>
    </row>
    <row r="2618" spans="1:8" ht="15" x14ac:dyDescent="0.25">
      <c r="A2618" s="95"/>
      <c r="B2618" s="95"/>
      <c r="C2618" s="95"/>
      <c r="D2618" s="92"/>
      <c r="E2618" s="96"/>
      <c r="F2618" s="97"/>
      <c r="G2618" s="94"/>
      <c r="H2618" s="96"/>
    </row>
    <row r="2619" spans="1:8" ht="15" x14ac:dyDescent="0.25">
      <c r="A2619" s="95"/>
      <c r="B2619" s="95"/>
      <c r="C2619" s="95"/>
      <c r="D2619" s="92"/>
      <c r="E2619" s="96"/>
      <c r="F2619" s="97"/>
      <c r="G2619" s="94"/>
      <c r="H2619" s="96"/>
    </row>
    <row r="2620" spans="1:8" ht="15" x14ac:dyDescent="0.25">
      <c r="A2620" s="95"/>
      <c r="B2620" s="95"/>
      <c r="C2620" s="95"/>
      <c r="D2620" s="92"/>
      <c r="E2620" s="96"/>
      <c r="F2620" s="97"/>
      <c r="G2620" s="94"/>
      <c r="H2620" s="96"/>
    </row>
    <row r="2621" spans="1:8" ht="15" x14ac:dyDescent="0.25">
      <c r="A2621" s="95"/>
      <c r="B2621" s="95"/>
      <c r="C2621" s="95"/>
      <c r="D2621" s="92"/>
      <c r="E2621" s="96"/>
      <c r="F2621" s="97"/>
      <c r="G2621" s="94"/>
      <c r="H2621" s="96"/>
    </row>
    <row r="2622" spans="1:8" ht="15" x14ac:dyDescent="0.25">
      <c r="A2622" s="95"/>
      <c r="B2622" s="95"/>
      <c r="C2622" s="95"/>
      <c r="D2622" s="92"/>
      <c r="E2622" s="96"/>
      <c r="F2622" s="97"/>
      <c r="G2622" s="94"/>
      <c r="H2622" s="96"/>
    </row>
    <row r="2623" spans="1:8" ht="15" x14ac:dyDescent="0.25">
      <c r="A2623" s="95"/>
      <c r="B2623" s="95"/>
      <c r="C2623" s="95"/>
      <c r="D2623" s="92"/>
      <c r="E2623" s="96"/>
      <c r="F2623" s="97"/>
      <c r="G2623" s="94"/>
      <c r="H2623" s="96"/>
    </row>
    <row r="2624" spans="1:8" ht="15" x14ac:dyDescent="0.25">
      <c r="A2624" s="95"/>
      <c r="B2624" s="95"/>
      <c r="C2624" s="95"/>
      <c r="D2624" s="92"/>
      <c r="E2624" s="96"/>
      <c r="F2624" s="97"/>
      <c r="G2624" s="94"/>
      <c r="H2624" s="96"/>
    </row>
    <row r="2625" spans="1:8" ht="15" x14ac:dyDescent="0.25">
      <c r="A2625" s="95"/>
      <c r="B2625" s="95"/>
      <c r="C2625" s="95"/>
      <c r="D2625" s="92"/>
      <c r="E2625" s="96"/>
      <c r="F2625" s="97"/>
      <c r="G2625" s="94"/>
      <c r="H2625" s="96"/>
    </row>
    <row r="2626" spans="1:8" ht="15" x14ac:dyDescent="0.25">
      <c r="A2626" s="95"/>
      <c r="B2626" s="95"/>
      <c r="C2626" s="95"/>
      <c r="D2626" s="92"/>
      <c r="E2626" s="96"/>
      <c r="F2626" s="97"/>
      <c r="G2626" s="94"/>
      <c r="H2626" s="96"/>
    </row>
    <row r="2627" spans="1:8" ht="15" x14ac:dyDescent="0.25">
      <c r="A2627" s="95"/>
      <c r="B2627" s="95"/>
      <c r="C2627" s="95"/>
      <c r="D2627" s="92"/>
      <c r="E2627" s="96"/>
      <c r="F2627" s="97"/>
      <c r="G2627" s="94"/>
      <c r="H2627" s="96"/>
    </row>
    <row r="2628" spans="1:8" ht="15" x14ac:dyDescent="0.25">
      <c r="A2628" s="95"/>
      <c r="B2628" s="95"/>
      <c r="C2628" s="95"/>
      <c r="D2628" s="92"/>
      <c r="E2628" s="96"/>
      <c r="F2628" s="97"/>
      <c r="G2628" s="94"/>
      <c r="H2628" s="96"/>
    </row>
    <row r="2629" spans="1:8" ht="15" x14ac:dyDescent="0.25">
      <c r="A2629" s="95"/>
      <c r="B2629" s="95"/>
      <c r="C2629" s="95"/>
      <c r="D2629" s="92"/>
      <c r="E2629" s="96"/>
      <c r="F2629" s="97"/>
      <c r="G2629" s="94"/>
      <c r="H2629" s="96"/>
    </row>
    <row r="2630" spans="1:8" ht="15" x14ac:dyDescent="0.25">
      <c r="A2630" s="95"/>
      <c r="B2630" s="95"/>
      <c r="C2630" s="95"/>
      <c r="D2630" s="92"/>
      <c r="E2630" s="96"/>
      <c r="F2630" s="97"/>
      <c r="G2630" s="94"/>
      <c r="H2630" s="96"/>
    </row>
    <row r="2631" spans="1:8" ht="15" x14ac:dyDescent="0.25">
      <c r="A2631" s="95"/>
      <c r="B2631" s="95"/>
      <c r="C2631" s="95"/>
      <c r="D2631" s="92"/>
      <c r="E2631" s="96"/>
      <c r="F2631" s="97"/>
      <c r="G2631" s="94"/>
      <c r="H2631" s="96"/>
    </row>
    <row r="2632" spans="1:8" ht="15" x14ac:dyDescent="0.25">
      <c r="A2632" s="95"/>
      <c r="B2632" s="95"/>
      <c r="C2632" s="95"/>
      <c r="D2632" s="92"/>
      <c r="E2632" s="96"/>
      <c r="F2632" s="97"/>
      <c r="G2632" s="94"/>
      <c r="H2632" s="96"/>
    </row>
    <row r="2633" spans="1:8" ht="15" x14ac:dyDescent="0.25">
      <c r="A2633" s="95"/>
      <c r="B2633" s="95"/>
      <c r="C2633" s="95"/>
      <c r="D2633" s="92"/>
      <c r="E2633" s="96"/>
      <c r="F2633" s="97"/>
      <c r="G2633" s="94"/>
      <c r="H2633" s="96"/>
    </row>
    <row r="2634" spans="1:8" ht="15" x14ac:dyDescent="0.25">
      <c r="A2634" s="95"/>
      <c r="B2634" s="95"/>
      <c r="C2634" s="95"/>
      <c r="D2634" s="92"/>
      <c r="E2634" s="96"/>
      <c r="F2634" s="97"/>
      <c r="G2634" s="94"/>
      <c r="H2634" s="96"/>
    </row>
    <row r="2635" spans="1:8" ht="15" x14ac:dyDescent="0.25">
      <c r="A2635" s="95"/>
      <c r="B2635" s="95"/>
      <c r="C2635" s="95"/>
      <c r="D2635" s="92"/>
      <c r="E2635" s="96"/>
      <c r="F2635" s="97"/>
      <c r="G2635" s="94"/>
      <c r="H2635" s="96"/>
    </row>
    <row r="2636" spans="1:8" ht="15" x14ac:dyDescent="0.25">
      <c r="A2636" s="95"/>
      <c r="B2636" s="95"/>
      <c r="C2636" s="95"/>
      <c r="D2636" s="92"/>
      <c r="E2636" s="96"/>
      <c r="F2636" s="97"/>
      <c r="G2636" s="94"/>
      <c r="H2636" s="96"/>
    </row>
    <row r="2637" spans="1:8" ht="15" x14ac:dyDescent="0.25">
      <c r="A2637" s="95"/>
      <c r="B2637" s="95"/>
      <c r="C2637" s="95"/>
      <c r="D2637" s="92"/>
      <c r="E2637" s="96"/>
      <c r="F2637" s="97"/>
      <c r="G2637" s="94"/>
      <c r="H2637" s="96"/>
    </row>
    <row r="2638" spans="1:8" ht="15" x14ac:dyDescent="0.25">
      <c r="A2638" s="95"/>
      <c r="B2638" s="95"/>
      <c r="C2638" s="95"/>
      <c r="D2638" s="92"/>
      <c r="E2638" s="96"/>
      <c r="F2638" s="97"/>
      <c r="G2638" s="94"/>
      <c r="H2638" s="96"/>
    </row>
    <row r="2639" spans="1:8" ht="15" x14ac:dyDescent="0.25">
      <c r="A2639" s="95"/>
      <c r="B2639" s="95"/>
      <c r="C2639" s="95"/>
      <c r="D2639" s="92"/>
      <c r="E2639" s="96"/>
      <c r="F2639" s="97"/>
      <c r="G2639" s="94"/>
      <c r="H2639" s="96"/>
    </row>
    <row r="2640" spans="1:8" ht="15" x14ac:dyDescent="0.25">
      <c r="A2640" s="95"/>
      <c r="B2640" s="95"/>
      <c r="C2640" s="95"/>
      <c r="D2640" s="92"/>
      <c r="E2640" s="96"/>
      <c r="F2640" s="97"/>
      <c r="G2640" s="94"/>
      <c r="H2640" s="96"/>
    </row>
    <row r="2641" spans="1:8" ht="15" x14ac:dyDescent="0.25">
      <c r="A2641" s="95"/>
      <c r="B2641" s="95"/>
      <c r="C2641" s="95"/>
      <c r="D2641" s="92"/>
      <c r="E2641" s="96"/>
      <c r="F2641" s="97"/>
      <c r="G2641" s="94"/>
      <c r="H2641" s="96"/>
    </row>
    <row r="2642" spans="1:8" ht="15" x14ac:dyDescent="0.25">
      <c r="A2642" s="95"/>
      <c r="B2642" s="95"/>
      <c r="C2642" s="95"/>
      <c r="D2642" s="92"/>
      <c r="E2642" s="96"/>
      <c r="F2642" s="97"/>
      <c r="G2642" s="94"/>
      <c r="H2642" s="96"/>
    </row>
    <row r="2643" spans="1:8" ht="15" x14ac:dyDescent="0.25">
      <c r="A2643" s="95"/>
      <c r="B2643" s="95"/>
      <c r="C2643" s="95"/>
      <c r="D2643" s="92"/>
      <c r="E2643" s="96"/>
      <c r="F2643" s="97"/>
      <c r="G2643" s="94"/>
      <c r="H2643" s="96"/>
    </row>
    <row r="2644" spans="1:8" ht="15" x14ac:dyDescent="0.25">
      <c r="A2644" s="95"/>
      <c r="B2644" s="95"/>
      <c r="C2644" s="95"/>
      <c r="D2644" s="92"/>
      <c r="E2644" s="96"/>
      <c r="F2644" s="97"/>
      <c r="G2644" s="94"/>
      <c r="H2644" s="96"/>
    </row>
    <row r="2645" spans="1:8" ht="15" x14ac:dyDescent="0.25">
      <c r="A2645" s="95"/>
      <c r="B2645" s="95"/>
      <c r="C2645" s="95"/>
      <c r="D2645" s="92"/>
      <c r="E2645" s="96"/>
      <c r="F2645" s="97"/>
      <c r="G2645" s="94"/>
      <c r="H2645" s="96"/>
    </row>
    <row r="2646" spans="1:8" ht="15" x14ac:dyDescent="0.25">
      <c r="A2646" s="95"/>
      <c r="B2646" s="95"/>
      <c r="C2646" s="95"/>
      <c r="D2646" s="92"/>
      <c r="E2646" s="96"/>
      <c r="F2646" s="97"/>
      <c r="G2646" s="94"/>
      <c r="H2646" s="96"/>
    </row>
    <row r="2647" spans="1:8" ht="15" x14ac:dyDescent="0.25">
      <c r="A2647" s="95"/>
      <c r="B2647" s="95"/>
      <c r="C2647" s="95"/>
      <c r="D2647" s="92"/>
      <c r="E2647" s="96"/>
      <c r="F2647" s="97"/>
      <c r="G2647" s="94"/>
      <c r="H2647" s="96"/>
    </row>
    <row r="2648" spans="1:8" ht="15" x14ac:dyDescent="0.25">
      <c r="A2648" s="95"/>
      <c r="B2648" s="95"/>
      <c r="C2648" s="95"/>
      <c r="D2648" s="92"/>
      <c r="E2648" s="96"/>
      <c r="F2648" s="97"/>
      <c r="G2648" s="94"/>
      <c r="H2648" s="96"/>
    </row>
    <row r="2649" spans="1:8" ht="15" x14ac:dyDescent="0.25">
      <c r="A2649" s="95"/>
      <c r="B2649" s="95"/>
      <c r="C2649" s="95"/>
      <c r="D2649" s="92"/>
      <c r="E2649" s="96"/>
      <c r="F2649" s="97"/>
      <c r="G2649" s="94"/>
      <c r="H2649" s="96"/>
    </row>
    <row r="2650" spans="1:8" ht="15" x14ac:dyDescent="0.25">
      <c r="A2650" s="95"/>
      <c r="B2650" s="95"/>
      <c r="C2650" s="95"/>
      <c r="D2650" s="92"/>
      <c r="E2650" s="96"/>
      <c r="F2650" s="97"/>
      <c r="G2650" s="94"/>
      <c r="H2650" s="96"/>
    </row>
    <row r="2651" spans="1:8" ht="15" x14ac:dyDescent="0.25">
      <c r="A2651" s="95"/>
      <c r="B2651" s="95"/>
      <c r="C2651" s="95"/>
      <c r="D2651" s="92"/>
      <c r="E2651" s="96"/>
      <c r="F2651" s="97"/>
      <c r="G2651" s="94"/>
      <c r="H2651" s="96"/>
    </row>
    <row r="2652" spans="1:8" ht="15" x14ac:dyDescent="0.25">
      <c r="A2652" s="95"/>
      <c r="B2652" s="95"/>
      <c r="C2652" s="95"/>
      <c r="D2652" s="92"/>
      <c r="E2652" s="96"/>
      <c r="F2652" s="97"/>
      <c r="G2652" s="94"/>
      <c r="H2652" s="96"/>
    </row>
    <row r="2653" spans="1:8" ht="15" x14ac:dyDescent="0.25">
      <c r="A2653" s="95"/>
      <c r="B2653" s="95"/>
      <c r="C2653" s="95"/>
      <c r="D2653" s="92"/>
      <c r="E2653" s="96"/>
      <c r="F2653" s="97"/>
      <c r="G2653" s="94"/>
      <c r="H2653" s="96"/>
    </row>
    <row r="2654" spans="1:8" ht="15" x14ac:dyDescent="0.25">
      <c r="A2654" s="95"/>
      <c r="B2654" s="95"/>
      <c r="C2654" s="95"/>
      <c r="D2654" s="92"/>
      <c r="E2654" s="96"/>
      <c r="F2654" s="97"/>
      <c r="G2654" s="94"/>
      <c r="H2654" s="96"/>
    </row>
    <row r="2655" spans="1:8" ht="15" x14ac:dyDescent="0.25">
      <c r="A2655" s="95"/>
      <c r="B2655" s="95"/>
      <c r="C2655" s="95"/>
      <c r="D2655" s="92"/>
      <c r="E2655" s="96"/>
      <c r="F2655" s="97"/>
      <c r="G2655" s="94"/>
      <c r="H2655" s="96"/>
    </row>
    <row r="2656" spans="1:8" ht="15" x14ac:dyDescent="0.25">
      <c r="A2656" s="95"/>
      <c r="B2656" s="95"/>
      <c r="C2656" s="95"/>
      <c r="D2656" s="92"/>
      <c r="E2656" s="96"/>
      <c r="F2656" s="97"/>
      <c r="G2656" s="94"/>
      <c r="H2656" s="96"/>
    </row>
    <row r="2657" spans="1:8" ht="15" x14ac:dyDescent="0.25">
      <c r="A2657" s="95"/>
      <c r="B2657" s="95"/>
      <c r="C2657" s="95"/>
      <c r="D2657" s="92"/>
      <c r="E2657" s="96"/>
      <c r="F2657" s="97"/>
      <c r="G2657" s="94"/>
      <c r="H2657" s="96"/>
    </row>
    <row r="2658" spans="1:8" ht="15" x14ac:dyDescent="0.25">
      <c r="A2658" s="95"/>
      <c r="B2658" s="95"/>
      <c r="C2658" s="95"/>
      <c r="D2658" s="92"/>
      <c r="E2658" s="96"/>
      <c r="F2658" s="97"/>
      <c r="G2658" s="94"/>
      <c r="H2658" s="96"/>
    </row>
    <row r="2659" spans="1:8" ht="15" x14ac:dyDescent="0.25">
      <c r="A2659" s="95"/>
      <c r="B2659" s="95"/>
      <c r="C2659" s="95"/>
      <c r="D2659" s="92"/>
      <c r="E2659" s="96"/>
      <c r="F2659" s="97"/>
      <c r="G2659" s="94"/>
      <c r="H2659" s="96"/>
    </row>
    <row r="2660" spans="1:8" ht="15" x14ac:dyDescent="0.25">
      <c r="A2660" s="95"/>
      <c r="B2660" s="95"/>
      <c r="C2660" s="95"/>
      <c r="D2660" s="92"/>
      <c r="E2660" s="96"/>
      <c r="F2660" s="97"/>
      <c r="G2660" s="94"/>
      <c r="H2660" s="96"/>
    </row>
    <row r="2661" spans="1:8" ht="15" x14ac:dyDescent="0.25">
      <c r="A2661" s="95"/>
      <c r="B2661" s="95"/>
      <c r="C2661" s="95"/>
      <c r="D2661" s="92"/>
      <c r="E2661" s="96"/>
      <c r="F2661" s="97"/>
      <c r="G2661" s="94"/>
      <c r="H2661" s="96"/>
    </row>
    <row r="2662" spans="1:8" ht="15" x14ac:dyDescent="0.25">
      <c r="A2662" s="95"/>
      <c r="B2662" s="95"/>
      <c r="C2662" s="95"/>
      <c r="D2662" s="92"/>
      <c r="E2662" s="96"/>
      <c r="F2662" s="97"/>
      <c r="G2662" s="94"/>
      <c r="H2662" s="96"/>
    </row>
    <row r="2663" spans="1:8" ht="15" x14ac:dyDescent="0.25">
      <c r="A2663" s="95"/>
      <c r="B2663" s="95"/>
      <c r="C2663" s="95"/>
      <c r="D2663" s="92"/>
      <c r="E2663" s="96"/>
      <c r="F2663" s="97"/>
      <c r="G2663" s="94"/>
      <c r="H2663" s="96"/>
    </row>
    <row r="2664" spans="1:8" ht="15" x14ac:dyDescent="0.25">
      <c r="A2664" s="95"/>
      <c r="B2664" s="95"/>
      <c r="C2664" s="95"/>
      <c r="D2664" s="92"/>
      <c r="E2664" s="96"/>
      <c r="F2664" s="97"/>
      <c r="G2664" s="94"/>
      <c r="H2664" s="96"/>
    </row>
    <row r="2665" spans="1:8" ht="15" x14ac:dyDescent="0.25">
      <c r="A2665" s="95"/>
      <c r="B2665" s="95"/>
      <c r="C2665" s="95"/>
      <c r="D2665" s="92"/>
      <c r="E2665" s="96"/>
      <c r="F2665" s="97"/>
      <c r="G2665" s="94"/>
      <c r="H2665" s="96"/>
    </row>
    <row r="2666" spans="1:8" ht="15" x14ac:dyDescent="0.25">
      <c r="A2666" s="95"/>
      <c r="B2666" s="95"/>
      <c r="C2666" s="95"/>
      <c r="D2666" s="92"/>
      <c r="E2666" s="96"/>
      <c r="F2666" s="97"/>
      <c r="G2666" s="94"/>
      <c r="H2666" s="96"/>
    </row>
    <row r="2667" spans="1:8" ht="15" x14ac:dyDescent="0.25">
      <c r="A2667" s="95"/>
      <c r="B2667" s="95"/>
      <c r="C2667" s="95"/>
      <c r="D2667" s="92"/>
      <c r="E2667" s="96"/>
      <c r="F2667" s="97"/>
      <c r="G2667" s="94"/>
      <c r="H2667" s="96"/>
    </row>
    <row r="2668" spans="1:8" ht="15" x14ac:dyDescent="0.25">
      <c r="A2668" s="95"/>
      <c r="B2668" s="95"/>
      <c r="C2668" s="95"/>
      <c r="D2668" s="92"/>
      <c r="E2668" s="96"/>
      <c r="F2668" s="97"/>
      <c r="G2668" s="94"/>
      <c r="H2668" s="96"/>
    </row>
    <row r="2669" spans="1:8" ht="15" x14ac:dyDescent="0.25">
      <c r="A2669" s="95"/>
      <c r="B2669" s="95"/>
      <c r="C2669" s="95"/>
      <c r="D2669" s="92"/>
      <c r="E2669" s="96"/>
      <c r="F2669" s="97"/>
      <c r="G2669" s="94"/>
      <c r="H2669" s="96"/>
    </row>
    <row r="2670" spans="1:8" ht="15" x14ac:dyDescent="0.25">
      <c r="A2670" s="95"/>
      <c r="B2670" s="95"/>
      <c r="C2670" s="95"/>
      <c r="D2670" s="92"/>
      <c r="E2670" s="96"/>
      <c r="F2670" s="97"/>
      <c r="G2670" s="94"/>
      <c r="H2670" s="96"/>
    </row>
    <row r="2671" spans="1:8" ht="15" x14ac:dyDescent="0.25">
      <c r="A2671" s="95"/>
      <c r="B2671" s="95"/>
      <c r="C2671" s="95"/>
      <c r="D2671" s="92"/>
      <c r="E2671" s="96"/>
      <c r="F2671" s="97"/>
      <c r="G2671" s="94"/>
      <c r="H2671" s="96"/>
    </row>
    <row r="2672" spans="1:8" ht="15" x14ac:dyDescent="0.25">
      <c r="A2672" s="95"/>
      <c r="B2672" s="95"/>
      <c r="C2672" s="95"/>
      <c r="D2672" s="92"/>
      <c r="E2672" s="96"/>
      <c r="F2672" s="97"/>
      <c r="G2672" s="94"/>
      <c r="H2672" s="96"/>
    </row>
    <row r="2673" spans="1:8" ht="15" x14ac:dyDescent="0.25">
      <c r="A2673" s="95"/>
      <c r="B2673" s="95"/>
      <c r="C2673" s="95"/>
      <c r="D2673" s="92"/>
      <c r="E2673" s="96"/>
      <c r="F2673" s="97"/>
      <c r="G2673" s="94"/>
      <c r="H2673" s="96"/>
    </row>
    <row r="2674" spans="1:8" ht="15" x14ac:dyDescent="0.25">
      <c r="A2674" s="95"/>
      <c r="B2674" s="95"/>
      <c r="C2674" s="95"/>
      <c r="D2674" s="92"/>
      <c r="E2674" s="96"/>
      <c r="F2674" s="97"/>
      <c r="G2674" s="94"/>
      <c r="H2674" s="96"/>
    </row>
    <row r="2675" spans="1:8" ht="15" x14ac:dyDescent="0.25">
      <c r="A2675" s="95"/>
      <c r="B2675" s="95"/>
      <c r="C2675" s="95"/>
      <c r="D2675" s="92"/>
      <c r="E2675" s="96"/>
      <c r="F2675" s="97"/>
      <c r="G2675" s="94"/>
      <c r="H2675" s="96"/>
    </row>
    <row r="2676" spans="1:8" ht="15" x14ac:dyDescent="0.25">
      <c r="A2676" s="95"/>
      <c r="B2676" s="95"/>
      <c r="C2676" s="95"/>
      <c r="D2676" s="92"/>
      <c r="E2676" s="96"/>
      <c r="F2676" s="97"/>
      <c r="G2676" s="94"/>
      <c r="H2676" s="96"/>
    </row>
    <row r="2677" spans="1:8" ht="15" x14ac:dyDescent="0.25">
      <c r="A2677" s="95"/>
      <c r="B2677" s="95"/>
      <c r="C2677" s="95"/>
      <c r="D2677" s="92"/>
      <c r="E2677" s="96"/>
      <c r="F2677" s="97"/>
      <c r="G2677" s="94"/>
      <c r="H2677" s="96"/>
    </row>
    <row r="2678" spans="1:8" ht="15" x14ac:dyDescent="0.25">
      <c r="A2678" s="95"/>
      <c r="B2678" s="95"/>
      <c r="C2678" s="95"/>
      <c r="D2678" s="92"/>
      <c r="E2678" s="96"/>
      <c r="F2678" s="97"/>
      <c r="G2678" s="94"/>
      <c r="H2678" s="96"/>
    </row>
    <row r="2679" spans="1:8" ht="15" x14ac:dyDescent="0.25">
      <c r="A2679" s="95"/>
      <c r="B2679" s="95"/>
      <c r="C2679" s="95"/>
      <c r="D2679" s="92"/>
      <c r="E2679" s="96"/>
      <c r="F2679" s="97"/>
      <c r="G2679" s="94"/>
      <c r="H2679" s="96"/>
    </row>
    <row r="2680" spans="1:8" ht="15" x14ac:dyDescent="0.25">
      <c r="A2680" s="95"/>
      <c r="B2680" s="95"/>
      <c r="C2680" s="95"/>
      <c r="D2680" s="92"/>
      <c r="E2680" s="96"/>
      <c r="F2680" s="97"/>
      <c r="G2680" s="94"/>
      <c r="H2680" s="96"/>
    </row>
    <row r="2681" spans="1:8" ht="15" x14ac:dyDescent="0.25">
      <c r="A2681" s="95"/>
      <c r="B2681" s="95"/>
      <c r="C2681" s="95"/>
      <c r="D2681" s="92"/>
      <c r="E2681" s="96"/>
      <c r="F2681" s="97"/>
      <c r="G2681" s="94"/>
      <c r="H2681" s="96"/>
    </row>
    <row r="2682" spans="1:8" ht="15" x14ac:dyDescent="0.25">
      <c r="A2682" s="95"/>
      <c r="B2682" s="95"/>
      <c r="C2682" s="95"/>
      <c r="D2682" s="92"/>
      <c r="E2682" s="96"/>
      <c r="F2682" s="97"/>
      <c r="G2682" s="94"/>
      <c r="H2682" s="96"/>
    </row>
    <row r="2683" spans="1:8" ht="15" x14ac:dyDescent="0.25">
      <c r="A2683" s="95"/>
      <c r="B2683" s="95"/>
      <c r="C2683" s="95"/>
      <c r="D2683" s="92"/>
      <c r="E2683" s="96"/>
      <c r="F2683" s="97"/>
      <c r="G2683" s="94"/>
      <c r="H2683" s="96"/>
    </row>
    <row r="2684" spans="1:8" ht="15" x14ac:dyDescent="0.25">
      <c r="A2684" s="95"/>
      <c r="B2684" s="95"/>
      <c r="C2684" s="95"/>
      <c r="D2684" s="92"/>
      <c r="E2684" s="96"/>
      <c r="F2684" s="97"/>
      <c r="G2684" s="94"/>
      <c r="H2684" s="96"/>
    </row>
    <row r="2685" spans="1:8" ht="15" x14ac:dyDescent="0.25">
      <c r="A2685" s="95"/>
      <c r="B2685" s="95"/>
      <c r="C2685" s="95"/>
      <c r="D2685" s="92"/>
      <c r="E2685" s="96"/>
      <c r="F2685" s="97"/>
      <c r="G2685" s="94"/>
      <c r="H2685" s="96"/>
    </row>
    <row r="2686" spans="1:8" ht="15" x14ac:dyDescent="0.25">
      <c r="A2686" s="95"/>
      <c r="B2686" s="95"/>
      <c r="C2686" s="95"/>
      <c r="D2686" s="92"/>
      <c r="E2686" s="96"/>
      <c r="F2686" s="97"/>
      <c r="G2686" s="94"/>
      <c r="H2686" s="96"/>
    </row>
    <row r="2687" spans="1:8" ht="15" x14ac:dyDescent="0.25">
      <c r="A2687" s="95"/>
      <c r="B2687" s="95"/>
      <c r="C2687" s="95"/>
      <c r="D2687" s="92"/>
      <c r="E2687" s="96"/>
      <c r="F2687" s="97"/>
      <c r="G2687" s="94"/>
      <c r="H2687" s="96"/>
    </row>
    <row r="2688" spans="1:8" ht="15" x14ac:dyDescent="0.25">
      <c r="A2688" s="95"/>
      <c r="B2688" s="95"/>
      <c r="C2688" s="95"/>
      <c r="D2688" s="92"/>
      <c r="E2688" s="96"/>
      <c r="F2688" s="97"/>
      <c r="G2688" s="94"/>
      <c r="H2688" s="96"/>
    </row>
    <row r="2689" spans="1:8" ht="15" x14ac:dyDescent="0.25">
      <c r="A2689" s="95"/>
      <c r="B2689" s="95"/>
      <c r="C2689" s="95"/>
      <c r="D2689" s="92"/>
      <c r="E2689" s="96"/>
      <c r="F2689" s="97"/>
      <c r="G2689" s="94"/>
      <c r="H2689" s="96"/>
    </row>
    <row r="2690" spans="1:8" ht="15" x14ac:dyDescent="0.25">
      <c r="A2690" s="95"/>
      <c r="B2690" s="95"/>
      <c r="C2690" s="95"/>
      <c r="D2690" s="92"/>
      <c r="E2690" s="96"/>
      <c r="F2690" s="97"/>
      <c r="G2690" s="94"/>
      <c r="H2690" s="96"/>
    </row>
    <row r="2691" spans="1:8" ht="15" x14ac:dyDescent="0.25">
      <c r="A2691" s="95"/>
      <c r="B2691" s="95"/>
      <c r="C2691" s="95"/>
      <c r="D2691" s="92"/>
      <c r="E2691" s="96"/>
      <c r="F2691" s="97"/>
      <c r="G2691" s="94"/>
      <c r="H2691" s="96"/>
    </row>
    <row r="2692" spans="1:8" ht="15" x14ac:dyDescent="0.25">
      <c r="A2692" s="95"/>
      <c r="B2692" s="95"/>
      <c r="C2692" s="95"/>
      <c r="D2692" s="92"/>
      <c r="E2692" s="96"/>
      <c r="F2692" s="97"/>
      <c r="G2692" s="94"/>
      <c r="H2692" s="96"/>
    </row>
    <row r="2693" spans="1:8" ht="15" x14ac:dyDescent="0.25">
      <c r="A2693" s="95"/>
      <c r="B2693" s="95"/>
      <c r="C2693" s="95"/>
      <c r="D2693" s="92"/>
      <c r="E2693" s="96"/>
      <c r="F2693" s="97"/>
      <c r="G2693" s="94"/>
      <c r="H2693" s="96"/>
    </row>
    <row r="2694" spans="1:8" ht="15" x14ac:dyDescent="0.25">
      <c r="A2694" s="95"/>
      <c r="B2694" s="95"/>
      <c r="C2694" s="95"/>
      <c r="D2694" s="92"/>
      <c r="E2694" s="96"/>
      <c r="F2694" s="97"/>
      <c r="G2694" s="94"/>
      <c r="H2694" s="96"/>
    </row>
    <row r="2695" spans="1:8" ht="15" x14ac:dyDescent="0.25">
      <c r="A2695" s="95"/>
      <c r="B2695" s="95"/>
      <c r="C2695" s="95"/>
      <c r="D2695" s="92"/>
      <c r="E2695" s="96"/>
      <c r="F2695" s="97"/>
      <c r="G2695" s="94"/>
      <c r="H2695" s="96"/>
    </row>
    <row r="2696" spans="1:8" ht="15" x14ac:dyDescent="0.25">
      <c r="A2696" s="95"/>
      <c r="B2696" s="95"/>
      <c r="C2696" s="95"/>
      <c r="D2696" s="92"/>
      <c r="E2696" s="96"/>
      <c r="F2696" s="97"/>
      <c r="G2696" s="94"/>
      <c r="H2696" s="96"/>
    </row>
    <row r="2697" spans="1:8" ht="15" x14ac:dyDescent="0.25">
      <c r="A2697" s="95"/>
      <c r="B2697" s="95"/>
      <c r="C2697" s="95"/>
      <c r="D2697" s="92"/>
      <c r="E2697" s="96"/>
      <c r="F2697" s="97"/>
      <c r="G2697" s="94"/>
      <c r="H2697" s="96"/>
    </row>
    <row r="2698" spans="1:8" ht="15" x14ac:dyDescent="0.25">
      <c r="A2698" s="95"/>
      <c r="B2698" s="95"/>
      <c r="C2698" s="95"/>
      <c r="D2698" s="92"/>
      <c r="E2698" s="96"/>
      <c r="F2698" s="97"/>
      <c r="G2698" s="94"/>
      <c r="H2698" s="96"/>
    </row>
    <row r="2699" spans="1:8" ht="15" x14ac:dyDescent="0.25">
      <c r="A2699" s="95"/>
      <c r="B2699" s="95"/>
      <c r="C2699" s="95"/>
      <c r="D2699" s="92"/>
      <c r="E2699" s="96"/>
      <c r="F2699" s="97"/>
      <c r="G2699" s="94"/>
      <c r="H2699" s="96"/>
    </row>
    <row r="2700" spans="1:8" ht="15" x14ac:dyDescent="0.25">
      <c r="A2700" s="95"/>
      <c r="B2700" s="95"/>
      <c r="C2700" s="95"/>
      <c r="D2700" s="92"/>
      <c r="E2700" s="96"/>
      <c r="F2700" s="97"/>
      <c r="G2700" s="94"/>
      <c r="H2700" s="96"/>
    </row>
    <row r="2701" spans="1:8" ht="15" x14ac:dyDescent="0.25">
      <c r="A2701" s="95"/>
      <c r="B2701" s="95"/>
      <c r="C2701" s="95"/>
      <c r="D2701" s="92"/>
      <c r="E2701" s="96"/>
      <c r="F2701" s="97"/>
      <c r="G2701" s="94"/>
      <c r="H2701" s="96"/>
    </row>
    <row r="2702" spans="1:8" ht="15" x14ac:dyDescent="0.25">
      <c r="A2702" s="95"/>
      <c r="B2702" s="95"/>
      <c r="C2702" s="95"/>
      <c r="D2702" s="92"/>
      <c r="E2702" s="96"/>
      <c r="F2702" s="97"/>
      <c r="G2702" s="94"/>
      <c r="H2702" s="96"/>
    </row>
    <row r="2703" spans="1:8" ht="15" x14ac:dyDescent="0.25">
      <c r="A2703" s="95"/>
      <c r="B2703" s="95"/>
      <c r="C2703" s="95"/>
      <c r="D2703" s="92"/>
      <c r="E2703" s="96"/>
      <c r="F2703" s="97"/>
      <c r="G2703" s="94"/>
      <c r="H2703" s="96"/>
    </row>
    <row r="2704" spans="1:8" ht="15" x14ac:dyDescent="0.25">
      <c r="A2704" s="95"/>
      <c r="B2704" s="95"/>
      <c r="C2704" s="95"/>
      <c r="D2704" s="92"/>
      <c r="E2704" s="96"/>
      <c r="F2704" s="97"/>
      <c r="G2704" s="94"/>
      <c r="H2704" s="96"/>
    </row>
    <row r="2705" spans="1:8" ht="15" x14ac:dyDescent="0.25">
      <c r="A2705" s="95"/>
      <c r="B2705" s="95"/>
      <c r="C2705" s="95"/>
      <c r="D2705" s="92"/>
      <c r="E2705" s="96"/>
      <c r="F2705" s="97"/>
      <c r="G2705" s="94"/>
      <c r="H2705" s="96"/>
    </row>
    <row r="2706" spans="1:8" ht="15" x14ac:dyDescent="0.25">
      <c r="A2706" s="95"/>
      <c r="B2706" s="95"/>
      <c r="C2706" s="95"/>
      <c r="D2706" s="92"/>
      <c r="E2706" s="96"/>
      <c r="F2706" s="97"/>
      <c r="G2706" s="94"/>
      <c r="H2706" s="96"/>
    </row>
    <row r="2707" spans="1:8" ht="15" x14ac:dyDescent="0.25">
      <c r="A2707" s="95"/>
      <c r="B2707" s="95"/>
      <c r="C2707" s="95"/>
      <c r="D2707" s="92"/>
      <c r="E2707" s="96"/>
      <c r="F2707" s="97"/>
      <c r="G2707" s="94"/>
      <c r="H2707" s="96"/>
    </row>
    <row r="2708" spans="1:8" ht="15" x14ac:dyDescent="0.25">
      <c r="A2708" s="95"/>
      <c r="B2708" s="95"/>
      <c r="C2708" s="95"/>
      <c r="D2708" s="92"/>
      <c r="E2708" s="96"/>
      <c r="F2708" s="97"/>
      <c r="G2708" s="94"/>
      <c r="H2708" s="96"/>
    </row>
    <row r="2709" spans="1:8" ht="15" x14ac:dyDescent="0.25">
      <c r="A2709" s="95"/>
      <c r="B2709" s="95"/>
      <c r="C2709" s="95"/>
      <c r="D2709" s="92"/>
      <c r="E2709" s="96"/>
      <c r="F2709" s="97"/>
      <c r="G2709" s="94"/>
      <c r="H2709" s="96"/>
    </row>
    <row r="2710" spans="1:8" ht="15" x14ac:dyDescent="0.25">
      <c r="A2710" s="95"/>
      <c r="B2710" s="95"/>
      <c r="C2710" s="95"/>
      <c r="D2710" s="92"/>
      <c r="E2710" s="96"/>
      <c r="F2710" s="97"/>
      <c r="G2710" s="94"/>
      <c r="H2710" s="96"/>
    </row>
    <row r="2711" spans="1:8" ht="15" x14ac:dyDescent="0.25">
      <c r="A2711" s="95"/>
      <c r="B2711" s="95"/>
      <c r="C2711" s="95"/>
      <c r="D2711" s="92"/>
      <c r="E2711" s="96"/>
      <c r="F2711" s="97"/>
      <c r="G2711" s="94"/>
      <c r="H2711" s="96"/>
    </row>
    <row r="2712" spans="1:8" ht="15" x14ac:dyDescent="0.25">
      <c r="A2712" s="95"/>
      <c r="B2712" s="95"/>
      <c r="C2712" s="95"/>
      <c r="D2712" s="92"/>
      <c r="E2712" s="96"/>
      <c r="F2712" s="97"/>
      <c r="G2712" s="94"/>
      <c r="H2712" s="96"/>
    </row>
    <row r="2713" spans="1:8" ht="15" x14ac:dyDescent="0.25">
      <c r="A2713" s="95"/>
      <c r="B2713" s="95"/>
      <c r="C2713" s="95"/>
      <c r="D2713" s="92"/>
      <c r="E2713" s="96"/>
      <c r="F2713" s="97"/>
      <c r="G2713" s="94"/>
      <c r="H2713" s="96"/>
    </row>
    <row r="2714" spans="1:8" ht="15" x14ac:dyDescent="0.25">
      <c r="A2714" s="95"/>
      <c r="B2714" s="95"/>
      <c r="C2714" s="95"/>
      <c r="D2714" s="92"/>
      <c r="E2714" s="96"/>
      <c r="F2714" s="97"/>
      <c r="G2714" s="94"/>
      <c r="H2714" s="96"/>
    </row>
    <row r="2715" spans="1:8" ht="15" x14ac:dyDescent="0.25">
      <c r="A2715" s="95"/>
      <c r="B2715" s="95"/>
      <c r="C2715" s="95"/>
      <c r="D2715" s="92"/>
      <c r="E2715" s="96"/>
      <c r="F2715" s="97"/>
      <c r="G2715" s="94"/>
      <c r="H2715" s="96"/>
    </row>
    <row r="2716" spans="1:8" ht="15" x14ac:dyDescent="0.25">
      <c r="A2716" s="95"/>
      <c r="B2716" s="95"/>
      <c r="C2716" s="95"/>
      <c r="D2716" s="92"/>
      <c r="E2716" s="96"/>
      <c r="F2716" s="97"/>
      <c r="G2716" s="94"/>
      <c r="H2716" s="96"/>
    </row>
    <row r="2717" spans="1:8" ht="15" x14ac:dyDescent="0.25">
      <c r="A2717" s="95"/>
      <c r="B2717" s="95"/>
      <c r="C2717" s="95"/>
      <c r="D2717" s="92"/>
      <c r="E2717" s="96"/>
      <c r="F2717" s="97"/>
      <c r="G2717" s="94"/>
      <c r="H2717" s="96"/>
    </row>
    <row r="2718" spans="1:8" ht="15" x14ac:dyDescent="0.25">
      <c r="A2718" s="95"/>
      <c r="B2718" s="95"/>
      <c r="C2718" s="95"/>
      <c r="D2718" s="92"/>
      <c r="E2718" s="96"/>
      <c r="F2718" s="97"/>
      <c r="G2718" s="94"/>
      <c r="H2718" s="96"/>
    </row>
    <row r="2719" spans="1:8" ht="15" x14ac:dyDescent="0.25">
      <c r="A2719" s="95"/>
      <c r="B2719" s="95"/>
      <c r="C2719" s="95"/>
      <c r="D2719" s="92"/>
      <c r="E2719" s="96"/>
      <c r="F2719" s="97"/>
      <c r="G2719" s="94"/>
      <c r="H2719" s="96"/>
    </row>
    <row r="2720" spans="1:8" ht="15" x14ac:dyDescent="0.25">
      <c r="A2720" s="95"/>
      <c r="B2720" s="95"/>
      <c r="C2720" s="95"/>
      <c r="D2720" s="92"/>
      <c r="E2720" s="96"/>
      <c r="F2720" s="97"/>
      <c r="G2720" s="94"/>
      <c r="H2720" s="96"/>
    </row>
    <row r="2721" spans="1:8" ht="15" x14ac:dyDescent="0.25">
      <c r="A2721" s="95"/>
      <c r="B2721" s="95"/>
      <c r="C2721" s="95"/>
      <c r="D2721" s="92"/>
      <c r="E2721" s="96"/>
      <c r="F2721" s="97"/>
      <c r="G2721" s="94"/>
      <c r="H2721" s="96"/>
    </row>
    <row r="2722" spans="1:8" ht="15" x14ac:dyDescent="0.25">
      <c r="A2722" s="95"/>
      <c r="B2722" s="95"/>
      <c r="C2722" s="95"/>
      <c r="D2722" s="92"/>
      <c r="E2722" s="96"/>
      <c r="F2722" s="97"/>
      <c r="G2722" s="94"/>
      <c r="H2722" s="96"/>
    </row>
    <row r="2723" spans="1:8" ht="15" x14ac:dyDescent="0.25">
      <c r="A2723" s="95"/>
      <c r="B2723" s="95"/>
      <c r="C2723" s="95"/>
      <c r="D2723" s="92"/>
      <c r="E2723" s="96"/>
      <c r="F2723" s="97"/>
      <c r="G2723" s="94"/>
      <c r="H2723" s="96"/>
    </row>
    <row r="2724" spans="1:8" ht="15" x14ac:dyDescent="0.25">
      <c r="A2724" s="95"/>
      <c r="B2724" s="95"/>
      <c r="C2724" s="95"/>
      <c r="D2724" s="92"/>
      <c r="E2724" s="96"/>
      <c r="F2724" s="97"/>
      <c r="G2724" s="94"/>
      <c r="H2724" s="96"/>
    </row>
    <row r="2725" spans="1:8" ht="15" x14ac:dyDescent="0.25">
      <c r="A2725" s="95"/>
      <c r="B2725" s="95"/>
      <c r="C2725" s="95"/>
      <c r="D2725" s="92"/>
      <c r="E2725" s="96"/>
      <c r="F2725" s="97"/>
      <c r="G2725" s="94"/>
      <c r="H2725" s="96"/>
    </row>
    <row r="2726" spans="1:8" ht="15" x14ac:dyDescent="0.25">
      <c r="A2726" s="95"/>
      <c r="B2726" s="95"/>
      <c r="C2726" s="95"/>
      <c r="D2726" s="92"/>
      <c r="E2726" s="96"/>
      <c r="F2726" s="97"/>
      <c r="G2726" s="94"/>
      <c r="H2726" s="96"/>
    </row>
    <row r="2727" spans="1:8" ht="15" x14ac:dyDescent="0.25">
      <c r="A2727" s="95"/>
      <c r="B2727" s="95"/>
      <c r="C2727" s="95"/>
      <c r="D2727" s="92"/>
      <c r="E2727" s="96"/>
      <c r="F2727" s="97"/>
      <c r="G2727" s="94"/>
      <c r="H2727" s="96"/>
    </row>
    <row r="2728" spans="1:8" ht="15" x14ac:dyDescent="0.25">
      <c r="A2728" s="95"/>
      <c r="B2728" s="95"/>
      <c r="C2728" s="95"/>
      <c r="D2728" s="92"/>
      <c r="E2728" s="96"/>
      <c r="F2728" s="97"/>
      <c r="G2728" s="94"/>
      <c r="H2728" s="96"/>
    </row>
    <row r="2729" spans="1:8" ht="15" x14ac:dyDescent="0.25">
      <c r="A2729" s="95"/>
      <c r="B2729" s="95"/>
      <c r="C2729" s="95"/>
      <c r="D2729" s="92"/>
      <c r="E2729" s="96"/>
      <c r="F2729" s="97"/>
      <c r="G2729" s="94"/>
      <c r="H2729" s="96"/>
    </row>
    <row r="2730" spans="1:8" ht="15" x14ac:dyDescent="0.25">
      <c r="A2730" s="95"/>
      <c r="B2730" s="95"/>
      <c r="C2730" s="95"/>
      <c r="D2730" s="92"/>
      <c r="E2730" s="96"/>
      <c r="F2730" s="97"/>
      <c r="G2730" s="94"/>
      <c r="H2730" s="96"/>
    </row>
    <row r="2731" spans="1:8" ht="15" x14ac:dyDescent="0.25">
      <c r="A2731" s="95"/>
      <c r="B2731" s="95"/>
      <c r="C2731" s="95"/>
      <c r="D2731" s="92"/>
      <c r="E2731" s="96"/>
      <c r="F2731" s="97"/>
      <c r="G2731" s="94"/>
      <c r="H2731" s="96"/>
    </row>
    <row r="2732" spans="1:8" ht="15" x14ac:dyDescent="0.25">
      <c r="A2732" s="95"/>
      <c r="B2732" s="95"/>
      <c r="C2732" s="95"/>
      <c r="D2732" s="92"/>
      <c r="E2732" s="96"/>
      <c r="F2732" s="97"/>
      <c r="G2732" s="94"/>
      <c r="H2732" s="96"/>
    </row>
    <row r="2733" spans="1:8" ht="15" x14ac:dyDescent="0.25">
      <c r="A2733" s="95"/>
      <c r="B2733" s="95"/>
      <c r="C2733" s="95"/>
      <c r="D2733" s="92"/>
      <c r="E2733" s="96"/>
      <c r="F2733" s="97"/>
      <c r="G2733" s="94"/>
      <c r="H2733" s="96"/>
    </row>
    <row r="2734" spans="1:8" ht="15" x14ac:dyDescent="0.25">
      <c r="A2734" s="95"/>
      <c r="B2734" s="95"/>
      <c r="C2734" s="95"/>
      <c r="D2734" s="92"/>
      <c r="E2734" s="96"/>
      <c r="F2734" s="97"/>
      <c r="G2734" s="94"/>
      <c r="H2734" s="96"/>
    </row>
    <row r="2735" spans="1:8" ht="15" x14ac:dyDescent="0.25">
      <c r="A2735" s="95"/>
      <c r="B2735" s="95"/>
      <c r="C2735" s="95"/>
      <c r="D2735" s="92"/>
      <c r="E2735" s="96"/>
      <c r="F2735" s="97"/>
      <c r="G2735" s="94"/>
      <c r="H2735" s="96"/>
    </row>
    <row r="2736" spans="1:8" ht="15" x14ac:dyDescent="0.25">
      <c r="A2736" s="95"/>
      <c r="B2736" s="95"/>
      <c r="C2736" s="95"/>
      <c r="D2736" s="92"/>
      <c r="E2736" s="96"/>
      <c r="F2736" s="97"/>
      <c r="G2736" s="94"/>
      <c r="H2736" s="96"/>
    </row>
    <row r="2737" spans="1:8" ht="15" x14ac:dyDescent="0.25">
      <c r="A2737" s="95"/>
      <c r="B2737" s="95"/>
      <c r="C2737" s="95"/>
      <c r="D2737" s="92"/>
      <c r="E2737" s="96"/>
      <c r="F2737" s="97"/>
      <c r="G2737" s="94"/>
      <c r="H2737" s="96"/>
    </row>
    <row r="2738" spans="1:8" ht="15" x14ac:dyDescent="0.25">
      <c r="A2738" s="95"/>
      <c r="B2738" s="95"/>
      <c r="C2738" s="95"/>
      <c r="D2738" s="92"/>
      <c r="E2738" s="96"/>
      <c r="F2738" s="97"/>
      <c r="G2738" s="94"/>
      <c r="H2738" s="96"/>
    </row>
    <row r="2739" spans="1:8" ht="15" x14ac:dyDescent="0.25">
      <c r="A2739" s="95"/>
      <c r="B2739" s="95"/>
      <c r="C2739" s="95"/>
      <c r="D2739" s="92"/>
      <c r="E2739" s="96"/>
      <c r="F2739" s="97"/>
      <c r="G2739" s="94"/>
      <c r="H2739" s="96"/>
    </row>
    <row r="2740" spans="1:8" ht="15" x14ac:dyDescent="0.25">
      <c r="A2740" s="95"/>
      <c r="B2740" s="95"/>
      <c r="C2740" s="95"/>
      <c r="D2740" s="92"/>
      <c r="E2740" s="96"/>
      <c r="F2740" s="97"/>
      <c r="G2740" s="94"/>
      <c r="H2740" s="96"/>
    </row>
    <row r="2741" spans="1:8" ht="15" x14ac:dyDescent="0.25">
      <c r="A2741" s="95"/>
      <c r="B2741" s="95"/>
      <c r="C2741" s="95"/>
      <c r="D2741" s="92"/>
      <c r="E2741" s="96"/>
      <c r="F2741" s="97"/>
      <c r="G2741" s="94"/>
      <c r="H2741" s="96"/>
    </row>
    <row r="2742" spans="1:8" ht="15" x14ac:dyDescent="0.25">
      <c r="A2742" s="95"/>
      <c r="B2742" s="95"/>
      <c r="C2742" s="95"/>
      <c r="D2742" s="92"/>
      <c r="E2742" s="96"/>
      <c r="F2742" s="97"/>
      <c r="G2742" s="94"/>
      <c r="H2742" s="96"/>
    </row>
    <row r="2743" spans="1:8" ht="15" x14ac:dyDescent="0.25">
      <c r="A2743" s="95"/>
      <c r="B2743" s="95"/>
      <c r="C2743" s="95"/>
      <c r="D2743" s="92"/>
      <c r="E2743" s="96"/>
      <c r="F2743" s="97"/>
      <c r="G2743" s="94"/>
      <c r="H2743" s="96"/>
    </row>
    <row r="2744" spans="1:8" ht="15" x14ac:dyDescent="0.25">
      <c r="A2744" s="95"/>
      <c r="B2744" s="95"/>
      <c r="C2744" s="95"/>
      <c r="D2744" s="92"/>
      <c r="E2744" s="96"/>
      <c r="F2744" s="97"/>
      <c r="G2744" s="94"/>
      <c r="H2744" s="96"/>
    </row>
    <row r="2745" spans="1:8" ht="15" x14ac:dyDescent="0.25">
      <c r="A2745" s="95"/>
      <c r="B2745" s="95"/>
      <c r="C2745" s="95"/>
      <c r="D2745" s="92"/>
      <c r="E2745" s="96"/>
      <c r="F2745" s="97"/>
      <c r="G2745" s="94"/>
      <c r="H2745" s="96"/>
    </row>
    <row r="2746" spans="1:8" ht="15" x14ac:dyDescent="0.25">
      <c r="A2746" s="95"/>
      <c r="B2746" s="95"/>
      <c r="C2746" s="95"/>
      <c r="D2746" s="92"/>
      <c r="E2746" s="96"/>
      <c r="F2746" s="97"/>
      <c r="G2746" s="94"/>
      <c r="H2746" s="96"/>
    </row>
    <row r="2747" spans="1:8" ht="15" x14ac:dyDescent="0.25">
      <c r="A2747" s="95"/>
      <c r="B2747" s="95"/>
      <c r="C2747" s="95"/>
      <c r="D2747" s="92"/>
      <c r="E2747" s="96"/>
      <c r="F2747" s="97"/>
      <c r="G2747" s="94"/>
      <c r="H2747" s="96"/>
    </row>
    <row r="2748" spans="1:8" ht="15" x14ac:dyDescent="0.25">
      <c r="A2748" s="95"/>
      <c r="B2748" s="95"/>
      <c r="C2748" s="95"/>
      <c r="D2748" s="92"/>
      <c r="E2748" s="96"/>
      <c r="F2748" s="97"/>
      <c r="G2748" s="94"/>
      <c r="H2748" s="96"/>
    </row>
    <row r="2749" spans="1:8" ht="15" x14ac:dyDescent="0.25">
      <c r="A2749" s="95"/>
      <c r="B2749" s="95"/>
      <c r="C2749" s="95"/>
      <c r="D2749" s="92"/>
      <c r="E2749" s="96"/>
      <c r="F2749" s="97"/>
      <c r="G2749" s="94"/>
      <c r="H2749" s="96"/>
    </row>
    <row r="2750" spans="1:8" ht="15" x14ac:dyDescent="0.25">
      <c r="A2750" s="95"/>
      <c r="B2750" s="95"/>
      <c r="C2750" s="95"/>
      <c r="D2750" s="92"/>
      <c r="E2750" s="96"/>
      <c r="F2750" s="97"/>
      <c r="G2750" s="94"/>
      <c r="H2750" s="96"/>
    </row>
    <row r="2751" spans="1:8" ht="15" x14ac:dyDescent="0.25">
      <c r="A2751" s="95"/>
      <c r="B2751" s="95"/>
      <c r="C2751" s="95"/>
      <c r="D2751" s="92"/>
      <c r="E2751" s="96"/>
      <c r="F2751" s="97"/>
      <c r="G2751" s="94"/>
      <c r="H2751" s="96"/>
    </row>
    <row r="2752" spans="1:8" ht="15" x14ac:dyDescent="0.25">
      <c r="A2752" s="95"/>
      <c r="B2752" s="95"/>
      <c r="C2752" s="95"/>
      <c r="D2752" s="92"/>
      <c r="E2752" s="96"/>
      <c r="F2752" s="97"/>
      <c r="G2752" s="94"/>
      <c r="H2752" s="96"/>
    </row>
    <row r="2753" spans="1:8" ht="15" x14ac:dyDescent="0.25">
      <c r="A2753" s="95"/>
      <c r="B2753" s="95"/>
      <c r="C2753" s="95"/>
      <c r="D2753" s="92"/>
      <c r="E2753" s="96"/>
      <c r="F2753" s="97"/>
      <c r="G2753" s="94"/>
      <c r="H2753" s="96"/>
    </row>
    <row r="2754" spans="1:8" ht="15" x14ac:dyDescent="0.25">
      <c r="A2754" s="95"/>
      <c r="B2754" s="95"/>
      <c r="C2754" s="95"/>
      <c r="D2754" s="92"/>
      <c r="E2754" s="96"/>
      <c r="F2754" s="97"/>
      <c r="G2754" s="94"/>
      <c r="H2754" s="96"/>
    </row>
    <row r="2755" spans="1:8" ht="15" x14ac:dyDescent="0.25">
      <c r="A2755" s="95"/>
      <c r="B2755" s="95"/>
      <c r="C2755" s="95"/>
      <c r="D2755" s="92"/>
      <c r="E2755" s="96"/>
      <c r="F2755" s="97"/>
      <c r="G2755" s="94"/>
      <c r="H2755" s="96"/>
    </row>
    <row r="2756" spans="1:8" ht="15" x14ac:dyDescent="0.25">
      <c r="A2756" s="95"/>
      <c r="B2756" s="95"/>
      <c r="C2756" s="95"/>
      <c r="D2756" s="92"/>
      <c r="E2756" s="96"/>
      <c r="F2756" s="97"/>
      <c r="G2756" s="94"/>
      <c r="H2756" s="96"/>
    </row>
    <row r="2757" spans="1:8" ht="15" x14ac:dyDescent="0.25">
      <c r="A2757" s="95"/>
      <c r="B2757" s="95"/>
      <c r="C2757" s="95"/>
      <c r="D2757" s="92"/>
      <c r="E2757" s="96"/>
      <c r="F2757" s="97"/>
      <c r="G2757" s="94"/>
      <c r="H2757" s="96"/>
    </row>
    <row r="2758" spans="1:8" ht="15" x14ac:dyDescent="0.25">
      <c r="A2758" s="95"/>
      <c r="B2758" s="95"/>
      <c r="C2758" s="95"/>
      <c r="D2758" s="92"/>
      <c r="E2758" s="96"/>
      <c r="F2758" s="97"/>
      <c r="G2758" s="94"/>
      <c r="H2758" s="96"/>
    </row>
    <row r="2759" spans="1:8" ht="15" x14ac:dyDescent="0.25">
      <c r="A2759" s="95"/>
      <c r="B2759" s="95"/>
      <c r="C2759" s="95"/>
      <c r="D2759" s="92"/>
      <c r="E2759" s="96"/>
      <c r="F2759" s="97"/>
      <c r="G2759" s="94"/>
      <c r="H2759" s="96"/>
    </row>
    <row r="2760" spans="1:8" ht="15" x14ac:dyDescent="0.25">
      <c r="A2760" s="95"/>
      <c r="B2760" s="95"/>
      <c r="C2760" s="95"/>
      <c r="D2760" s="92"/>
      <c r="E2760" s="96"/>
      <c r="F2760" s="97"/>
      <c r="G2760" s="94"/>
      <c r="H2760" s="96"/>
    </row>
    <row r="2761" spans="1:8" ht="15" x14ac:dyDescent="0.25">
      <c r="A2761" s="95"/>
      <c r="B2761" s="95"/>
      <c r="C2761" s="95"/>
      <c r="D2761" s="92"/>
      <c r="E2761" s="96"/>
      <c r="F2761" s="97"/>
      <c r="G2761" s="94"/>
      <c r="H2761" s="96"/>
    </row>
    <row r="2762" spans="1:8" ht="15" x14ac:dyDescent="0.25">
      <c r="A2762" s="95"/>
      <c r="B2762" s="95"/>
      <c r="C2762" s="95"/>
      <c r="D2762" s="92"/>
      <c r="E2762" s="96"/>
      <c r="F2762" s="97"/>
      <c r="G2762" s="94"/>
      <c r="H2762" s="96"/>
    </row>
    <row r="2763" spans="1:8" ht="15" x14ac:dyDescent="0.25">
      <c r="A2763" s="95"/>
      <c r="B2763" s="95"/>
      <c r="C2763" s="95"/>
      <c r="D2763" s="92"/>
      <c r="E2763" s="96"/>
      <c r="F2763" s="97"/>
      <c r="G2763" s="94"/>
      <c r="H2763" s="96"/>
    </row>
    <row r="2764" spans="1:8" ht="15" x14ac:dyDescent="0.25">
      <c r="A2764" s="95"/>
      <c r="B2764" s="95"/>
      <c r="C2764" s="95"/>
      <c r="D2764" s="92"/>
      <c r="E2764" s="96"/>
      <c r="F2764" s="97"/>
      <c r="G2764" s="94"/>
      <c r="H2764" s="96"/>
    </row>
    <row r="2765" spans="1:8" ht="15" x14ac:dyDescent="0.25">
      <c r="A2765" s="95"/>
      <c r="B2765" s="95"/>
      <c r="C2765" s="95"/>
      <c r="D2765" s="92"/>
      <c r="E2765" s="96"/>
      <c r="F2765" s="97"/>
      <c r="G2765" s="94"/>
      <c r="H2765" s="96"/>
    </row>
    <row r="2766" spans="1:8" ht="15" x14ac:dyDescent="0.25">
      <c r="A2766" s="95"/>
      <c r="B2766" s="95"/>
      <c r="C2766" s="95"/>
      <c r="D2766" s="92"/>
      <c r="E2766" s="96"/>
      <c r="F2766" s="97"/>
      <c r="G2766" s="94"/>
      <c r="H2766" s="96"/>
    </row>
    <row r="2767" spans="1:8" ht="15" x14ac:dyDescent="0.25">
      <c r="A2767" s="95"/>
      <c r="B2767" s="95"/>
      <c r="C2767" s="95"/>
      <c r="D2767" s="92"/>
      <c r="E2767" s="96"/>
      <c r="F2767" s="97"/>
      <c r="G2767" s="94"/>
      <c r="H2767" s="96"/>
    </row>
    <row r="2768" spans="1:8" ht="15" x14ac:dyDescent="0.25">
      <c r="A2768" s="95"/>
      <c r="B2768" s="95"/>
      <c r="C2768" s="95"/>
      <c r="D2768" s="92"/>
      <c r="E2768" s="96"/>
      <c r="F2768" s="97"/>
      <c r="G2768" s="94"/>
      <c r="H2768" s="96"/>
    </row>
    <row r="2769" spans="1:8" ht="15" x14ac:dyDescent="0.25">
      <c r="A2769" s="95"/>
      <c r="B2769" s="95"/>
      <c r="C2769" s="95"/>
      <c r="D2769" s="92"/>
      <c r="E2769" s="96"/>
      <c r="F2769" s="97"/>
      <c r="G2769" s="94"/>
      <c r="H2769" s="96"/>
    </row>
    <row r="2770" spans="1:8" ht="15" x14ac:dyDescent="0.25">
      <c r="A2770" s="95"/>
      <c r="B2770" s="95"/>
      <c r="C2770" s="95"/>
      <c r="D2770" s="92"/>
      <c r="E2770" s="96"/>
      <c r="F2770" s="97"/>
      <c r="G2770" s="94"/>
      <c r="H2770" s="96"/>
    </row>
    <row r="2771" spans="1:8" ht="15" x14ac:dyDescent="0.25">
      <c r="A2771" s="95"/>
      <c r="B2771" s="95"/>
      <c r="C2771" s="95"/>
      <c r="D2771" s="92"/>
      <c r="E2771" s="96"/>
      <c r="F2771" s="97"/>
      <c r="G2771" s="94"/>
      <c r="H2771" s="96"/>
    </row>
    <row r="2772" spans="1:8" ht="15" x14ac:dyDescent="0.25">
      <c r="A2772" s="95"/>
      <c r="B2772" s="95"/>
      <c r="C2772" s="95"/>
      <c r="D2772" s="92"/>
      <c r="E2772" s="96"/>
      <c r="F2772" s="97"/>
      <c r="G2772" s="94"/>
      <c r="H2772" s="96"/>
    </row>
    <row r="2773" spans="1:8" ht="15" x14ac:dyDescent="0.25">
      <c r="A2773" s="95"/>
      <c r="B2773" s="95"/>
      <c r="C2773" s="95"/>
      <c r="D2773" s="92"/>
      <c r="E2773" s="96"/>
      <c r="F2773" s="97"/>
      <c r="G2773" s="94"/>
      <c r="H2773" s="96"/>
    </row>
    <row r="2774" spans="1:8" ht="15" x14ac:dyDescent="0.25">
      <c r="A2774" s="95"/>
      <c r="B2774" s="95"/>
      <c r="C2774" s="95"/>
      <c r="D2774" s="92"/>
      <c r="E2774" s="96"/>
      <c r="F2774" s="97"/>
      <c r="G2774" s="94"/>
      <c r="H2774" s="96"/>
    </row>
    <row r="2775" spans="1:8" ht="15" x14ac:dyDescent="0.25">
      <c r="A2775" s="95"/>
      <c r="B2775" s="95"/>
      <c r="C2775" s="95"/>
      <c r="D2775" s="92"/>
      <c r="E2775" s="96"/>
      <c r="F2775" s="97"/>
      <c r="G2775" s="94"/>
      <c r="H2775" s="96"/>
    </row>
    <row r="2776" spans="1:8" ht="15" x14ac:dyDescent="0.25">
      <c r="A2776" s="95"/>
      <c r="B2776" s="95"/>
      <c r="C2776" s="95"/>
      <c r="D2776" s="92"/>
      <c r="E2776" s="96"/>
      <c r="F2776" s="97"/>
      <c r="G2776" s="94"/>
      <c r="H2776" s="96"/>
    </row>
    <row r="2777" spans="1:8" ht="15" x14ac:dyDescent="0.25">
      <c r="A2777" s="95"/>
      <c r="B2777" s="95"/>
      <c r="C2777" s="95"/>
      <c r="D2777" s="92"/>
      <c r="E2777" s="96"/>
      <c r="F2777" s="97"/>
      <c r="G2777" s="94"/>
      <c r="H2777" s="96"/>
    </row>
    <row r="2778" spans="1:8" ht="15" x14ac:dyDescent="0.25">
      <c r="A2778" s="95"/>
      <c r="B2778" s="95"/>
      <c r="C2778" s="95"/>
      <c r="D2778" s="92"/>
      <c r="E2778" s="96"/>
      <c r="F2778" s="97"/>
      <c r="G2778" s="94"/>
      <c r="H2778" s="96"/>
    </row>
    <row r="2779" spans="1:8" ht="15" x14ac:dyDescent="0.25">
      <c r="A2779" s="95"/>
      <c r="B2779" s="95"/>
      <c r="C2779" s="95"/>
      <c r="D2779" s="92"/>
      <c r="E2779" s="96"/>
      <c r="F2779" s="97"/>
      <c r="G2779" s="94"/>
      <c r="H2779" s="96"/>
    </row>
    <row r="2780" spans="1:8" ht="15" x14ac:dyDescent="0.25">
      <c r="A2780" s="95"/>
      <c r="B2780" s="95"/>
      <c r="C2780" s="95"/>
      <c r="D2780" s="92"/>
      <c r="E2780" s="96"/>
      <c r="F2780" s="97"/>
      <c r="G2780" s="94"/>
      <c r="H2780" s="96"/>
    </row>
    <row r="2781" spans="1:8" ht="15" x14ac:dyDescent="0.25">
      <c r="A2781" s="95"/>
      <c r="B2781" s="95"/>
      <c r="C2781" s="95"/>
      <c r="D2781" s="92"/>
      <c r="E2781" s="96"/>
      <c r="F2781" s="97"/>
      <c r="G2781" s="94"/>
      <c r="H2781" s="96"/>
    </row>
    <row r="2782" spans="1:8" ht="15" x14ac:dyDescent="0.25">
      <c r="A2782" s="95"/>
      <c r="B2782" s="95"/>
      <c r="C2782" s="95"/>
      <c r="D2782" s="92"/>
      <c r="E2782" s="96"/>
      <c r="F2782" s="97"/>
      <c r="G2782" s="94"/>
      <c r="H2782" s="96"/>
    </row>
    <row r="2783" spans="1:8" ht="15" x14ac:dyDescent="0.25">
      <c r="A2783" s="95"/>
      <c r="B2783" s="95"/>
      <c r="C2783" s="95"/>
      <c r="D2783" s="92"/>
      <c r="E2783" s="96"/>
      <c r="F2783" s="97"/>
      <c r="G2783" s="94"/>
      <c r="H2783" s="96"/>
    </row>
    <row r="2784" spans="1:8" ht="15" x14ac:dyDescent="0.25">
      <c r="A2784" s="95"/>
      <c r="B2784" s="95"/>
      <c r="C2784" s="95"/>
      <c r="D2784" s="92"/>
      <c r="E2784" s="96"/>
      <c r="F2784" s="97"/>
      <c r="G2784" s="94"/>
      <c r="H2784" s="96"/>
    </row>
    <row r="2785" spans="1:8" ht="15" x14ac:dyDescent="0.25">
      <c r="A2785" s="95"/>
      <c r="B2785" s="95"/>
      <c r="C2785" s="95"/>
      <c r="D2785" s="92"/>
      <c r="E2785" s="96"/>
      <c r="F2785" s="97"/>
      <c r="G2785" s="94"/>
      <c r="H2785" s="96"/>
    </row>
    <row r="2786" spans="1:8" ht="15" x14ac:dyDescent="0.25">
      <c r="A2786" s="95"/>
      <c r="B2786" s="95"/>
      <c r="C2786" s="95"/>
      <c r="D2786" s="92"/>
      <c r="E2786" s="96"/>
      <c r="F2786" s="97"/>
      <c r="G2786" s="94"/>
      <c r="H2786" s="96"/>
    </row>
    <row r="2787" spans="1:8" ht="15" x14ac:dyDescent="0.25">
      <c r="A2787" s="95"/>
      <c r="B2787" s="95"/>
      <c r="C2787" s="95"/>
      <c r="D2787" s="92"/>
      <c r="E2787" s="96"/>
      <c r="F2787" s="97"/>
      <c r="G2787" s="94"/>
      <c r="H2787" s="96"/>
    </row>
    <row r="2788" spans="1:8" ht="15" x14ac:dyDescent="0.25">
      <c r="A2788" s="95"/>
      <c r="B2788" s="95"/>
      <c r="C2788" s="95"/>
      <c r="D2788" s="92"/>
      <c r="E2788" s="96"/>
      <c r="F2788" s="97"/>
      <c r="G2788" s="94"/>
      <c r="H2788" s="96"/>
    </row>
    <row r="2789" spans="1:8" ht="15" x14ac:dyDescent="0.25">
      <c r="A2789" s="95"/>
      <c r="B2789" s="95"/>
      <c r="C2789" s="95"/>
      <c r="D2789" s="92"/>
      <c r="E2789" s="96"/>
      <c r="F2789" s="97"/>
      <c r="G2789" s="94"/>
      <c r="H2789" s="96"/>
    </row>
    <row r="2790" spans="1:8" ht="15" x14ac:dyDescent="0.25">
      <c r="A2790" s="95"/>
      <c r="B2790" s="95"/>
      <c r="C2790" s="95"/>
      <c r="D2790" s="92"/>
      <c r="E2790" s="96"/>
      <c r="F2790" s="97"/>
      <c r="G2790" s="94"/>
      <c r="H2790" s="96"/>
    </row>
    <row r="2791" spans="1:8" ht="15" x14ac:dyDescent="0.25">
      <c r="A2791" s="95"/>
      <c r="B2791" s="95"/>
      <c r="C2791" s="95"/>
      <c r="D2791" s="92"/>
      <c r="E2791" s="96"/>
      <c r="F2791" s="97"/>
      <c r="G2791" s="94"/>
      <c r="H2791" s="96"/>
    </row>
    <row r="2792" spans="1:8" ht="15" x14ac:dyDescent="0.25">
      <c r="A2792" s="95"/>
      <c r="B2792" s="95"/>
      <c r="C2792" s="95"/>
      <c r="D2792" s="92"/>
      <c r="E2792" s="96"/>
      <c r="F2792" s="97"/>
      <c r="G2792" s="94"/>
      <c r="H2792" s="96"/>
    </row>
    <row r="2793" spans="1:8" ht="15" x14ac:dyDescent="0.25">
      <c r="A2793" s="95"/>
      <c r="B2793" s="95"/>
      <c r="C2793" s="95"/>
      <c r="D2793" s="92"/>
      <c r="E2793" s="96"/>
      <c r="F2793" s="97"/>
      <c r="G2793" s="94"/>
      <c r="H2793" s="96"/>
    </row>
    <row r="2794" spans="1:8" ht="15" x14ac:dyDescent="0.25">
      <c r="A2794" s="95"/>
      <c r="B2794" s="95"/>
      <c r="C2794" s="95"/>
      <c r="D2794" s="92"/>
      <c r="E2794" s="96"/>
      <c r="F2794" s="97"/>
      <c r="G2794" s="94"/>
      <c r="H2794" s="96"/>
    </row>
    <row r="2795" spans="1:8" ht="15" x14ac:dyDescent="0.25">
      <c r="A2795" s="95"/>
      <c r="B2795" s="95"/>
      <c r="C2795" s="95"/>
      <c r="D2795" s="92"/>
      <c r="E2795" s="96"/>
      <c r="F2795" s="97"/>
      <c r="G2795" s="94"/>
      <c r="H2795" s="96"/>
    </row>
    <row r="2796" spans="1:8" ht="15" x14ac:dyDescent="0.25">
      <c r="A2796" s="95"/>
      <c r="B2796" s="95"/>
      <c r="C2796" s="95"/>
      <c r="D2796" s="92"/>
      <c r="E2796" s="96"/>
      <c r="F2796" s="97"/>
      <c r="G2796" s="94"/>
      <c r="H2796" s="96"/>
    </row>
    <row r="2797" spans="1:8" ht="15" x14ac:dyDescent="0.25">
      <c r="A2797" s="95"/>
      <c r="B2797" s="95"/>
      <c r="C2797" s="95"/>
      <c r="D2797" s="92"/>
      <c r="E2797" s="96"/>
      <c r="F2797" s="97"/>
      <c r="G2797" s="94"/>
      <c r="H2797" s="96"/>
    </row>
    <row r="2798" spans="1:8" ht="15" x14ac:dyDescent="0.25">
      <c r="A2798" s="95"/>
      <c r="B2798" s="95"/>
      <c r="C2798" s="95"/>
      <c r="D2798" s="92"/>
      <c r="E2798" s="96"/>
      <c r="F2798" s="97"/>
      <c r="G2798" s="94"/>
      <c r="H2798" s="96"/>
    </row>
    <row r="2799" spans="1:8" ht="15" x14ac:dyDescent="0.25">
      <c r="A2799" s="95"/>
      <c r="B2799" s="95"/>
      <c r="C2799" s="95"/>
      <c r="D2799" s="92"/>
      <c r="E2799" s="96"/>
      <c r="F2799" s="97"/>
      <c r="G2799" s="94"/>
      <c r="H2799" s="96"/>
    </row>
    <row r="2800" spans="1:8" ht="15" x14ac:dyDescent="0.25">
      <c r="A2800" s="95"/>
      <c r="B2800" s="95"/>
      <c r="C2800" s="95"/>
      <c r="D2800" s="92"/>
      <c r="E2800" s="96"/>
      <c r="F2800" s="97"/>
      <c r="G2800" s="94"/>
      <c r="H2800" s="96"/>
    </row>
    <row r="2801" spans="1:8" ht="15" x14ac:dyDescent="0.25">
      <c r="A2801" s="95"/>
      <c r="B2801" s="95"/>
      <c r="C2801" s="95"/>
      <c r="D2801" s="92"/>
      <c r="E2801" s="96"/>
      <c r="F2801" s="97"/>
      <c r="G2801" s="94"/>
      <c r="H2801" s="96"/>
    </row>
    <row r="2802" spans="1:8" ht="15" x14ac:dyDescent="0.25">
      <c r="A2802" s="95"/>
      <c r="B2802" s="95"/>
      <c r="C2802" s="95"/>
      <c r="D2802" s="92"/>
      <c r="E2802" s="96"/>
      <c r="F2802" s="97"/>
      <c r="G2802" s="94"/>
      <c r="H2802" s="96"/>
    </row>
    <row r="2803" spans="1:8" ht="15" x14ac:dyDescent="0.25">
      <c r="A2803" s="95"/>
      <c r="B2803" s="95"/>
      <c r="C2803" s="95"/>
      <c r="D2803" s="92"/>
      <c r="E2803" s="96"/>
      <c r="F2803" s="97"/>
      <c r="G2803" s="94"/>
      <c r="H2803" s="96"/>
    </row>
    <row r="2804" spans="1:8" ht="15" x14ac:dyDescent="0.25">
      <c r="A2804" s="95"/>
      <c r="B2804" s="95"/>
      <c r="C2804" s="95"/>
      <c r="D2804" s="92"/>
      <c r="E2804" s="96"/>
      <c r="F2804" s="97"/>
      <c r="G2804" s="94"/>
      <c r="H2804" s="96"/>
    </row>
    <row r="2805" spans="1:8" ht="15" x14ac:dyDescent="0.25">
      <c r="A2805" s="95"/>
      <c r="B2805" s="95"/>
      <c r="C2805" s="95"/>
      <c r="D2805" s="92"/>
      <c r="E2805" s="96"/>
      <c r="F2805" s="97"/>
      <c r="G2805" s="94"/>
      <c r="H2805" s="96"/>
    </row>
    <row r="2806" spans="1:8" ht="15" x14ac:dyDescent="0.25">
      <c r="A2806" s="95"/>
      <c r="B2806" s="95"/>
      <c r="C2806" s="95"/>
      <c r="D2806" s="92"/>
      <c r="E2806" s="96"/>
      <c r="F2806" s="97"/>
      <c r="G2806" s="94"/>
      <c r="H2806" s="96"/>
    </row>
    <row r="2807" spans="1:8" ht="15" x14ac:dyDescent="0.25">
      <c r="A2807" s="95"/>
      <c r="B2807" s="95"/>
      <c r="C2807" s="95"/>
      <c r="D2807" s="92"/>
      <c r="E2807" s="96"/>
      <c r="F2807" s="97"/>
      <c r="G2807" s="94"/>
      <c r="H2807" s="96"/>
    </row>
    <row r="2808" spans="1:8" ht="15" x14ac:dyDescent="0.25">
      <c r="A2808" s="95"/>
      <c r="B2808" s="95"/>
      <c r="C2808" s="95"/>
      <c r="D2808" s="92"/>
      <c r="E2808" s="96"/>
      <c r="F2808" s="97"/>
      <c r="G2808" s="94"/>
      <c r="H2808" s="96"/>
    </row>
    <row r="2809" spans="1:8" ht="15" x14ac:dyDescent="0.25">
      <c r="A2809" s="95"/>
      <c r="B2809" s="95"/>
      <c r="C2809" s="95"/>
      <c r="D2809" s="92"/>
      <c r="E2809" s="96"/>
      <c r="F2809" s="97"/>
      <c r="G2809" s="94"/>
      <c r="H2809" s="96"/>
    </row>
    <row r="2810" spans="1:8" ht="15" x14ac:dyDescent="0.25">
      <c r="A2810" s="95"/>
      <c r="B2810" s="95"/>
      <c r="C2810" s="95"/>
      <c r="D2810" s="92"/>
      <c r="E2810" s="96"/>
      <c r="F2810" s="97"/>
      <c r="G2810" s="94"/>
      <c r="H2810" s="96"/>
    </row>
    <row r="2811" spans="1:8" ht="15" x14ac:dyDescent="0.25">
      <c r="A2811" s="95"/>
      <c r="B2811" s="95"/>
      <c r="C2811" s="95"/>
      <c r="D2811" s="92"/>
      <c r="E2811" s="96"/>
      <c r="F2811" s="97"/>
      <c r="G2811" s="94"/>
      <c r="H2811" s="96"/>
    </row>
    <row r="2812" spans="1:8" ht="15" x14ac:dyDescent="0.25">
      <c r="A2812" s="95"/>
      <c r="B2812" s="95"/>
      <c r="C2812" s="95"/>
      <c r="D2812" s="92"/>
      <c r="E2812" s="96"/>
      <c r="F2812" s="97"/>
      <c r="G2812" s="94"/>
      <c r="H2812" s="96"/>
    </row>
    <row r="2813" spans="1:8" ht="15" x14ac:dyDescent="0.25">
      <c r="A2813" s="95"/>
      <c r="B2813" s="95"/>
      <c r="C2813" s="95"/>
      <c r="D2813" s="92"/>
      <c r="E2813" s="96"/>
      <c r="F2813" s="97"/>
      <c r="G2813" s="94"/>
      <c r="H2813" s="96"/>
    </row>
    <row r="2814" spans="1:8" ht="15" x14ac:dyDescent="0.25">
      <c r="A2814" s="95"/>
      <c r="B2814" s="95"/>
      <c r="C2814" s="95"/>
      <c r="D2814" s="92"/>
      <c r="E2814" s="96"/>
      <c r="F2814" s="97"/>
      <c r="G2814" s="94"/>
      <c r="H2814" s="96"/>
    </row>
    <row r="2815" spans="1:8" ht="15" x14ac:dyDescent="0.25">
      <c r="A2815" s="95"/>
      <c r="B2815" s="95"/>
      <c r="C2815" s="95"/>
      <c r="D2815" s="92"/>
      <c r="E2815" s="96"/>
      <c r="F2815" s="97"/>
      <c r="G2815" s="94"/>
      <c r="H2815" s="96"/>
    </row>
    <row r="2816" spans="1:8" ht="15" x14ac:dyDescent="0.25">
      <c r="A2816" s="95"/>
      <c r="B2816" s="95"/>
      <c r="C2816" s="95"/>
      <c r="D2816" s="92"/>
      <c r="E2816" s="96"/>
      <c r="F2816" s="97"/>
      <c r="G2816" s="94"/>
      <c r="H2816" s="96"/>
    </row>
    <row r="2817" spans="1:8" ht="15" x14ac:dyDescent="0.25">
      <c r="A2817" s="95"/>
      <c r="B2817" s="95"/>
      <c r="C2817" s="95"/>
      <c r="D2817" s="92"/>
      <c r="E2817" s="96"/>
      <c r="F2817" s="97"/>
      <c r="G2817" s="94"/>
      <c r="H2817" s="96"/>
    </row>
    <row r="2818" spans="1:8" ht="15" x14ac:dyDescent="0.25">
      <c r="A2818" s="95"/>
      <c r="B2818" s="95"/>
      <c r="C2818" s="95"/>
      <c r="D2818" s="92"/>
      <c r="E2818" s="96"/>
      <c r="F2818" s="97"/>
      <c r="G2818" s="94"/>
      <c r="H2818" s="96"/>
    </row>
    <row r="2819" spans="1:8" ht="15" x14ac:dyDescent="0.25">
      <c r="A2819" s="95"/>
      <c r="B2819" s="95"/>
      <c r="C2819" s="95"/>
      <c r="D2819" s="92"/>
      <c r="E2819" s="96"/>
      <c r="F2819" s="97"/>
      <c r="G2819" s="94"/>
      <c r="H2819" s="96"/>
    </row>
    <row r="2820" spans="1:8" ht="15" x14ac:dyDescent="0.25">
      <c r="A2820" s="95"/>
      <c r="B2820" s="95"/>
      <c r="C2820" s="95"/>
      <c r="D2820" s="92"/>
      <c r="E2820" s="96"/>
      <c r="F2820" s="97"/>
      <c r="G2820" s="94"/>
      <c r="H2820" s="96"/>
    </row>
    <row r="2821" spans="1:8" ht="15" x14ac:dyDescent="0.25">
      <c r="A2821" s="95"/>
      <c r="B2821" s="95"/>
      <c r="C2821" s="95"/>
      <c r="D2821" s="92"/>
      <c r="E2821" s="96"/>
      <c r="F2821" s="97"/>
      <c r="G2821" s="94"/>
      <c r="H2821" s="96"/>
    </row>
    <row r="2822" spans="1:8" ht="15" x14ac:dyDescent="0.25">
      <c r="A2822" s="95"/>
      <c r="B2822" s="95"/>
      <c r="C2822" s="95"/>
      <c r="D2822" s="92"/>
      <c r="E2822" s="96"/>
      <c r="F2822" s="97"/>
      <c r="G2822" s="94"/>
      <c r="H2822" s="96"/>
    </row>
    <row r="2823" spans="1:8" ht="15" x14ac:dyDescent="0.25">
      <c r="A2823" s="95"/>
      <c r="B2823" s="95"/>
      <c r="C2823" s="95"/>
      <c r="D2823" s="92"/>
      <c r="E2823" s="96"/>
      <c r="F2823" s="97"/>
      <c r="G2823" s="94"/>
      <c r="H2823" s="96"/>
    </row>
    <row r="2824" spans="1:8" ht="15" x14ac:dyDescent="0.25">
      <c r="A2824" s="95"/>
      <c r="B2824" s="95"/>
      <c r="C2824" s="95"/>
      <c r="D2824" s="92"/>
      <c r="E2824" s="96"/>
      <c r="F2824" s="97"/>
      <c r="G2824" s="94"/>
      <c r="H2824" s="96"/>
    </row>
    <row r="2825" spans="1:8" ht="15" x14ac:dyDescent="0.25">
      <c r="A2825" s="95"/>
      <c r="B2825" s="95"/>
      <c r="C2825" s="95"/>
      <c r="D2825" s="92"/>
      <c r="E2825" s="96"/>
      <c r="F2825" s="97"/>
      <c r="G2825" s="94"/>
      <c r="H2825" s="96"/>
    </row>
    <row r="2826" spans="1:8" ht="15" x14ac:dyDescent="0.25">
      <c r="A2826" s="95"/>
      <c r="B2826" s="95"/>
      <c r="C2826" s="95"/>
      <c r="D2826" s="92"/>
      <c r="E2826" s="96"/>
      <c r="F2826" s="97"/>
      <c r="G2826" s="94"/>
      <c r="H2826" s="96"/>
    </row>
    <row r="2827" spans="1:8" ht="15" x14ac:dyDescent="0.25">
      <c r="A2827" s="95"/>
      <c r="B2827" s="95"/>
      <c r="C2827" s="95"/>
      <c r="D2827" s="92"/>
      <c r="E2827" s="96"/>
      <c r="F2827" s="97"/>
      <c r="G2827" s="94"/>
      <c r="H2827" s="96"/>
    </row>
    <row r="2828" spans="1:8" ht="15" x14ac:dyDescent="0.25">
      <c r="A2828" s="95"/>
      <c r="B2828" s="95"/>
      <c r="C2828" s="95"/>
      <c r="D2828" s="92"/>
      <c r="E2828" s="96"/>
      <c r="F2828" s="97"/>
      <c r="G2828" s="94"/>
      <c r="H2828" s="96"/>
    </row>
    <row r="2829" spans="1:8" ht="15" x14ac:dyDescent="0.25">
      <c r="A2829" s="95"/>
      <c r="B2829" s="95"/>
      <c r="C2829" s="95"/>
      <c r="D2829" s="92"/>
      <c r="E2829" s="96"/>
      <c r="F2829" s="97"/>
      <c r="G2829" s="94"/>
      <c r="H2829" s="96"/>
    </row>
    <row r="2830" spans="1:8" ht="15" x14ac:dyDescent="0.25">
      <c r="A2830" s="95"/>
      <c r="B2830" s="95"/>
      <c r="C2830" s="95"/>
      <c r="D2830" s="92"/>
      <c r="E2830" s="96"/>
      <c r="F2830" s="97"/>
      <c r="G2830" s="94"/>
      <c r="H2830" s="96"/>
    </row>
    <row r="2831" spans="1:8" ht="15" x14ac:dyDescent="0.25">
      <c r="A2831" s="95"/>
      <c r="B2831" s="95"/>
      <c r="C2831" s="95"/>
      <c r="D2831" s="92"/>
      <c r="E2831" s="96"/>
      <c r="F2831" s="97"/>
      <c r="G2831" s="94"/>
      <c r="H2831" s="96"/>
    </row>
    <row r="2832" spans="1:8" ht="15" x14ac:dyDescent="0.25">
      <c r="A2832" s="95"/>
      <c r="B2832" s="95"/>
      <c r="C2832" s="95"/>
      <c r="D2832" s="92"/>
      <c r="E2832" s="96"/>
      <c r="F2832" s="97"/>
      <c r="G2832" s="94"/>
      <c r="H2832" s="96"/>
    </row>
    <row r="2833" spans="1:8" ht="15" x14ac:dyDescent="0.25">
      <c r="A2833" s="95"/>
      <c r="B2833" s="95"/>
      <c r="C2833" s="95"/>
      <c r="D2833" s="92"/>
      <c r="E2833" s="96"/>
      <c r="F2833" s="97"/>
      <c r="G2833" s="94"/>
      <c r="H2833" s="96"/>
    </row>
    <row r="2834" spans="1:8" ht="15" x14ac:dyDescent="0.25">
      <c r="A2834" s="95"/>
      <c r="B2834" s="95"/>
      <c r="C2834" s="95"/>
      <c r="D2834" s="92"/>
      <c r="E2834" s="96"/>
      <c r="F2834" s="97"/>
      <c r="G2834" s="94"/>
      <c r="H2834" s="96"/>
    </row>
    <row r="2835" spans="1:8" ht="15" x14ac:dyDescent="0.25">
      <c r="A2835" s="95"/>
      <c r="B2835" s="95"/>
      <c r="C2835" s="95"/>
      <c r="D2835" s="92"/>
      <c r="E2835" s="96"/>
      <c r="F2835" s="97"/>
      <c r="G2835" s="94"/>
      <c r="H2835" s="96"/>
    </row>
    <row r="2836" spans="1:8" ht="15" x14ac:dyDescent="0.25">
      <c r="A2836" s="95"/>
      <c r="B2836" s="95"/>
      <c r="C2836" s="95"/>
      <c r="D2836" s="92"/>
      <c r="E2836" s="96"/>
      <c r="F2836" s="97"/>
      <c r="G2836" s="94"/>
      <c r="H2836" s="96"/>
    </row>
    <row r="2837" spans="1:8" ht="15" x14ac:dyDescent="0.25">
      <c r="A2837" s="95"/>
      <c r="B2837" s="95"/>
      <c r="C2837" s="95"/>
      <c r="D2837" s="92"/>
      <c r="E2837" s="96"/>
      <c r="F2837" s="97"/>
      <c r="G2837" s="94"/>
      <c r="H2837" s="96"/>
    </row>
    <row r="2838" spans="1:8" ht="15" x14ac:dyDescent="0.25">
      <c r="A2838" s="95"/>
      <c r="B2838" s="95"/>
      <c r="C2838" s="95"/>
      <c r="D2838" s="92"/>
      <c r="E2838" s="96"/>
      <c r="F2838" s="97"/>
      <c r="G2838" s="94"/>
      <c r="H2838" s="96"/>
    </row>
    <row r="2839" spans="1:8" ht="15" x14ac:dyDescent="0.25">
      <c r="A2839" s="95"/>
      <c r="B2839" s="95"/>
      <c r="C2839" s="95"/>
      <c r="D2839" s="92"/>
      <c r="E2839" s="96"/>
      <c r="F2839" s="97"/>
      <c r="G2839" s="94"/>
      <c r="H2839" s="96"/>
    </row>
    <row r="2840" spans="1:8" ht="15" x14ac:dyDescent="0.25">
      <c r="A2840" s="95"/>
      <c r="B2840" s="95"/>
      <c r="C2840" s="95"/>
      <c r="D2840" s="92"/>
      <c r="E2840" s="96"/>
      <c r="F2840" s="97"/>
      <c r="G2840" s="94"/>
      <c r="H2840" s="96"/>
    </row>
    <row r="2841" spans="1:8" ht="15" x14ac:dyDescent="0.25">
      <c r="A2841" s="95"/>
      <c r="B2841" s="95"/>
      <c r="C2841" s="95"/>
      <c r="D2841" s="92"/>
      <c r="E2841" s="96"/>
      <c r="F2841" s="97"/>
      <c r="G2841" s="94"/>
      <c r="H2841" s="96"/>
    </row>
    <row r="2842" spans="1:8" ht="15" x14ac:dyDescent="0.25">
      <c r="A2842" s="95"/>
      <c r="B2842" s="95"/>
      <c r="C2842" s="95"/>
      <c r="D2842" s="92"/>
      <c r="E2842" s="96"/>
      <c r="F2842" s="97"/>
      <c r="G2842" s="94"/>
      <c r="H2842" s="96"/>
    </row>
    <row r="2843" spans="1:8" ht="15" x14ac:dyDescent="0.25">
      <c r="A2843" s="95"/>
      <c r="B2843" s="95"/>
      <c r="C2843" s="95"/>
      <c r="D2843" s="92"/>
      <c r="E2843" s="96"/>
      <c r="F2843" s="97"/>
      <c r="G2843" s="94"/>
      <c r="H2843" s="96"/>
    </row>
    <row r="2844" spans="1:8" ht="15" x14ac:dyDescent="0.25">
      <c r="A2844" s="95"/>
      <c r="B2844" s="95"/>
      <c r="C2844" s="95"/>
      <c r="D2844" s="92"/>
      <c r="E2844" s="96"/>
      <c r="F2844" s="97"/>
      <c r="G2844" s="94"/>
      <c r="H2844" s="96"/>
    </row>
    <row r="2845" spans="1:8" ht="15" x14ac:dyDescent="0.25">
      <c r="A2845" s="95"/>
      <c r="B2845" s="95"/>
      <c r="C2845" s="95"/>
      <c r="D2845" s="92"/>
      <c r="E2845" s="96"/>
      <c r="F2845" s="97"/>
      <c r="G2845" s="94"/>
      <c r="H2845" s="96"/>
    </row>
    <row r="2846" spans="1:8" ht="15" x14ac:dyDescent="0.25">
      <c r="A2846" s="95"/>
      <c r="B2846" s="95"/>
      <c r="C2846" s="95"/>
      <c r="D2846" s="92"/>
      <c r="E2846" s="96"/>
      <c r="F2846" s="97"/>
      <c r="G2846" s="94"/>
      <c r="H2846" s="96"/>
    </row>
    <row r="2847" spans="1:8" ht="15" x14ac:dyDescent="0.25">
      <c r="A2847" s="95"/>
      <c r="B2847" s="95"/>
      <c r="C2847" s="95"/>
      <c r="D2847" s="92"/>
      <c r="E2847" s="96"/>
      <c r="F2847" s="97"/>
      <c r="G2847" s="94"/>
      <c r="H2847" s="96"/>
    </row>
    <row r="2848" spans="1:8" ht="15" x14ac:dyDescent="0.25">
      <c r="A2848" s="95"/>
      <c r="B2848" s="95"/>
      <c r="C2848" s="95"/>
      <c r="D2848" s="92"/>
      <c r="E2848" s="96"/>
      <c r="F2848" s="97"/>
      <c r="G2848" s="94"/>
      <c r="H2848" s="96"/>
    </row>
    <row r="2849" spans="1:8" ht="15" x14ac:dyDescent="0.25">
      <c r="A2849" s="95"/>
      <c r="B2849" s="95"/>
      <c r="C2849" s="95"/>
      <c r="D2849" s="92"/>
      <c r="E2849" s="96"/>
      <c r="F2849" s="97"/>
      <c r="G2849" s="94"/>
      <c r="H2849" s="96"/>
    </row>
    <row r="2850" spans="1:8" ht="15" x14ac:dyDescent="0.25">
      <c r="A2850" s="95"/>
      <c r="B2850" s="95"/>
      <c r="C2850" s="95"/>
      <c r="D2850" s="92"/>
      <c r="E2850" s="96"/>
      <c r="F2850" s="97"/>
      <c r="G2850" s="94"/>
      <c r="H2850" s="96"/>
    </row>
    <row r="2851" spans="1:8" ht="15" x14ac:dyDescent="0.25">
      <c r="A2851" s="95"/>
      <c r="B2851" s="95"/>
      <c r="C2851" s="95"/>
      <c r="D2851" s="92"/>
      <c r="E2851" s="96"/>
      <c r="F2851" s="97"/>
      <c r="G2851" s="94"/>
      <c r="H2851" s="96"/>
    </row>
    <row r="2852" spans="1:8" ht="15" x14ac:dyDescent="0.25">
      <c r="A2852" s="95"/>
      <c r="B2852" s="95"/>
      <c r="C2852" s="95"/>
      <c r="D2852" s="92"/>
      <c r="E2852" s="96"/>
      <c r="F2852" s="97"/>
      <c r="G2852" s="94"/>
      <c r="H2852" s="96"/>
    </row>
    <row r="2853" spans="1:8" ht="15" x14ac:dyDescent="0.25">
      <c r="A2853" s="95"/>
      <c r="B2853" s="95"/>
      <c r="C2853" s="95"/>
      <c r="D2853" s="92"/>
      <c r="E2853" s="96"/>
      <c r="F2853" s="97"/>
      <c r="G2853" s="94"/>
      <c r="H2853" s="96"/>
    </row>
    <row r="2854" spans="1:8" ht="15" x14ac:dyDescent="0.25">
      <c r="A2854" s="95"/>
      <c r="B2854" s="95"/>
      <c r="C2854" s="95"/>
      <c r="D2854" s="92"/>
      <c r="E2854" s="96"/>
      <c r="F2854" s="97"/>
      <c r="G2854" s="94"/>
      <c r="H2854" s="96"/>
    </row>
    <row r="2855" spans="1:8" ht="15" x14ac:dyDescent="0.25">
      <c r="A2855" s="95"/>
      <c r="B2855" s="95"/>
      <c r="C2855" s="95"/>
      <c r="D2855" s="92"/>
      <c r="E2855" s="96"/>
      <c r="F2855" s="97"/>
      <c r="G2855" s="94"/>
      <c r="H2855" s="96"/>
    </row>
    <row r="2856" spans="1:8" ht="15" x14ac:dyDescent="0.25">
      <c r="A2856" s="95"/>
      <c r="B2856" s="95"/>
      <c r="C2856" s="95"/>
      <c r="D2856" s="92"/>
      <c r="E2856" s="96"/>
      <c r="F2856" s="97"/>
      <c r="G2856" s="94"/>
      <c r="H2856" s="96"/>
    </row>
    <row r="2857" spans="1:8" ht="15" x14ac:dyDescent="0.25">
      <c r="A2857" s="95"/>
      <c r="B2857" s="95"/>
      <c r="C2857" s="95"/>
      <c r="D2857" s="92"/>
      <c r="E2857" s="96"/>
      <c r="F2857" s="97"/>
      <c r="G2857" s="94"/>
      <c r="H2857" s="96"/>
    </row>
    <row r="2858" spans="1:8" ht="15" x14ac:dyDescent="0.25">
      <c r="A2858" s="95"/>
      <c r="B2858" s="95"/>
      <c r="C2858" s="95"/>
      <c r="D2858" s="92"/>
      <c r="E2858" s="96"/>
      <c r="F2858" s="97"/>
      <c r="G2858" s="94"/>
      <c r="H2858" s="96"/>
    </row>
    <row r="2859" spans="1:8" ht="15" x14ac:dyDescent="0.25">
      <c r="A2859" s="95"/>
      <c r="B2859" s="95"/>
      <c r="C2859" s="95"/>
      <c r="D2859" s="92"/>
      <c r="E2859" s="96"/>
      <c r="F2859" s="97"/>
      <c r="G2859" s="94"/>
      <c r="H2859" s="96"/>
    </row>
    <row r="2860" spans="1:8" ht="15" x14ac:dyDescent="0.25">
      <c r="A2860" s="95"/>
      <c r="B2860" s="95"/>
      <c r="C2860" s="95"/>
      <c r="D2860" s="92"/>
      <c r="E2860" s="96"/>
      <c r="F2860" s="97"/>
      <c r="G2860" s="94"/>
      <c r="H2860" s="96"/>
    </row>
    <row r="2861" spans="1:8" ht="15" x14ac:dyDescent="0.25">
      <c r="A2861" s="95"/>
      <c r="B2861" s="95"/>
      <c r="C2861" s="95"/>
      <c r="D2861" s="92"/>
      <c r="E2861" s="96"/>
      <c r="F2861" s="97"/>
      <c r="G2861" s="94"/>
      <c r="H2861" s="96"/>
    </row>
    <row r="2862" spans="1:8" ht="15" x14ac:dyDescent="0.25">
      <c r="A2862" s="95"/>
      <c r="B2862" s="95"/>
      <c r="C2862" s="95"/>
      <c r="D2862" s="92"/>
      <c r="E2862" s="96"/>
      <c r="F2862" s="97"/>
      <c r="G2862" s="94"/>
      <c r="H2862" s="96"/>
    </row>
    <row r="2863" spans="1:8" ht="15" x14ac:dyDescent="0.25">
      <c r="A2863" s="95"/>
      <c r="B2863" s="95"/>
      <c r="C2863" s="95"/>
      <c r="D2863" s="92"/>
      <c r="E2863" s="96"/>
      <c r="F2863" s="97"/>
      <c r="G2863" s="94"/>
      <c r="H2863" s="96"/>
    </row>
    <row r="2864" spans="1:8" ht="15" x14ac:dyDescent="0.25">
      <c r="A2864" s="95"/>
      <c r="B2864" s="95"/>
      <c r="C2864" s="95"/>
      <c r="D2864" s="92"/>
      <c r="E2864" s="96"/>
      <c r="F2864" s="97"/>
      <c r="G2864" s="94"/>
      <c r="H2864" s="96"/>
    </row>
    <row r="2865" spans="1:8" ht="15" x14ac:dyDescent="0.25">
      <c r="A2865" s="95"/>
      <c r="B2865" s="95"/>
      <c r="C2865" s="95"/>
      <c r="D2865" s="92"/>
      <c r="E2865" s="96"/>
      <c r="F2865" s="97"/>
      <c r="G2865" s="94"/>
      <c r="H2865" s="96"/>
    </row>
    <row r="2866" spans="1:8" ht="15" x14ac:dyDescent="0.25">
      <c r="A2866" s="95"/>
      <c r="B2866" s="95"/>
      <c r="C2866" s="95"/>
      <c r="D2866" s="92"/>
      <c r="E2866" s="96"/>
      <c r="F2866" s="97"/>
      <c r="G2866" s="94"/>
      <c r="H2866" s="96"/>
    </row>
    <row r="2867" spans="1:8" ht="15" x14ac:dyDescent="0.25">
      <c r="A2867" s="95"/>
      <c r="B2867" s="95"/>
      <c r="C2867" s="95"/>
      <c r="D2867" s="92"/>
      <c r="E2867" s="96"/>
      <c r="F2867" s="97"/>
      <c r="G2867" s="94"/>
      <c r="H2867" s="96"/>
    </row>
    <row r="2868" spans="1:8" ht="15" x14ac:dyDescent="0.25">
      <c r="A2868" s="95"/>
      <c r="B2868" s="95"/>
      <c r="C2868" s="95"/>
      <c r="D2868" s="92"/>
      <c r="E2868" s="96"/>
      <c r="F2868" s="97"/>
      <c r="G2868" s="94"/>
      <c r="H2868" s="96"/>
    </row>
    <row r="2869" spans="1:8" ht="15" x14ac:dyDescent="0.25">
      <c r="A2869" s="95"/>
      <c r="B2869" s="95"/>
      <c r="C2869" s="95"/>
      <c r="D2869" s="92"/>
      <c r="E2869" s="96"/>
      <c r="F2869" s="97"/>
      <c r="G2869" s="94"/>
      <c r="H2869" s="96"/>
    </row>
    <row r="2870" spans="1:8" ht="15" x14ac:dyDescent="0.25">
      <c r="A2870" s="95"/>
      <c r="B2870" s="95"/>
      <c r="C2870" s="95"/>
      <c r="D2870" s="92"/>
      <c r="E2870" s="96"/>
      <c r="F2870" s="97"/>
      <c r="G2870" s="94"/>
      <c r="H2870" s="96"/>
    </row>
    <row r="2871" spans="1:8" ht="15" x14ac:dyDescent="0.25">
      <c r="A2871" s="95"/>
      <c r="B2871" s="95"/>
      <c r="C2871" s="95"/>
      <c r="D2871" s="92"/>
      <c r="E2871" s="96"/>
      <c r="F2871" s="97"/>
      <c r="G2871" s="94"/>
      <c r="H2871" s="96"/>
    </row>
    <row r="2872" spans="1:8" ht="15" x14ac:dyDescent="0.25">
      <c r="A2872" s="95"/>
      <c r="B2872" s="95"/>
      <c r="C2872" s="95"/>
      <c r="D2872" s="92"/>
      <c r="E2872" s="96"/>
      <c r="F2872" s="97"/>
      <c r="G2872" s="94"/>
      <c r="H2872" s="96"/>
    </row>
    <row r="2873" spans="1:8" ht="15" x14ac:dyDescent="0.25">
      <c r="A2873" s="95"/>
      <c r="B2873" s="95"/>
      <c r="C2873" s="95"/>
      <c r="D2873" s="92"/>
      <c r="E2873" s="96"/>
      <c r="F2873" s="97"/>
      <c r="G2873" s="94"/>
      <c r="H2873" s="96"/>
    </row>
    <row r="2874" spans="1:8" ht="15" x14ac:dyDescent="0.25">
      <c r="A2874" s="95"/>
      <c r="B2874" s="95"/>
      <c r="C2874" s="95"/>
      <c r="D2874" s="92"/>
      <c r="E2874" s="96"/>
      <c r="F2874" s="97"/>
      <c r="G2874" s="94"/>
      <c r="H2874" s="96"/>
    </row>
    <row r="2875" spans="1:8" ht="15" x14ac:dyDescent="0.25">
      <c r="A2875" s="95"/>
      <c r="B2875" s="95"/>
      <c r="C2875" s="95"/>
      <c r="D2875" s="92"/>
      <c r="E2875" s="96"/>
      <c r="F2875" s="97"/>
      <c r="G2875" s="94"/>
      <c r="H2875" s="96"/>
    </row>
    <row r="2876" spans="1:8" ht="15" x14ac:dyDescent="0.25">
      <c r="A2876" s="95"/>
      <c r="B2876" s="95"/>
      <c r="C2876" s="95"/>
      <c r="D2876" s="92"/>
      <c r="E2876" s="96"/>
      <c r="F2876" s="97"/>
      <c r="G2876" s="94"/>
      <c r="H2876" s="96"/>
    </row>
    <row r="2877" spans="1:8" ht="15" x14ac:dyDescent="0.25">
      <c r="A2877" s="95"/>
      <c r="B2877" s="95"/>
      <c r="C2877" s="95"/>
      <c r="D2877" s="92"/>
      <c r="E2877" s="96"/>
      <c r="F2877" s="97"/>
      <c r="G2877" s="94"/>
      <c r="H2877" s="96"/>
    </row>
    <row r="2878" spans="1:8" ht="15" x14ac:dyDescent="0.25">
      <c r="A2878" s="95"/>
      <c r="B2878" s="95"/>
      <c r="C2878" s="95"/>
      <c r="D2878" s="92"/>
      <c r="E2878" s="96"/>
      <c r="F2878" s="97"/>
      <c r="G2878" s="94"/>
      <c r="H2878" s="96"/>
    </row>
    <row r="2879" spans="1:8" ht="15" x14ac:dyDescent="0.25">
      <c r="A2879" s="95"/>
      <c r="B2879" s="95"/>
      <c r="C2879" s="95"/>
      <c r="D2879" s="92"/>
      <c r="E2879" s="96"/>
      <c r="F2879" s="97"/>
      <c r="G2879" s="94"/>
      <c r="H2879" s="96"/>
    </row>
    <row r="2880" spans="1:8" ht="15" x14ac:dyDescent="0.25">
      <c r="A2880" s="95"/>
      <c r="B2880" s="95"/>
      <c r="C2880" s="95"/>
      <c r="D2880" s="92"/>
      <c r="E2880" s="96"/>
      <c r="F2880" s="97"/>
      <c r="G2880" s="94"/>
      <c r="H2880" s="96"/>
    </row>
    <row r="2881" spans="1:8" ht="15" x14ac:dyDescent="0.25">
      <c r="A2881" s="95"/>
      <c r="B2881" s="95"/>
      <c r="C2881" s="95"/>
      <c r="D2881" s="92"/>
      <c r="E2881" s="96"/>
      <c r="F2881" s="97"/>
      <c r="G2881" s="94"/>
      <c r="H2881" s="96"/>
    </row>
    <row r="2882" spans="1:8" ht="15" x14ac:dyDescent="0.25">
      <c r="A2882" s="95"/>
      <c r="B2882" s="95"/>
      <c r="C2882" s="95"/>
      <c r="D2882" s="92"/>
      <c r="E2882" s="96"/>
      <c r="F2882" s="97"/>
      <c r="G2882" s="94"/>
      <c r="H2882" s="96"/>
    </row>
    <row r="2883" spans="1:8" ht="15" x14ac:dyDescent="0.25">
      <c r="A2883" s="95"/>
      <c r="B2883" s="95"/>
      <c r="C2883" s="95"/>
      <c r="D2883" s="92"/>
      <c r="E2883" s="96"/>
      <c r="F2883" s="97"/>
      <c r="G2883" s="94"/>
      <c r="H2883" s="96"/>
    </row>
    <row r="2884" spans="1:8" ht="15" x14ac:dyDescent="0.25">
      <c r="A2884" s="95"/>
      <c r="B2884" s="95"/>
      <c r="C2884" s="95"/>
      <c r="D2884" s="92"/>
      <c r="E2884" s="96"/>
      <c r="F2884" s="97"/>
      <c r="G2884" s="94"/>
      <c r="H2884" s="96"/>
    </row>
    <row r="2885" spans="1:8" ht="15" x14ac:dyDescent="0.25">
      <c r="A2885" s="95"/>
      <c r="B2885" s="95"/>
      <c r="C2885" s="95"/>
      <c r="D2885" s="92"/>
      <c r="E2885" s="96"/>
      <c r="F2885" s="97"/>
      <c r="G2885" s="94"/>
      <c r="H2885" s="96"/>
    </row>
    <row r="2886" spans="1:8" ht="15" x14ac:dyDescent="0.25">
      <c r="A2886" s="95"/>
      <c r="B2886" s="95"/>
      <c r="C2886" s="95"/>
      <c r="D2886" s="92"/>
      <c r="E2886" s="96"/>
      <c r="F2886" s="97"/>
      <c r="G2886" s="94"/>
      <c r="H2886" s="96"/>
    </row>
    <row r="2887" spans="1:8" ht="15" x14ac:dyDescent="0.25">
      <c r="A2887" s="95"/>
      <c r="B2887" s="95"/>
      <c r="C2887" s="95"/>
      <c r="D2887" s="92"/>
      <c r="E2887" s="96"/>
      <c r="F2887" s="97"/>
      <c r="G2887" s="94"/>
      <c r="H2887" s="96"/>
    </row>
    <row r="2888" spans="1:8" ht="15" x14ac:dyDescent="0.25">
      <c r="A2888" s="95"/>
      <c r="B2888" s="95"/>
      <c r="C2888" s="95"/>
      <c r="D2888" s="92"/>
      <c r="E2888" s="96"/>
      <c r="F2888" s="97"/>
      <c r="G2888" s="94"/>
      <c r="H2888" s="96"/>
    </row>
    <row r="2889" spans="1:8" ht="15" x14ac:dyDescent="0.25">
      <c r="A2889" s="95"/>
      <c r="B2889" s="95"/>
      <c r="C2889" s="95"/>
      <c r="D2889" s="92"/>
      <c r="E2889" s="96"/>
      <c r="F2889" s="97"/>
      <c r="G2889" s="94"/>
      <c r="H2889" s="96"/>
    </row>
    <row r="2890" spans="1:8" ht="15" x14ac:dyDescent="0.25">
      <c r="A2890" s="95"/>
      <c r="B2890" s="95"/>
      <c r="C2890" s="95"/>
      <c r="D2890" s="92"/>
      <c r="E2890" s="96"/>
      <c r="F2890" s="97"/>
      <c r="G2890" s="94"/>
      <c r="H2890" s="96"/>
    </row>
    <row r="2891" spans="1:8" ht="15" x14ac:dyDescent="0.25">
      <c r="A2891" s="95"/>
      <c r="B2891" s="95"/>
      <c r="C2891" s="95"/>
      <c r="D2891" s="92"/>
      <c r="E2891" s="96"/>
      <c r="F2891" s="97"/>
      <c r="G2891" s="94"/>
      <c r="H2891" s="96"/>
    </row>
    <row r="2892" spans="1:8" ht="15" x14ac:dyDescent="0.25">
      <c r="A2892" s="95"/>
      <c r="B2892" s="95"/>
      <c r="C2892" s="95"/>
      <c r="D2892" s="92"/>
      <c r="E2892" s="96"/>
      <c r="F2892" s="97"/>
      <c r="G2892" s="94"/>
      <c r="H2892" s="96"/>
    </row>
    <row r="2893" spans="1:8" ht="15" x14ac:dyDescent="0.25">
      <c r="A2893" s="95"/>
      <c r="B2893" s="95"/>
      <c r="C2893" s="95"/>
      <c r="D2893" s="92"/>
      <c r="E2893" s="96"/>
      <c r="F2893" s="97"/>
      <c r="G2893" s="94"/>
      <c r="H2893" s="96"/>
    </row>
    <row r="2894" spans="1:8" ht="15" x14ac:dyDescent="0.25">
      <c r="A2894" s="95"/>
      <c r="B2894" s="95"/>
      <c r="C2894" s="95"/>
      <c r="D2894" s="92"/>
      <c r="E2894" s="96"/>
      <c r="F2894" s="97"/>
      <c r="G2894" s="94"/>
      <c r="H2894" s="96"/>
    </row>
    <row r="2895" spans="1:8" ht="15" x14ac:dyDescent="0.25">
      <c r="A2895" s="95"/>
      <c r="B2895" s="95"/>
      <c r="C2895" s="95"/>
      <c r="D2895" s="92"/>
      <c r="E2895" s="96"/>
      <c r="F2895" s="97"/>
      <c r="G2895" s="94"/>
      <c r="H2895" s="96"/>
    </row>
    <row r="2896" spans="1:8" ht="15" x14ac:dyDescent="0.25">
      <c r="A2896" s="95"/>
      <c r="B2896" s="95"/>
      <c r="C2896" s="95"/>
      <c r="D2896" s="92"/>
      <c r="E2896" s="96"/>
      <c r="F2896" s="97"/>
      <c r="G2896" s="94"/>
      <c r="H2896" s="96"/>
    </row>
    <row r="2897" spans="1:8" ht="15" x14ac:dyDescent="0.25">
      <c r="A2897" s="95"/>
      <c r="B2897" s="95"/>
      <c r="C2897" s="95"/>
      <c r="D2897" s="92"/>
      <c r="E2897" s="96"/>
      <c r="F2897" s="97"/>
      <c r="G2897" s="94"/>
      <c r="H2897" s="96"/>
    </row>
    <row r="2898" spans="1:8" ht="15" x14ac:dyDescent="0.25">
      <c r="A2898" s="95"/>
      <c r="B2898" s="95"/>
      <c r="C2898" s="95"/>
      <c r="D2898" s="92"/>
      <c r="E2898" s="96"/>
      <c r="F2898" s="97"/>
      <c r="G2898" s="94"/>
      <c r="H2898" s="96"/>
    </row>
    <row r="2899" spans="1:8" ht="15" x14ac:dyDescent="0.25">
      <c r="A2899" s="95"/>
      <c r="B2899" s="95"/>
      <c r="C2899" s="95"/>
      <c r="D2899" s="92"/>
      <c r="E2899" s="96"/>
      <c r="F2899" s="97"/>
      <c r="G2899" s="94"/>
      <c r="H2899" s="96"/>
    </row>
    <row r="2900" spans="1:8" ht="15" x14ac:dyDescent="0.25">
      <c r="A2900" s="95"/>
      <c r="B2900" s="95"/>
      <c r="C2900" s="95"/>
      <c r="D2900" s="92"/>
      <c r="E2900" s="96"/>
      <c r="F2900" s="97"/>
      <c r="G2900" s="94"/>
      <c r="H2900" s="96"/>
    </row>
    <row r="2901" spans="1:8" ht="15" x14ac:dyDescent="0.25">
      <c r="A2901" s="95"/>
      <c r="B2901" s="95"/>
      <c r="C2901" s="95"/>
      <c r="D2901" s="92"/>
      <c r="E2901" s="96"/>
      <c r="F2901" s="97"/>
      <c r="G2901" s="94"/>
      <c r="H2901" s="96"/>
    </row>
    <row r="2902" spans="1:8" ht="15" x14ac:dyDescent="0.25">
      <c r="A2902" s="95"/>
      <c r="B2902" s="95"/>
      <c r="C2902" s="95"/>
      <c r="D2902" s="92"/>
      <c r="E2902" s="96"/>
      <c r="F2902" s="97"/>
      <c r="G2902" s="94"/>
      <c r="H2902" s="96"/>
    </row>
    <row r="2903" spans="1:8" ht="15" x14ac:dyDescent="0.25">
      <c r="A2903" s="95"/>
      <c r="B2903" s="95"/>
      <c r="C2903" s="95"/>
      <c r="D2903" s="92"/>
      <c r="E2903" s="96"/>
      <c r="F2903" s="97"/>
      <c r="G2903" s="94"/>
      <c r="H2903" s="96"/>
    </row>
    <row r="2904" spans="1:8" ht="15" x14ac:dyDescent="0.25">
      <c r="A2904" s="95"/>
      <c r="B2904" s="95"/>
      <c r="C2904" s="95"/>
      <c r="D2904" s="92"/>
      <c r="E2904" s="96"/>
      <c r="F2904" s="97"/>
      <c r="G2904" s="94"/>
      <c r="H2904" s="96"/>
    </row>
    <row r="2905" spans="1:8" ht="15" x14ac:dyDescent="0.25">
      <c r="A2905" s="95"/>
      <c r="B2905" s="95"/>
      <c r="C2905" s="95"/>
      <c r="D2905" s="92"/>
      <c r="E2905" s="96"/>
      <c r="F2905" s="97"/>
      <c r="G2905" s="94"/>
      <c r="H2905" s="96"/>
    </row>
    <row r="2906" spans="1:8" ht="15" x14ac:dyDescent="0.25">
      <c r="A2906" s="95"/>
      <c r="B2906" s="95"/>
      <c r="C2906" s="95"/>
      <c r="D2906" s="92"/>
      <c r="E2906" s="96"/>
      <c r="F2906" s="97"/>
      <c r="G2906" s="94"/>
      <c r="H2906" s="96"/>
    </row>
    <row r="2907" spans="1:8" ht="15" x14ac:dyDescent="0.25">
      <c r="A2907" s="95"/>
      <c r="B2907" s="95"/>
      <c r="C2907" s="95"/>
      <c r="D2907" s="92"/>
      <c r="E2907" s="96"/>
      <c r="F2907" s="97"/>
      <c r="G2907" s="94"/>
      <c r="H2907" s="96"/>
    </row>
    <row r="2908" spans="1:8" ht="15" x14ac:dyDescent="0.25">
      <c r="A2908" s="95"/>
      <c r="B2908" s="95"/>
      <c r="C2908" s="95"/>
      <c r="D2908" s="92"/>
      <c r="E2908" s="96"/>
      <c r="F2908" s="97"/>
      <c r="G2908" s="94"/>
      <c r="H2908" s="96"/>
    </row>
    <row r="2909" spans="1:8" ht="15" x14ac:dyDescent="0.25">
      <c r="A2909" s="95"/>
      <c r="B2909" s="95"/>
      <c r="C2909" s="95"/>
      <c r="D2909" s="92"/>
      <c r="E2909" s="96"/>
      <c r="F2909" s="97"/>
      <c r="G2909" s="94"/>
      <c r="H2909" s="96"/>
    </row>
    <row r="2910" spans="1:8" ht="15" x14ac:dyDescent="0.25">
      <c r="A2910" s="95"/>
      <c r="B2910" s="95"/>
      <c r="C2910" s="95"/>
      <c r="D2910" s="92"/>
      <c r="E2910" s="96"/>
      <c r="F2910" s="97"/>
      <c r="G2910" s="94"/>
      <c r="H2910" s="96"/>
    </row>
    <row r="2911" spans="1:8" ht="15" x14ac:dyDescent="0.25">
      <c r="A2911" s="95"/>
      <c r="B2911" s="95"/>
      <c r="C2911" s="95"/>
      <c r="D2911" s="92"/>
      <c r="E2911" s="96"/>
      <c r="F2911" s="97"/>
      <c r="G2911" s="94"/>
      <c r="H2911" s="96"/>
    </row>
    <row r="2912" spans="1:8" ht="15" x14ac:dyDescent="0.25">
      <c r="A2912" s="95"/>
      <c r="B2912" s="95"/>
      <c r="C2912" s="95"/>
      <c r="D2912" s="92"/>
      <c r="E2912" s="96"/>
      <c r="F2912" s="97"/>
      <c r="G2912" s="94"/>
      <c r="H2912" s="96"/>
    </row>
    <row r="2913" spans="1:8" ht="15" x14ac:dyDescent="0.25">
      <c r="A2913" s="95"/>
      <c r="B2913" s="95"/>
      <c r="C2913" s="95"/>
      <c r="D2913" s="92"/>
      <c r="E2913" s="96"/>
      <c r="F2913" s="97"/>
      <c r="G2913" s="94"/>
      <c r="H2913" s="96"/>
    </row>
    <row r="2914" spans="1:8" ht="15" x14ac:dyDescent="0.25">
      <c r="A2914" s="95"/>
      <c r="B2914" s="95"/>
      <c r="C2914" s="95"/>
      <c r="D2914" s="92"/>
      <c r="E2914" s="96"/>
      <c r="F2914" s="97"/>
      <c r="G2914" s="94"/>
      <c r="H2914" s="96"/>
    </row>
    <row r="2915" spans="1:8" ht="15" x14ac:dyDescent="0.25">
      <c r="A2915" s="95"/>
      <c r="B2915" s="95"/>
      <c r="C2915" s="95"/>
      <c r="D2915" s="92"/>
      <c r="E2915" s="96"/>
      <c r="F2915" s="97"/>
      <c r="G2915" s="94"/>
      <c r="H2915" s="96"/>
    </row>
    <row r="2916" spans="1:8" ht="15" x14ac:dyDescent="0.25">
      <c r="A2916" s="95"/>
      <c r="B2916" s="95"/>
      <c r="C2916" s="95"/>
      <c r="D2916" s="92"/>
      <c r="E2916" s="96"/>
      <c r="F2916" s="97"/>
      <c r="G2916" s="94"/>
      <c r="H2916" s="96"/>
    </row>
    <row r="2917" spans="1:8" ht="15" x14ac:dyDescent="0.25">
      <c r="A2917" s="95"/>
      <c r="B2917" s="95"/>
      <c r="C2917" s="95"/>
      <c r="D2917" s="92"/>
      <c r="E2917" s="96"/>
      <c r="F2917" s="97"/>
      <c r="G2917" s="94"/>
      <c r="H2917" s="96"/>
    </row>
    <row r="2918" spans="1:8" ht="15" x14ac:dyDescent="0.25">
      <c r="A2918" s="95"/>
      <c r="B2918" s="95"/>
      <c r="C2918" s="95"/>
      <c r="D2918" s="92"/>
      <c r="E2918" s="96"/>
      <c r="F2918" s="97"/>
      <c r="G2918" s="94"/>
      <c r="H2918" s="96"/>
    </row>
    <row r="2919" spans="1:8" ht="15" x14ac:dyDescent="0.25">
      <c r="A2919" s="95"/>
      <c r="B2919" s="95"/>
      <c r="C2919" s="95"/>
      <c r="D2919" s="92"/>
      <c r="E2919" s="96"/>
      <c r="F2919" s="97"/>
      <c r="G2919" s="94"/>
      <c r="H2919" s="96"/>
    </row>
    <row r="2920" spans="1:8" ht="15" x14ac:dyDescent="0.25">
      <c r="A2920" s="95"/>
      <c r="B2920" s="95"/>
      <c r="C2920" s="95"/>
      <c r="D2920" s="92"/>
      <c r="E2920" s="96"/>
      <c r="F2920" s="97"/>
      <c r="G2920" s="94"/>
      <c r="H2920" s="96"/>
    </row>
    <row r="2921" spans="1:8" ht="15" x14ac:dyDescent="0.25">
      <c r="A2921" s="95"/>
      <c r="B2921" s="95"/>
      <c r="C2921" s="95"/>
      <c r="D2921" s="92"/>
      <c r="E2921" s="96"/>
      <c r="F2921" s="97"/>
      <c r="G2921" s="94"/>
      <c r="H2921" s="96"/>
    </row>
    <row r="2922" spans="1:8" ht="15" x14ac:dyDescent="0.25">
      <c r="A2922" s="95"/>
      <c r="B2922" s="95"/>
      <c r="C2922" s="95"/>
      <c r="D2922" s="92"/>
      <c r="E2922" s="96"/>
      <c r="F2922" s="97"/>
      <c r="G2922" s="94"/>
      <c r="H2922" s="96"/>
    </row>
    <row r="2923" spans="1:8" ht="15" x14ac:dyDescent="0.25">
      <c r="A2923" s="95"/>
      <c r="B2923" s="95"/>
      <c r="C2923" s="95"/>
      <c r="D2923" s="92"/>
      <c r="E2923" s="96"/>
      <c r="F2923" s="97"/>
      <c r="G2923" s="94"/>
      <c r="H2923" s="96"/>
    </row>
    <row r="2924" spans="1:8" ht="15" x14ac:dyDescent="0.25">
      <c r="A2924" s="95"/>
      <c r="B2924" s="95"/>
      <c r="C2924" s="95"/>
      <c r="D2924" s="92"/>
      <c r="E2924" s="96"/>
      <c r="F2924" s="97"/>
      <c r="G2924" s="94"/>
      <c r="H2924" s="96"/>
    </row>
    <row r="2925" spans="1:8" ht="15" x14ac:dyDescent="0.25">
      <c r="A2925" s="95"/>
      <c r="B2925" s="95"/>
      <c r="C2925" s="95"/>
      <c r="D2925" s="92"/>
      <c r="E2925" s="96"/>
      <c r="F2925" s="97"/>
      <c r="G2925" s="94"/>
      <c r="H2925" s="96"/>
    </row>
    <row r="2926" spans="1:8" ht="15" x14ac:dyDescent="0.25">
      <c r="A2926" s="95"/>
      <c r="B2926" s="95"/>
      <c r="C2926" s="95"/>
      <c r="D2926" s="92"/>
      <c r="E2926" s="96"/>
      <c r="F2926" s="97"/>
      <c r="G2926" s="94"/>
      <c r="H2926" s="96"/>
    </row>
    <row r="2927" spans="1:8" ht="15" x14ac:dyDescent="0.25">
      <c r="A2927" s="95"/>
      <c r="B2927" s="95"/>
      <c r="C2927" s="95"/>
      <c r="D2927" s="92"/>
      <c r="E2927" s="96"/>
      <c r="F2927" s="97"/>
      <c r="G2927" s="94"/>
      <c r="H2927" s="96"/>
    </row>
    <row r="2928" spans="1:8" ht="15" x14ac:dyDescent="0.25">
      <c r="A2928" s="95"/>
      <c r="B2928" s="95"/>
      <c r="C2928" s="95"/>
      <c r="D2928" s="92"/>
      <c r="E2928" s="96"/>
      <c r="F2928" s="97"/>
      <c r="G2928" s="94"/>
      <c r="H2928" s="96"/>
    </row>
    <row r="2929" spans="1:8" ht="15" x14ac:dyDescent="0.25">
      <c r="A2929" s="95"/>
      <c r="B2929" s="95"/>
      <c r="C2929" s="95"/>
      <c r="D2929" s="92"/>
      <c r="E2929" s="96"/>
      <c r="F2929" s="97"/>
      <c r="G2929" s="94"/>
      <c r="H2929" s="96"/>
    </row>
    <row r="2930" spans="1:8" ht="15" x14ac:dyDescent="0.25">
      <c r="A2930" s="95"/>
      <c r="B2930" s="95"/>
      <c r="C2930" s="95"/>
      <c r="D2930" s="92"/>
      <c r="E2930" s="96"/>
      <c r="F2930" s="97"/>
      <c r="G2930" s="94"/>
      <c r="H2930" s="96"/>
    </row>
    <row r="2931" spans="1:8" ht="15" x14ac:dyDescent="0.25">
      <c r="A2931" s="95"/>
      <c r="B2931" s="95"/>
      <c r="C2931" s="95"/>
      <c r="D2931" s="92"/>
      <c r="E2931" s="96"/>
      <c r="F2931" s="97"/>
      <c r="G2931" s="94"/>
      <c r="H2931" s="96"/>
    </row>
    <row r="2932" spans="1:8" ht="15" x14ac:dyDescent="0.25">
      <c r="A2932" s="95"/>
      <c r="B2932" s="95"/>
      <c r="C2932" s="95"/>
      <c r="D2932" s="92"/>
      <c r="E2932" s="96"/>
      <c r="F2932" s="97"/>
      <c r="G2932" s="94"/>
      <c r="H2932" s="96"/>
    </row>
    <row r="2933" spans="1:8" ht="15" x14ac:dyDescent="0.25">
      <c r="A2933" s="95"/>
      <c r="B2933" s="95"/>
      <c r="C2933" s="95"/>
      <c r="D2933" s="92"/>
      <c r="E2933" s="96"/>
      <c r="F2933" s="97"/>
      <c r="G2933" s="94"/>
      <c r="H2933" s="96"/>
    </row>
    <row r="2934" spans="1:8" ht="15" x14ac:dyDescent="0.25">
      <c r="A2934" s="95"/>
      <c r="B2934" s="95"/>
      <c r="C2934" s="95"/>
      <c r="D2934" s="92"/>
      <c r="E2934" s="96"/>
      <c r="F2934" s="97"/>
      <c r="G2934" s="94"/>
      <c r="H2934" s="96"/>
    </row>
    <row r="2935" spans="1:8" ht="15" x14ac:dyDescent="0.25">
      <c r="A2935" s="95"/>
      <c r="B2935" s="95"/>
      <c r="C2935" s="95"/>
      <c r="D2935" s="92"/>
      <c r="E2935" s="96"/>
      <c r="F2935" s="97"/>
      <c r="G2935" s="94"/>
      <c r="H2935" s="96"/>
    </row>
    <row r="2936" spans="1:8" ht="15" x14ac:dyDescent="0.25">
      <c r="A2936" s="95"/>
      <c r="B2936" s="95"/>
      <c r="C2936" s="95"/>
      <c r="D2936" s="92"/>
      <c r="E2936" s="96"/>
      <c r="F2936" s="97"/>
      <c r="G2936" s="94"/>
      <c r="H2936" s="96"/>
    </row>
    <row r="2937" spans="1:8" ht="15" x14ac:dyDescent="0.25">
      <c r="A2937" s="95"/>
      <c r="B2937" s="95"/>
      <c r="C2937" s="95"/>
      <c r="D2937" s="92"/>
      <c r="E2937" s="96"/>
      <c r="F2937" s="97"/>
      <c r="G2937" s="94"/>
      <c r="H2937" s="96"/>
    </row>
    <row r="2938" spans="1:8" ht="15" x14ac:dyDescent="0.25">
      <c r="A2938" s="95"/>
      <c r="B2938" s="95"/>
      <c r="C2938" s="95"/>
      <c r="D2938" s="92"/>
      <c r="E2938" s="96"/>
      <c r="F2938" s="97"/>
      <c r="G2938" s="94"/>
      <c r="H2938" s="96"/>
    </row>
    <row r="2939" spans="1:8" ht="15" x14ac:dyDescent="0.25">
      <c r="A2939" s="95"/>
      <c r="B2939" s="95"/>
      <c r="C2939" s="95"/>
      <c r="D2939" s="92"/>
      <c r="E2939" s="96"/>
      <c r="F2939" s="97"/>
      <c r="G2939" s="94"/>
      <c r="H2939" s="96"/>
    </row>
    <row r="2940" spans="1:8" ht="15" x14ac:dyDescent="0.25">
      <c r="A2940" s="95"/>
      <c r="B2940" s="95"/>
      <c r="C2940" s="95"/>
      <c r="D2940" s="92"/>
      <c r="E2940" s="96"/>
      <c r="F2940" s="97"/>
      <c r="G2940" s="94"/>
      <c r="H2940" s="96"/>
    </row>
    <row r="2941" spans="1:8" ht="15" x14ac:dyDescent="0.25">
      <c r="A2941" s="95"/>
      <c r="B2941" s="95"/>
      <c r="C2941" s="95"/>
      <c r="D2941" s="92"/>
      <c r="E2941" s="96"/>
      <c r="F2941" s="97"/>
      <c r="G2941" s="94"/>
      <c r="H2941" s="96"/>
    </row>
    <row r="2942" spans="1:8" ht="15" x14ac:dyDescent="0.25">
      <c r="A2942" s="95"/>
      <c r="B2942" s="95"/>
      <c r="C2942" s="95"/>
      <c r="D2942" s="92"/>
      <c r="E2942" s="96"/>
      <c r="F2942" s="97"/>
      <c r="G2942" s="94"/>
      <c r="H2942" s="96"/>
    </row>
    <row r="2943" spans="1:8" ht="15" x14ac:dyDescent="0.25">
      <c r="A2943" s="95"/>
      <c r="B2943" s="95"/>
      <c r="C2943" s="95"/>
      <c r="D2943" s="92"/>
      <c r="E2943" s="96"/>
      <c r="F2943" s="97"/>
      <c r="G2943" s="94"/>
      <c r="H2943" s="96"/>
    </row>
    <row r="2944" spans="1:8" ht="15" x14ac:dyDescent="0.25">
      <c r="A2944" s="95"/>
      <c r="B2944" s="95"/>
      <c r="C2944" s="95"/>
      <c r="D2944" s="92"/>
      <c r="E2944" s="96"/>
      <c r="F2944" s="97"/>
      <c r="G2944" s="94"/>
      <c r="H2944" s="96"/>
    </row>
    <row r="2945" spans="1:8" ht="15" x14ac:dyDescent="0.25">
      <c r="A2945" s="95"/>
      <c r="B2945" s="95"/>
      <c r="C2945" s="95"/>
      <c r="D2945" s="92"/>
      <c r="E2945" s="96"/>
      <c r="F2945" s="97"/>
      <c r="G2945" s="94"/>
      <c r="H2945" s="96"/>
    </row>
    <row r="2946" spans="1:8" ht="15" x14ac:dyDescent="0.25">
      <c r="A2946" s="95"/>
      <c r="B2946" s="95"/>
      <c r="C2946" s="95"/>
      <c r="D2946" s="92"/>
      <c r="E2946" s="96"/>
      <c r="F2946" s="97"/>
      <c r="G2946" s="94"/>
      <c r="H2946" s="96"/>
    </row>
    <row r="2947" spans="1:8" ht="15" x14ac:dyDescent="0.25">
      <c r="A2947" s="95"/>
      <c r="B2947" s="95"/>
      <c r="C2947" s="95"/>
      <c r="D2947" s="92"/>
      <c r="E2947" s="96"/>
      <c r="F2947" s="97"/>
      <c r="G2947" s="94"/>
      <c r="H2947" s="96"/>
    </row>
    <row r="2948" spans="1:8" ht="15" x14ac:dyDescent="0.25">
      <c r="A2948" s="95"/>
      <c r="B2948" s="95"/>
      <c r="C2948" s="95"/>
      <c r="D2948" s="92"/>
      <c r="E2948" s="96"/>
      <c r="F2948" s="97"/>
      <c r="G2948" s="94"/>
      <c r="H2948" s="96"/>
    </row>
    <row r="2949" spans="1:8" ht="15" x14ac:dyDescent="0.25">
      <c r="A2949" s="95"/>
      <c r="B2949" s="95"/>
      <c r="C2949" s="95"/>
      <c r="D2949" s="92"/>
      <c r="E2949" s="96"/>
      <c r="F2949" s="97"/>
      <c r="G2949" s="94"/>
      <c r="H2949" s="96"/>
    </row>
    <row r="2950" spans="1:8" ht="15" x14ac:dyDescent="0.25">
      <c r="A2950" s="95"/>
      <c r="B2950" s="95"/>
      <c r="C2950" s="95"/>
      <c r="D2950" s="92"/>
      <c r="E2950" s="96"/>
      <c r="F2950" s="97"/>
      <c r="G2950" s="94"/>
      <c r="H2950" s="96"/>
    </row>
    <row r="2951" spans="1:8" ht="15" x14ac:dyDescent="0.25">
      <c r="A2951" s="95"/>
      <c r="B2951" s="95"/>
      <c r="C2951" s="95"/>
      <c r="D2951" s="92"/>
      <c r="E2951" s="96"/>
      <c r="F2951" s="97"/>
      <c r="G2951" s="94"/>
      <c r="H2951" s="96"/>
    </row>
    <row r="2952" spans="1:8" ht="15" x14ac:dyDescent="0.25">
      <c r="A2952" s="95"/>
      <c r="B2952" s="95"/>
      <c r="C2952" s="95"/>
      <c r="D2952" s="92"/>
      <c r="E2952" s="96"/>
      <c r="F2952" s="97"/>
      <c r="G2952" s="94"/>
      <c r="H2952" s="96"/>
    </row>
    <row r="2953" spans="1:8" ht="15" x14ac:dyDescent="0.25">
      <c r="A2953" s="95"/>
      <c r="B2953" s="95"/>
      <c r="C2953" s="95"/>
      <c r="D2953" s="92"/>
      <c r="E2953" s="96"/>
      <c r="F2953" s="97"/>
      <c r="G2953" s="94"/>
      <c r="H2953" s="96"/>
    </row>
    <row r="2954" spans="1:8" ht="15" x14ac:dyDescent="0.25">
      <c r="A2954" s="95"/>
      <c r="B2954" s="95"/>
      <c r="C2954" s="95"/>
      <c r="D2954" s="92"/>
      <c r="E2954" s="96"/>
      <c r="F2954" s="97"/>
      <c r="G2954" s="94"/>
      <c r="H2954" s="96"/>
    </row>
    <row r="2955" spans="1:8" ht="15" x14ac:dyDescent="0.25">
      <c r="A2955" s="95"/>
      <c r="B2955" s="95"/>
      <c r="C2955" s="95"/>
      <c r="D2955" s="92"/>
      <c r="E2955" s="96"/>
      <c r="F2955" s="97"/>
      <c r="G2955" s="94"/>
      <c r="H2955" s="96"/>
    </row>
    <row r="2956" spans="1:8" ht="15" x14ac:dyDescent="0.25">
      <c r="A2956" s="95"/>
      <c r="B2956" s="95"/>
      <c r="C2956" s="95"/>
      <c r="D2956" s="92"/>
      <c r="E2956" s="96"/>
      <c r="F2956" s="97"/>
      <c r="G2956" s="94"/>
      <c r="H2956" s="96"/>
    </row>
    <row r="2957" spans="1:8" ht="15" x14ac:dyDescent="0.25">
      <c r="A2957" s="95"/>
      <c r="B2957" s="95"/>
      <c r="C2957" s="95"/>
      <c r="D2957" s="92"/>
      <c r="E2957" s="96"/>
      <c r="F2957" s="97"/>
      <c r="G2957" s="94"/>
      <c r="H2957" s="96"/>
    </row>
    <row r="2958" spans="1:8" ht="15" x14ac:dyDescent="0.25">
      <c r="A2958" s="95"/>
      <c r="B2958" s="95"/>
      <c r="C2958" s="95"/>
      <c r="D2958" s="92"/>
      <c r="E2958" s="96"/>
      <c r="F2958" s="97"/>
      <c r="G2958" s="94"/>
      <c r="H2958" s="96"/>
    </row>
    <row r="2959" spans="1:8" ht="15" x14ac:dyDescent="0.25">
      <c r="A2959" s="95"/>
      <c r="B2959" s="95"/>
      <c r="C2959" s="95"/>
      <c r="D2959" s="92"/>
      <c r="E2959" s="96"/>
      <c r="F2959" s="97"/>
      <c r="G2959" s="94"/>
      <c r="H2959" s="96"/>
    </row>
    <row r="2960" spans="1:8" ht="15" x14ac:dyDescent="0.25">
      <c r="A2960" s="95"/>
      <c r="B2960" s="95"/>
      <c r="C2960" s="95"/>
      <c r="D2960" s="92"/>
      <c r="E2960" s="96"/>
      <c r="F2960" s="97"/>
      <c r="G2960" s="94"/>
      <c r="H2960" s="96"/>
    </row>
    <row r="2961" spans="1:8" ht="15" x14ac:dyDescent="0.25">
      <c r="A2961" s="95"/>
      <c r="B2961" s="95"/>
      <c r="C2961" s="95"/>
      <c r="D2961" s="92"/>
      <c r="E2961" s="96"/>
      <c r="F2961" s="97"/>
      <c r="G2961" s="94"/>
      <c r="H2961" s="96"/>
    </row>
    <row r="2962" spans="1:8" ht="15" x14ac:dyDescent="0.25">
      <c r="A2962" s="95"/>
      <c r="B2962" s="95"/>
      <c r="C2962" s="95"/>
      <c r="D2962" s="92"/>
      <c r="E2962" s="96"/>
      <c r="F2962" s="97"/>
      <c r="G2962" s="94"/>
      <c r="H2962" s="96"/>
    </row>
    <row r="2963" spans="1:8" ht="15" x14ac:dyDescent="0.25">
      <c r="A2963" s="95"/>
      <c r="B2963" s="95"/>
      <c r="C2963" s="95"/>
      <c r="D2963" s="92"/>
      <c r="E2963" s="96"/>
      <c r="F2963" s="97"/>
      <c r="G2963" s="94"/>
      <c r="H2963" s="96"/>
    </row>
    <row r="2964" spans="1:8" ht="15" x14ac:dyDescent="0.25">
      <c r="A2964" s="95"/>
      <c r="B2964" s="95"/>
      <c r="C2964" s="95"/>
      <c r="D2964" s="92"/>
      <c r="E2964" s="96"/>
      <c r="F2964" s="97"/>
      <c r="G2964" s="94"/>
      <c r="H2964" s="96"/>
    </row>
    <row r="2965" spans="1:8" ht="15" x14ac:dyDescent="0.25">
      <c r="A2965" s="95"/>
      <c r="B2965" s="95"/>
      <c r="C2965" s="95"/>
      <c r="D2965" s="92"/>
      <c r="E2965" s="96"/>
      <c r="F2965" s="97"/>
      <c r="G2965" s="94"/>
      <c r="H2965" s="96"/>
    </row>
    <row r="2966" spans="1:8" ht="15" x14ac:dyDescent="0.25">
      <c r="A2966" s="95"/>
      <c r="B2966" s="95"/>
      <c r="C2966" s="95"/>
      <c r="D2966" s="92"/>
      <c r="E2966" s="96"/>
      <c r="F2966" s="97"/>
      <c r="G2966" s="94"/>
      <c r="H2966" s="96"/>
    </row>
    <row r="2967" spans="1:8" ht="15" x14ac:dyDescent="0.25">
      <c r="A2967" s="95"/>
      <c r="B2967" s="95"/>
      <c r="C2967" s="95"/>
      <c r="D2967" s="92"/>
      <c r="E2967" s="96"/>
      <c r="F2967" s="97"/>
      <c r="G2967" s="94"/>
      <c r="H2967" s="96"/>
    </row>
    <row r="2968" spans="1:8" ht="15" x14ac:dyDescent="0.25">
      <c r="A2968" s="95"/>
      <c r="B2968" s="95"/>
      <c r="C2968" s="95"/>
      <c r="D2968" s="92"/>
      <c r="E2968" s="96"/>
      <c r="F2968" s="97"/>
      <c r="G2968" s="94"/>
      <c r="H2968" s="96"/>
    </row>
    <row r="2969" spans="1:8" ht="15" x14ac:dyDescent="0.25">
      <c r="A2969" s="95"/>
      <c r="B2969" s="95"/>
      <c r="C2969" s="95"/>
      <c r="D2969" s="92"/>
      <c r="E2969" s="96"/>
      <c r="F2969" s="97"/>
      <c r="G2969" s="94"/>
      <c r="H2969" s="96"/>
    </row>
    <row r="2970" spans="1:8" ht="15" x14ac:dyDescent="0.25">
      <c r="A2970" s="95"/>
      <c r="B2970" s="95"/>
      <c r="C2970" s="95"/>
      <c r="D2970" s="92"/>
      <c r="E2970" s="96"/>
      <c r="F2970" s="97"/>
      <c r="G2970" s="94"/>
      <c r="H2970" s="96"/>
    </row>
    <row r="2971" spans="1:8" ht="15" x14ac:dyDescent="0.25">
      <c r="A2971" s="95"/>
      <c r="B2971" s="95"/>
      <c r="C2971" s="95"/>
      <c r="D2971" s="92"/>
      <c r="E2971" s="96"/>
      <c r="F2971" s="97"/>
      <c r="G2971" s="94"/>
      <c r="H2971" s="96"/>
    </row>
    <row r="2972" spans="1:8" ht="15" x14ac:dyDescent="0.25">
      <c r="A2972" s="95"/>
      <c r="B2972" s="95"/>
      <c r="C2972" s="95"/>
      <c r="D2972" s="92"/>
      <c r="E2972" s="96"/>
      <c r="F2972" s="97"/>
      <c r="G2972" s="94"/>
      <c r="H2972" s="96"/>
    </row>
    <row r="2973" spans="1:8" ht="15" x14ac:dyDescent="0.25">
      <c r="A2973" s="95"/>
      <c r="B2973" s="95"/>
      <c r="C2973" s="95"/>
      <c r="D2973" s="92"/>
      <c r="E2973" s="96"/>
      <c r="F2973" s="97"/>
      <c r="G2973" s="94"/>
      <c r="H2973" s="96"/>
    </row>
    <row r="2974" spans="1:8" ht="15" x14ac:dyDescent="0.25">
      <c r="A2974" s="95"/>
      <c r="B2974" s="95"/>
      <c r="C2974" s="95"/>
      <c r="D2974" s="92"/>
      <c r="E2974" s="96"/>
      <c r="F2974" s="97"/>
      <c r="G2974" s="94"/>
      <c r="H2974" s="96"/>
    </row>
    <row r="2975" spans="1:8" ht="15" x14ac:dyDescent="0.25">
      <c r="A2975" s="95"/>
      <c r="B2975" s="95"/>
      <c r="C2975" s="95"/>
      <c r="D2975" s="92"/>
      <c r="E2975" s="96"/>
      <c r="F2975" s="97"/>
      <c r="G2975" s="94"/>
      <c r="H2975" s="96"/>
    </row>
    <row r="2976" spans="1:8" ht="15" x14ac:dyDescent="0.25">
      <c r="A2976" s="95"/>
      <c r="B2976" s="95"/>
      <c r="C2976" s="95"/>
      <c r="D2976" s="92"/>
      <c r="E2976" s="96"/>
      <c r="F2976" s="97"/>
      <c r="G2976" s="94"/>
      <c r="H2976" s="96"/>
    </row>
    <row r="2977" spans="1:8" ht="15" x14ac:dyDescent="0.25">
      <c r="A2977" s="95"/>
      <c r="B2977" s="95"/>
      <c r="C2977" s="95"/>
      <c r="D2977" s="92"/>
      <c r="E2977" s="96"/>
      <c r="F2977" s="97"/>
      <c r="G2977" s="94"/>
      <c r="H2977" s="96"/>
    </row>
    <row r="2978" spans="1:8" ht="15" x14ac:dyDescent="0.25">
      <c r="A2978" s="95"/>
      <c r="B2978" s="95"/>
      <c r="C2978" s="95"/>
      <c r="D2978" s="92"/>
      <c r="E2978" s="96"/>
      <c r="F2978" s="97"/>
      <c r="G2978" s="94"/>
      <c r="H2978" s="96"/>
    </row>
    <row r="2979" spans="1:8" ht="15" x14ac:dyDescent="0.25">
      <c r="A2979" s="95"/>
      <c r="B2979" s="95"/>
      <c r="C2979" s="95"/>
      <c r="D2979" s="92"/>
      <c r="E2979" s="96"/>
      <c r="F2979" s="97"/>
      <c r="G2979" s="94"/>
      <c r="H2979" s="96"/>
    </row>
    <row r="2980" spans="1:8" ht="15" x14ac:dyDescent="0.25">
      <c r="A2980" s="95"/>
      <c r="B2980" s="95"/>
      <c r="C2980" s="95"/>
      <c r="D2980" s="92"/>
      <c r="E2980" s="96"/>
      <c r="F2980" s="97"/>
      <c r="G2980" s="94"/>
      <c r="H2980" s="96"/>
    </row>
    <row r="2981" spans="1:8" ht="15" x14ac:dyDescent="0.25">
      <c r="A2981" s="95"/>
      <c r="B2981" s="95"/>
      <c r="C2981" s="95"/>
      <c r="D2981" s="92"/>
      <c r="E2981" s="96"/>
      <c r="F2981" s="97"/>
      <c r="G2981" s="94"/>
      <c r="H2981" s="96"/>
    </row>
    <row r="2982" spans="1:8" ht="15" x14ac:dyDescent="0.25">
      <c r="A2982" s="95"/>
      <c r="B2982" s="95"/>
      <c r="C2982" s="95"/>
      <c r="D2982" s="92"/>
      <c r="E2982" s="96"/>
      <c r="F2982" s="97"/>
      <c r="G2982" s="94"/>
      <c r="H2982" s="96"/>
    </row>
    <row r="2983" spans="1:8" ht="15" x14ac:dyDescent="0.25">
      <c r="A2983" s="95"/>
      <c r="B2983" s="95"/>
      <c r="C2983" s="95"/>
      <c r="D2983" s="92"/>
      <c r="E2983" s="96"/>
      <c r="F2983" s="97"/>
      <c r="G2983" s="94"/>
      <c r="H2983" s="96"/>
    </row>
    <row r="2984" spans="1:8" ht="15" x14ac:dyDescent="0.25">
      <c r="A2984" s="95"/>
      <c r="B2984" s="95"/>
      <c r="C2984" s="95"/>
      <c r="D2984" s="92"/>
      <c r="E2984" s="96"/>
      <c r="F2984" s="97"/>
      <c r="G2984" s="94"/>
      <c r="H2984" s="96"/>
    </row>
    <row r="2985" spans="1:8" ht="15" x14ac:dyDescent="0.25">
      <c r="A2985" s="95"/>
      <c r="B2985" s="95"/>
      <c r="C2985" s="95"/>
      <c r="D2985" s="92"/>
      <c r="E2985" s="96"/>
      <c r="F2985" s="97"/>
      <c r="G2985" s="94"/>
      <c r="H2985" s="96"/>
    </row>
    <row r="2986" spans="1:8" ht="15" x14ac:dyDescent="0.25">
      <c r="A2986" s="95"/>
      <c r="B2986" s="95"/>
      <c r="C2986" s="95"/>
      <c r="D2986" s="92"/>
      <c r="E2986" s="96"/>
      <c r="F2986" s="97"/>
      <c r="G2986" s="94"/>
      <c r="H2986" s="96"/>
    </row>
    <row r="2987" spans="1:8" ht="15" x14ac:dyDescent="0.25">
      <c r="A2987" s="95"/>
      <c r="B2987" s="95"/>
      <c r="C2987" s="95"/>
      <c r="D2987" s="92"/>
      <c r="E2987" s="96"/>
      <c r="F2987" s="97"/>
      <c r="G2987" s="94"/>
      <c r="H2987" s="96"/>
    </row>
    <row r="2988" spans="1:8" ht="15" x14ac:dyDescent="0.25">
      <c r="A2988" s="95"/>
      <c r="B2988" s="95"/>
      <c r="C2988" s="95"/>
      <c r="D2988" s="92"/>
      <c r="E2988" s="96"/>
      <c r="F2988" s="97"/>
      <c r="G2988" s="94"/>
      <c r="H2988" s="96"/>
    </row>
    <row r="2989" spans="1:8" ht="15" x14ac:dyDescent="0.25">
      <c r="A2989" s="95"/>
      <c r="B2989" s="95"/>
      <c r="C2989" s="95"/>
      <c r="D2989" s="92"/>
      <c r="E2989" s="96"/>
      <c r="F2989" s="97"/>
      <c r="G2989" s="94"/>
      <c r="H2989" s="96"/>
    </row>
    <row r="2990" spans="1:8" ht="15" x14ac:dyDescent="0.25">
      <c r="A2990" s="95"/>
      <c r="B2990" s="95"/>
      <c r="C2990" s="95"/>
      <c r="D2990" s="92"/>
      <c r="E2990" s="96"/>
      <c r="F2990" s="97"/>
      <c r="G2990" s="94"/>
      <c r="H2990" s="96"/>
    </row>
    <row r="2991" spans="1:8" ht="15" x14ac:dyDescent="0.25">
      <c r="A2991" s="95"/>
      <c r="B2991" s="95"/>
      <c r="C2991" s="95"/>
      <c r="D2991" s="92"/>
      <c r="E2991" s="96"/>
      <c r="F2991" s="97"/>
      <c r="G2991" s="94"/>
      <c r="H2991" s="96"/>
    </row>
    <row r="2992" spans="1:8" ht="15" x14ac:dyDescent="0.25">
      <c r="A2992" s="95"/>
      <c r="B2992" s="95"/>
      <c r="C2992" s="95"/>
      <c r="D2992" s="92"/>
      <c r="E2992" s="96"/>
      <c r="F2992" s="97"/>
      <c r="G2992" s="94"/>
      <c r="H2992" s="96"/>
    </row>
    <row r="2993" spans="1:8" ht="15" x14ac:dyDescent="0.25">
      <c r="A2993" s="95"/>
      <c r="B2993" s="95"/>
      <c r="C2993" s="95"/>
      <c r="D2993" s="92"/>
      <c r="E2993" s="96"/>
      <c r="F2993" s="97"/>
      <c r="G2993" s="94"/>
      <c r="H2993" s="96"/>
    </row>
    <row r="2994" spans="1:8" ht="15" x14ac:dyDescent="0.25">
      <c r="A2994" s="95"/>
      <c r="B2994" s="95"/>
      <c r="C2994" s="95"/>
      <c r="D2994" s="92"/>
      <c r="E2994" s="96"/>
      <c r="F2994" s="97"/>
      <c r="G2994" s="94"/>
      <c r="H2994" s="96"/>
    </row>
    <row r="2995" spans="1:8" ht="15" x14ac:dyDescent="0.25">
      <c r="A2995" s="95"/>
      <c r="B2995" s="95"/>
      <c r="C2995" s="95"/>
      <c r="D2995" s="92"/>
      <c r="E2995" s="96"/>
      <c r="F2995" s="97"/>
      <c r="G2995" s="94"/>
      <c r="H2995" s="96"/>
    </row>
    <row r="2996" spans="1:8" ht="15" x14ac:dyDescent="0.25">
      <c r="A2996" s="95"/>
      <c r="B2996" s="95"/>
      <c r="C2996" s="95"/>
      <c r="D2996" s="92"/>
      <c r="E2996" s="96"/>
      <c r="F2996" s="97"/>
      <c r="G2996" s="94"/>
      <c r="H2996" s="96"/>
    </row>
    <row r="2997" spans="1:8" ht="15" x14ac:dyDescent="0.25">
      <c r="A2997" s="95"/>
      <c r="B2997" s="95"/>
      <c r="C2997" s="95"/>
      <c r="D2997" s="92"/>
      <c r="E2997" s="96"/>
      <c r="F2997" s="97"/>
      <c r="G2997" s="94"/>
      <c r="H2997" s="96"/>
    </row>
    <row r="2998" spans="1:8" ht="15" x14ac:dyDescent="0.25">
      <c r="A2998" s="95"/>
      <c r="B2998" s="95"/>
      <c r="C2998" s="95"/>
      <c r="D2998" s="92"/>
      <c r="E2998" s="96"/>
      <c r="F2998" s="97"/>
      <c r="G2998" s="94"/>
      <c r="H2998" s="96"/>
    </row>
    <row r="2999" spans="1:8" ht="15" x14ac:dyDescent="0.25">
      <c r="A2999" s="95"/>
      <c r="B2999" s="95"/>
      <c r="C2999" s="95"/>
      <c r="D2999" s="92"/>
      <c r="E2999" s="96"/>
      <c r="F2999" s="97"/>
      <c r="G2999" s="94"/>
      <c r="H2999" s="96"/>
    </row>
    <row r="3000" spans="1:8" ht="15" x14ac:dyDescent="0.25">
      <c r="A3000" s="95"/>
      <c r="B3000" s="95"/>
      <c r="C3000" s="95"/>
      <c r="D3000" s="92"/>
      <c r="E3000" s="96"/>
      <c r="F3000" s="97"/>
      <c r="G3000" s="94"/>
      <c r="H3000" s="96"/>
    </row>
    <row r="3001" spans="1:8" ht="15" x14ac:dyDescent="0.25">
      <c r="A3001" s="95"/>
      <c r="B3001" s="95"/>
      <c r="C3001" s="95"/>
      <c r="D3001" s="92"/>
      <c r="E3001" s="96"/>
      <c r="F3001" s="97"/>
      <c r="G3001" s="94"/>
      <c r="H3001" s="96"/>
    </row>
    <row r="3002" spans="1:8" ht="15" x14ac:dyDescent="0.25">
      <c r="A3002" s="95"/>
      <c r="B3002" s="95"/>
      <c r="C3002" s="95"/>
      <c r="D3002" s="92"/>
      <c r="E3002" s="96"/>
      <c r="F3002" s="97"/>
      <c r="G3002" s="94"/>
      <c r="H3002" s="96"/>
    </row>
    <row r="3003" spans="1:8" ht="15" x14ac:dyDescent="0.25">
      <c r="A3003" s="95"/>
      <c r="B3003" s="95"/>
      <c r="C3003" s="95"/>
      <c r="D3003" s="92"/>
      <c r="E3003" s="96"/>
      <c r="F3003" s="97"/>
      <c r="G3003" s="94"/>
      <c r="H3003" s="96"/>
    </row>
    <row r="3004" spans="1:8" ht="15" x14ac:dyDescent="0.25">
      <c r="A3004" s="95"/>
      <c r="B3004" s="95"/>
      <c r="C3004" s="95"/>
      <c r="D3004" s="92"/>
      <c r="E3004" s="96"/>
      <c r="F3004" s="97"/>
      <c r="G3004" s="94"/>
      <c r="H3004" s="96"/>
    </row>
    <row r="3005" spans="1:8" ht="15" x14ac:dyDescent="0.25">
      <c r="A3005" s="95"/>
      <c r="B3005" s="95"/>
      <c r="C3005" s="95"/>
      <c r="D3005" s="92"/>
      <c r="E3005" s="96"/>
      <c r="F3005" s="97"/>
      <c r="G3005" s="94"/>
      <c r="H3005" s="96"/>
    </row>
    <row r="3006" spans="1:8" ht="15" x14ac:dyDescent="0.25">
      <c r="A3006" s="95"/>
      <c r="B3006" s="95"/>
      <c r="C3006" s="95"/>
      <c r="D3006" s="92"/>
      <c r="E3006" s="96"/>
      <c r="F3006" s="97"/>
      <c r="G3006" s="94"/>
      <c r="H3006" s="96"/>
    </row>
    <row r="3007" spans="1:8" ht="15" x14ac:dyDescent="0.25">
      <c r="A3007" s="95"/>
      <c r="B3007" s="95"/>
      <c r="C3007" s="95"/>
      <c r="D3007" s="92"/>
      <c r="E3007" s="96"/>
      <c r="F3007" s="97"/>
      <c r="G3007" s="94"/>
      <c r="H3007" s="96"/>
    </row>
    <row r="3008" spans="1:8" ht="15" x14ac:dyDescent="0.25">
      <c r="A3008" s="95"/>
      <c r="B3008" s="95"/>
      <c r="C3008" s="95"/>
      <c r="D3008" s="92"/>
      <c r="E3008" s="96"/>
      <c r="F3008" s="97"/>
      <c r="G3008" s="94"/>
      <c r="H3008" s="96"/>
    </row>
    <row r="3009" spans="1:8" ht="15" x14ac:dyDescent="0.25">
      <c r="A3009" s="95"/>
      <c r="B3009" s="95"/>
      <c r="C3009" s="95"/>
      <c r="D3009" s="92"/>
      <c r="E3009" s="96"/>
      <c r="F3009" s="97"/>
      <c r="G3009" s="94"/>
      <c r="H3009" s="96"/>
    </row>
    <row r="3010" spans="1:8" ht="15" x14ac:dyDescent="0.25">
      <c r="A3010" s="95"/>
      <c r="B3010" s="95"/>
      <c r="C3010" s="95"/>
      <c r="D3010" s="92"/>
      <c r="E3010" s="96"/>
      <c r="F3010" s="97"/>
      <c r="G3010" s="94"/>
      <c r="H3010" s="96"/>
    </row>
    <row r="3011" spans="1:8" ht="15" x14ac:dyDescent="0.25">
      <c r="A3011" s="95"/>
      <c r="B3011" s="95"/>
      <c r="C3011" s="95"/>
      <c r="D3011" s="92"/>
      <c r="E3011" s="96"/>
      <c r="F3011" s="97"/>
      <c r="G3011" s="94"/>
      <c r="H3011" s="96"/>
    </row>
    <row r="3012" spans="1:8" ht="15" x14ac:dyDescent="0.25">
      <c r="A3012" s="95"/>
      <c r="B3012" s="95"/>
      <c r="C3012" s="95"/>
      <c r="D3012" s="92"/>
      <c r="E3012" s="96"/>
      <c r="F3012" s="97"/>
      <c r="G3012" s="94"/>
      <c r="H3012" s="96"/>
    </row>
    <row r="3013" spans="1:8" ht="15" x14ac:dyDescent="0.25">
      <c r="A3013" s="95"/>
      <c r="B3013" s="95"/>
      <c r="C3013" s="95"/>
      <c r="D3013" s="92"/>
      <c r="E3013" s="96"/>
      <c r="F3013" s="97"/>
      <c r="G3013" s="94"/>
      <c r="H3013" s="96"/>
    </row>
    <row r="3014" spans="1:8" ht="15" x14ac:dyDescent="0.25">
      <c r="A3014" s="95"/>
      <c r="B3014" s="95"/>
      <c r="C3014" s="95"/>
      <c r="D3014" s="92"/>
      <c r="E3014" s="96"/>
      <c r="F3014" s="97"/>
      <c r="G3014" s="94"/>
      <c r="H3014" s="96"/>
    </row>
    <row r="3015" spans="1:8" ht="15" x14ac:dyDescent="0.25">
      <c r="A3015" s="95"/>
      <c r="B3015" s="95"/>
      <c r="C3015" s="95"/>
      <c r="D3015" s="92"/>
      <c r="E3015" s="96"/>
      <c r="F3015" s="97"/>
      <c r="G3015" s="94"/>
      <c r="H3015" s="96"/>
    </row>
    <row r="3016" spans="1:8" ht="15" x14ac:dyDescent="0.25">
      <c r="A3016" s="95"/>
      <c r="B3016" s="95"/>
      <c r="C3016" s="95"/>
      <c r="D3016" s="92"/>
      <c r="E3016" s="96"/>
      <c r="F3016" s="97"/>
      <c r="G3016" s="94"/>
      <c r="H3016" s="96"/>
    </row>
    <row r="3017" spans="1:8" ht="15" x14ac:dyDescent="0.25">
      <c r="A3017" s="95"/>
      <c r="B3017" s="95"/>
      <c r="C3017" s="95"/>
      <c r="D3017" s="92"/>
      <c r="E3017" s="96"/>
      <c r="F3017" s="97"/>
      <c r="G3017" s="94"/>
      <c r="H3017" s="96"/>
    </row>
    <row r="3018" spans="1:8" ht="15" x14ac:dyDescent="0.25">
      <c r="A3018" s="95"/>
      <c r="B3018" s="95"/>
      <c r="C3018" s="95"/>
      <c r="D3018" s="92"/>
      <c r="E3018" s="96"/>
      <c r="F3018" s="97"/>
      <c r="G3018" s="94"/>
      <c r="H3018" s="96"/>
    </row>
    <row r="3019" spans="1:8" ht="15" x14ac:dyDescent="0.25">
      <c r="A3019" s="95"/>
      <c r="B3019" s="95"/>
      <c r="C3019" s="95"/>
      <c r="D3019" s="92"/>
      <c r="E3019" s="96"/>
      <c r="F3019" s="97"/>
      <c r="G3019" s="94"/>
      <c r="H3019" s="96"/>
    </row>
    <row r="3020" spans="1:8" ht="15" x14ac:dyDescent="0.25">
      <c r="A3020" s="95"/>
      <c r="B3020" s="95"/>
      <c r="C3020" s="95"/>
      <c r="D3020" s="92"/>
      <c r="E3020" s="96"/>
      <c r="F3020" s="97"/>
      <c r="G3020" s="94"/>
      <c r="H3020" s="96"/>
    </row>
    <row r="3021" spans="1:8" ht="15" x14ac:dyDescent="0.25">
      <c r="A3021" s="95"/>
      <c r="B3021" s="95"/>
      <c r="C3021" s="95"/>
      <c r="D3021" s="92"/>
      <c r="E3021" s="96"/>
      <c r="F3021" s="97"/>
      <c r="G3021" s="94"/>
      <c r="H3021" s="96"/>
    </row>
    <row r="3022" spans="1:8" ht="15" x14ac:dyDescent="0.25">
      <c r="A3022" s="95"/>
      <c r="B3022" s="95"/>
      <c r="C3022" s="95"/>
      <c r="D3022" s="92"/>
      <c r="E3022" s="96"/>
      <c r="F3022" s="97"/>
      <c r="G3022" s="94"/>
      <c r="H3022" s="96"/>
    </row>
    <row r="3023" spans="1:8" ht="15" x14ac:dyDescent="0.25">
      <c r="A3023" s="95"/>
      <c r="B3023" s="95"/>
      <c r="C3023" s="95"/>
      <c r="D3023" s="92"/>
      <c r="E3023" s="96"/>
      <c r="F3023" s="97"/>
      <c r="G3023" s="94"/>
      <c r="H3023" s="96"/>
    </row>
    <row r="3024" spans="1:8" ht="15" x14ac:dyDescent="0.25">
      <c r="A3024" s="95"/>
      <c r="B3024" s="95"/>
      <c r="C3024" s="95"/>
      <c r="D3024" s="92"/>
      <c r="E3024" s="96"/>
      <c r="F3024" s="97"/>
      <c r="G3024" s="94"/>
      <c r="H3024" s="96"/>
    </row>
    <row r="3025" spans="1:8" ht="15" x14ac:dyDescent="0.25">
      <c r="A3025" s="95"/>
      <c r="B3025" s="95"/>
      <c r="C3025" s="95"/>
      <c r="D3025" s="92"/>
      <c r="E3025" s="96"/>
      <c r="F3025" s="97"/>
      <c r="G3025" s="94"/>
      <c r="H3025" s="96"/>
    </row>
    <row r="3026" spans="1:8" ht="15" x14ac:dyDescent="0.25">
      <c r="A3026" s="95"/>
      <c r="B3026" s="95"/>
      <c r="C3026" s="95"/>
      <c r="D3026" s="92"/>
      <c r="E3026" s="96"/>
      <c r="F3026" s="97"/>
      <c r="G3026" s="94"/>
      <c r="H3026" s="96"/>
    </row>
    <row r="3027" spans="1:8" ht="15" x14ac:dyDescent="0.25">
      <c r="A3027" s="95"/>
      <c r="B3027" s="95"/>
      <c r="C3027" s="95"/>
      <c r="D3027" s="92"/>
      <c r="E3027" s="96"/>
      <c r="F3027" s="97"/>
      <c r="G3027" s="94"/>
      <c r="H3027" s="96"/>
    </row>
    <row r="3028" spans="1:8" ht="15" x14ac:dyDescent="0.25">
      <c r="A3028" s="95"/>
      <c r="B3028" s="95"/>
      <c r="C3028" s="95"/>
      <c r="D3028" s="92"/>
      <c r="E3028" s="96"/>
      <c r="F3028" s="97"/>
      <c r="G3028" s="94"/>
      <c r="H3028" s="96"/>
    </row>
    <row r="3029" spans="1:8" ht="15" x14ac:dyDescent="0.25">
      <c r="A3029" s="95"/>
      <c r="B3029" s="95"/>
      <c r="C3029" s="95"/>
      <c r="D3029" s="92"/>
      <c r="E3029" s="96"/>
      <c r="F3029" s="97"/>
      <c r="G3029" s="94"/>
      <c r="H3029" s="96"/>
    </row>
    <row r="3030" spans="1:8" ht="15" x14ac:dyDescent="0.25">
      <c r="A3030" s="95"/>
      <c r="B3030" s="95"/>
      <c r="C3030" s="95"/>
      <c r="D3030" s="92"/>
      <c r="E3030" s="96"/>
      <c r="F3030" s="97"/>
      <c r="G3030" s="94"/>
      <c r="H3030" s="96"/>
    </row>
    <row r="3031" spans="1:8" ht="15" x14ac:dyDescent="0.25">
      <c r="A3031" s="95"/>
      <c r="B3031" s="95"/>
      <c r="C3031" s="95"/>
      <c r="D3031" s="92"/>
      <c r="E3031" s="96"/>
      <c r="F3031" s="97"/>
      <c r="G3031" s="94"/>
      <c r="H3031" s="96"/>
    </row>
    <row r="3032" spans="1:8" ht="15" x14ac:dyDescent="0.25">
      <c r="A3032" s="95"/>
      <c r="B3032" s="95"/>
      <c r="C3032" s="95"/>
      <c r="D3032" s="92"/>
      <c r="E3032" s="96"/>
      <c r="F3032" s="97"/>
      <c r="G3032" s="94"/>
      <c r="H3032" s="96"/>
    </row>
    <row r="3033" spans="1:8" ht="15" x14ac:dyDescent="0.25">
      <c r="A3033" s="95"/>
      <c r="B3033" s="95"/>
      <c r="C3033" s="95"/>
      <c r="D3033" s="92"/>
      <c r="E3033" s="96"/>
      <c r="F3033" s="97"/>
      <c r="G3033" s="94"/>
      <c r="H3033" s="96"/>
    </row>
    <row r="3034" spans="1:8" ht="15" x14ac:dyDescent="0.25">
      <c r="A3034" s="95"/>
      <c r="B3034" s="95"/>
      <c r="C3034" s="95"/>
      <c r="D3034" s="92"/>
      <c r="E3034" s="96"/>
      <c r="F3034" s="97"/>
      <c r="G3034" s="94"/>
      <c r="H3034" s="96"/>
    </row>
    <row r="3035" spans="1:8" ht="15" x14ac:dyDescent="0.25">
      <c r="A3035" s="95"/>
      <c r="B3035" s="95"/>
      <c r="C3035" s="95"/>
      <c r="D3035" s="92"/>
      <c r="E3035" s="96"/>
      <c r="F3035" s="97"/>
      <c r="G3035" s="94"/>
      <c r="H3035" s="96"/>
    </row>
    <row r="3036" spans="1:8" ht="15" x14ac:dyDescent="0.25">
      <c r="A3036" s="95"/>
      <c r="B3036" s="95"/>
      <c r="C3036" s="95"/>
      <c r="D3036" s="92"/>
      <c r="E3036" s="96"/>
      <c r="F3036" s="97"/>
      <c r="G3036" s="94"/>
      <c r="H3036" s="96"/>
    </row>
    <row r="3037" spans="1:8" ht="15" x14ac:dyDescent="0.25">
      <c r="A3037" s="95"/>
      <c r="B3037" s="95"/>
      <c r="C3037" s="95"/>
      <c r="D3037" s="92"/>
      <c r="E3037" s="96"/>
      <c r="F3037" s="97"/>
      <c r="G3037" s="94"/>
      <c r="H3037" s="96"/>
    </row>
    <row r="3038" spans="1:8" ht="15" x14ac:dyDescent="0.25">
      <c r="A3038" s="95"/>
      <c r="B3038" s="95"/>
      <c r="C3038" s="95"/>
      <c r="D3038" s="92"/>
      <c r="E3038" s="96"/>
      <c r="F3038" s="97"/>
      <c r="G3038" s="94"/>
      <c r="H3038" s="96"/>
    </row>
    <row r="3039" spans="1:8" ht="15" x14ac:dyDescent="0.25">
      <c r="A3039" s="95"/>
      <c r="B3039" s="95"/>
      <c r="C3039" s="95"/>
      <c r="D3039" s="92"/>
      <c r="E3039" s="96"/>
      <c r="F3039" s="97"/>
      <c r="G3039" s="94"/>
      <c r="H3039" s="96"/>
    </row>
    <row r="3040" spans="1:8" ht="15" x14ac:dyDescent="0.25">
      <c r="A3040" s="95"/>
      <c r="B3040" s="95"/>
      <c r="C3040" s="95"/>
      <c r="D3040" s="92"/>
      <c r="E3040" s="96"/>
      <c r="F3040" s="97"/>
      <c r="G3040" s="94"/>
      <c r="H3040" s="96"/>
    </row>
    <row r="3041" spans="1:8" ht="15" x14ac:dyDescent="0.25">
      <c r="A3041" s="95"/>
      <c r="B3041" s="95"/>
      <c r="C3041" s="95"/>
      <c r="D3041" s="92"/>
      <c r="E3041" s="96"/>
      <c r="F3041" s="97"/>
      <c r="G3041" s="94"/>
      <c r="H3041" s="96"/>
    </row>
    <row r="3042" spans="1:8" ht="15" x14ac:dyDescent="0.25">
      <c r="A3042" s="95"/>
      <c r="B3042" s="95"/>
      <c r="C3042" s="95"/>
      <c r="D3042" s="92"/>
      <c r="E3042" s="96"/>
      <c r="F3042" s="97"/>
      <c r="G3042" s="94"/>
      <c r="H3042" s="96"/>
    </row>
    <row r="3043" spans="1:8" ht="15" x14ac:dyDescent="0.25">
      <c r="A3043" s="95"/>
      <c r="B3043" s="95"/>
      <c r="C3043" s="95"/>
      <c r="D3043" s="92"/>
      <c r="E3043" s="96"/>
      <c r="F3043" s="97"/>
      <c r="G3043" s="94"/>
      <c r="H3043" s="96"/>
    </row>
    <row r="3044" spans="1:8" ht="15" x14ac:dyDescent="0.25">
      <c r="A3044" s="95"/>
      <c r="B3044" s="95"/>
      <c r="C3044" s="95"/>
      <c r="D3044" s="92"/>
      <c r="E3044" s="96"/>
      <c r="F3044" s="97"/>
      <c r="G3044" s="94"/>
      <c r="H3044" s="96"/>
    </row>
    <row r="3045" spans="1:8" ht="15" x14ac:dyDescent="0.25">
      <c r="A3045" s="95"/>
      <c r="B3045" s="95"/>
      <c r="C3045" s="95"/>
      <c r="D3045" s="92"/>
      <c r="E3045" s="96"/>
      <c r="F3045" s="97"/>
      <c r="G3045" s="94"/>
      <c r="H3045" s="96"/>
    </row>
    <row r="3046" spans="1:8" ht="15" x14ac:dyDescent="0.25">
      <c r="A3046" s="95"/>
      <c r="B3046" s="95"/>
      <c r="C3046" s="95"/>
      <c r="D3046" s="92"/>
      <c r="E3046" s="96"/>
      <c r="F3046" s="97"/>
      <c r="G3046" s="94"/>
      <c r="H3046" s="96"/>
    </row>
    <row r="3047" spans="1:8" thickBot="1" x14ac:dyDescent="0.3">
      <c r="A3047" s="95"/>
      <c r="B3047" s="95"/>
      <c r="C3047" s="95"/>
      <c r="D3047" s="92"/>
      <c r="E3047" s="96"/>
      <c r="F3047" s="97"/>
      <c r="G3047" s="94"/>
      <c r="H3047" s="96"/>
    </row>
    <row r="3048" spans="1:8" thickBot="1" x14ac:dyDescent="0.3">
      <c r="A3048" s="95"/>
      <c r="D3048" s="99" t="s">
        <v>1248</v>
      </c>
    </row>
  </sheetData>
  <phoneticPr fontId="42" type="noConversion"/>
  <conditionalFormatting sqref="B142">
    <cfRule type="colorScale" priority="4">
      <colorScale>
        <cfvo type="min"/>
        <cfvo type="percentile" val="50"/>
        <cfvo type="max"/>
        <color rgb="FFF8696B"/>
        <color rgb="FFFFEB84"/>
        <color rgb="FF63BE7B"/>
      </colorScale>
    </cfRule>
  </conditionalFormatting>
  <conditionalFormatting sqref="B143">
    <cfRule type="colorScale" priority="3">
      <colorScale>
        <cfvo type="min"/>
        <cfvo type="percentile" val="50"/>
        <cfvo type="max"/>
        <color rgb="FFF8696B"/>
        <color rgb="FFFFEB84"/>
        <color rgb="FF63BE7B"/>
      </colorScale>
    </cfRule>
  </conditionalFormatting>
  <conditionalFormatting sqref="B144">
    <cfRule type="colorScale" priority="2">
      <colorScale>
        <cfvo type="min"/>
        <cfvo type="percentile" val="50"/>
        <cfvo type="max"/>
        <color rgb="FFF8696B"/>
        <color rgb="FFFFEB84"/>
        <color rgb="FF63BE7B"/>
      </colorScale>
    </cfRule>
  </conditionalFormatting>
  <conditionalFormatting sqref="B145">
    <cfRule type="colorScale" priority="1">
      <colorScale>
        <cfvo type="min"/>
        <cfvo type="percentile" val="50"/>
        <cfvo type="max"/>
        <color rgb="FFF8696B"/>
        <color rgb="FFFFEB84"/>
        <color rgb="FF63BE7B"/>
      </colorScale>
    </cfRule>
  </conditionalFormatting>
  <printOptions horizontalCentered="1" gridLines="1"/>
  <pageMargins left="0.2" right="0.2" top="0.5" bottom="0.75" header="0.3" footer="0.3"/>
  <pageSetup paperSize="17" scale="67" fitToHeight="0" orientation="landscape" r:id="rId1"/>
  <headerFooter>
    <oddHeader>&amp;C&amp;"-,Bold"PHS2-0002 (20) Product Health and Safety Risk Identification Table (MASTER)</oddHeader>
    <oddFooter>&amp;L&amp;"Times New Roman,Bold"&amp;9JJVC Confidential&amp;C&amp;"Times New Roman,Bold"&amp;9Page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Sheet1</vt:lpstr>
      <vt:lpstr>Sheet2</vt:lpstr>
      <vt:lpstr>Risk Control</vt:lpstr>
      <vt:lpstr>Design Risk Assessment</vt:lpstr>
      <vt:lpstr>Sheet6</vt:lpstr>
      <vt:lpstr>Post-Market Surveillance data</vt:lpstr>
      <vt:lpstr>Non-medical Analysis</vt:lpstr>
      <vt:lpstr>Hazard</vt:lpstr>
      <vt:lpstr>Master</vt:lpstr>
      <vt:lpstr>'Design Risk Assessment'!Print_Area</vt:lpstr>
      <vt:lpstr>Master!Print_Area</vt:lpstr>
      <vt:lpstr>'Design Risk Assessment'!Print_Titles</vt:lpstr>
      <vt:lpstr>Master!Print_Titles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Jameel, Rashid [VISAP Non-J&amp;J]</dc:creator>
  <cp:lastModifiedBy>Sinha, Shivam [ETHUS Non-J&amp;J]</cp:lastModifiedBy>
  <dcterms:created xsi:type="dcterms:W3CDTF">2023-09-12T13:34:48Z</dcterms:created>
  <dcterms:modified xsi:type="dcterms:W3CDTF">2024-04-04T11:38:53Z</dcterms:modified>
</cp:coreProperties>
</file>
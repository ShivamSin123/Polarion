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jnj-my.sharepoint.com/personal/dvenkat1_its_jnj_com/Documents/Polarion Implementation Project/POLARION_TCS-TEAM/19- Production/Chroma/import file/"/>
    </mc:Choice>
  </mc:AlternateContent>
  <xr:revisionPtr revIDLastSave="3388" documentId="8_{A47D778A-CB76-4DED-A25D-56627B5C76F7}" xr6:coauthVersionLast="47" xr6:coauthVersionMax="47" xr10:uidLastSave="{8C81C3CA-A0A1-4296-90C4-DED3BA9FC7DA}"/>
  <bookViews>
    <workbookView xWindow="-120" yWindow="-120" windowWidth="20730" windowHeight="11310" activeTab="4" xr2:uid="{AD973447-16D9-43AC-91A3-F68144955539}"/>
  </bookViews>
  <sheets>
    <sheet name="Sheet1" sheetId="1" r:id="rId1"/>
    <sheet name="Sheet2" sheetId="4" r:id="rId2"/>
    <sheet name="Title Page" sheetId="25" r:id="rId3"/>
    <sheet name="Background" sheetId="26" r:id="rId4"/>
    <sheet name="DO" sheetId="32" r:id="rId5"/>
    <sheet name="DITM" sheetId="27" r:id="rId6"/>
    <sheet name="Sheet1 (2)" sheetId="28" r:id="rId7"/>
    <sheet name="Sheet2 (2)" sheetId="29" r:id="rId8"/>
    <sheet name="CTQ Flowdown (HOQ2)" sheetId="30" r:id="rId9"/>
  </sheets>
  <definedNames>
    <definedName name="_AMO_UniqueIdentifier" hidden="1">"'25d76e86-d125-4493-be99-718842eb69a2'"</definedName>
    <definedName name="_xlnm._FilterDatabase" localSheetId="5" hidden="1">DITM!$A$3:$M$73</definedName>
    <definedName name="_xlnm._FilterDatabase" localSheetId="4" hidden="1">DO!$A$1:$B$23</definedName>
    <definedName name="_xlnm.Print_Titles" localSheetId="5">DITM!$3:$3</definedName>
    <definedName name="_xlnm.Print_Titles" localSheetId="2">#N/A</definedName>
    <definedName name="Project_Name">#N/A</definedName>
    <definedName name="Revision">0</definedName>
    <definedName name="Revision_Date">#N/A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3" i="29" l="1"/>
  <c r="G72" i="29"/>
  <c r="G71" i="29"/>
  <c r="G70" i="29"/>
  <c r="G69" i="29"/>
  <c r="G68" i="29"/>
  <c r="G67" i="29"/>
  <c r="G66" i="29"/>
  <c r="G65" i="29"/>
  <c r="G64" i="29"/>
  <c r="G63" i="29"/>
  <c r="G62" i="29"/>
  <c r="G61" i="29"/>
  <c r="G60" i="29"/>
  <c r="G59" i="29"/>
  <c r="G58" i="29"/>
  <c r="G57" i="29"/>
  <c r="G56" i="29"/>
  <c r="G55" i="29"/>
  <c r="G54" i="29"/>
  <c r="G53" i="29"/>
  <c r="G52" i="29"/>
  <c r="G51" i="29"/>
  <c r="G50" i="29"/>
  <c r="G49" i="29"/>
  <c r="G48" i="29"/>
  <c r="G47" i="29"/>
  <c r="G46" i="29"/>
  <c r="G45" i="29"/>
  <c r="G44" i="29"/>
  <c r="G43" i="29"/>
  <c r="G42" i="29"/>
  <c r="G41" i="29"/>
  <c r="G40" i="29"/>
  <c r="G39" i="29"/>
  <c r="G38" i="29"/>
  <c r="G37" i="29"/>
  <c r="G36" i="29"/>
  <c r="G35" i="29"/>
  <c r="G34" i="29"/>
  <c r="G33" i="29"/>
  <c r="G32" i="29"/>
  <c r="G31" i="29"/>
  <c r="G30" i="29"/>
  <c r="G29" i="29"/>
  <c r="G28" i="29"/>
  <c r="G27" i="29"/>
  <c r="G26" i="29"/>
  <c r="G25" i="29"/>
  <c r="G24" i="29"/>
  <c r="G23" i="29"/>
  <c r="G22" i="29"/>
  <c r="G21" i="29"/>
  <c r="G20" i="29"/>
  <c r="G19" i="29"/>
  <c r="G18" i="29"/>
  <c r="G17" i="29"/>
  <c r="G16" i="29"/>
  <c r="G15" i="29"/>
  <c r="G14" i="29"/>
  <c r="G13" i="29"/>
  <c r="G12" i="29"/>
  <c r="G11" i="29"/>
  <c r="G10" i="29"/>
  <c r="G9" i="29"/>
  <c r="G8" i="29"/>
  <c r="G7" i="29"/>
  <c r="G6" i="29"/>
  <c r="G5" i="29"/>
  <c r="G4" i="29"/>
  <c r="G3" i="29"/>
  <c r="G2" i="29"/>
</calcChain>
</file>

<file path=xl/sharedStrings.xml><?xml version="1.0" encoding="utf-8"?>
<sst xmlns="http://schemas.openxmlformats.org/spreadsheetml/2006/main" count="1392" uniqueCount="474">
  <si>
    <t>N/A</t>
  </si>
  <si>
    <t>ID</t>
  </si>
  <si>
    <r>
      <t>Project Chroma</t>
    </r>
    <r>
      <rPr>
        <b/>
        <sz val="12"/>
        <color indexed="17"/>
        <rFont val="Times New Roman"/>
        <family val="1"/>
      </rPr>
      <t xml:space="preserve"> </t>
    </r>
    <r>
      <rPr>
        <b/>
        <sz val="12"/>
        <color indexed="8"/>
        <rFont val="Times New Roman"/>
        <family val="1"/>
      </rPr>
      <t>Design Input Traceability Matrix (DITM)</t>
    </r>
  </si>
  <si>
    <t>Date: 10APR2024</t>
  </si>
  <si>
    <t>Document ID: VIS-DI-002564/2</t>
  </si>
  <si>
    <t>Design History File: VIS-DHF-000309</t>
  </si>
  <si>
    <t>Approvals</t>
  </si>
  <si>
    <t>Role</t>
  </si>
  <si>
    <t>Name</t>
  </si>
  <si>
    <t>Signature/Date</t>
  </si>
  <si>
    <t>Pre-Launch (Design Phases 1-4)</t>
  </si>
  <si>
    <t>R&amp;D Project Manager</t>
  </si>
  <si>
    <t>Edmund Jolley</t>
  </si>
  <si>
    <t>See Electronic Signature in Teamcenter</t>
  </si>
  <si>
    <t>Product Management Project Manager</t>
  </si>
  <si>
    <t>Shane Ryan</t>
  </si>
  <si>
    <t>R&amp;D NPI (New Product Introduction) Lead</t>
  </si>
  <si>
    <t>Kent Young</t>
  </si>
  <si>
    <t>New Product Quality Engineering (NP QE) / QA</t>
  </si>
  <si>
    <t>Hanika Howard</t>
  </si>
  <si>
    <t>Post-Launch (Design Phase 5)</t>
  </si>
  <si>
    <t>Design Controls/Risk Management representative</t>
  </si>
  <si>
    <t>Knowledge Management representative</t>
  </si>
  <si>
    <r>
      <t xml:space="preserve">Version History Log
</t>
    </r>
    <r>
      <rPr>
        <b/>
        <sz val="10"/>
        <color indexed="17"/>
        <rFont val="Times New Roman"/>
        <family val="1"/>
      </rPr>
      <t>NOTE: Use the "Version History Log" below to capture each revision to this document. If the change requires a detailed breakdown, use the "Detailed Change Log" below to provide an item-by-item list of changes.</t>
    </r>
  </si>
  <si>
    <t>Revision #</t>
  </si>
  <si>
    <t>Description of change(s) from previous revision</t>
  </si>
  <si>
    <t>Original Document</t>
  </si>
  <si>
    <r>
      <t xml:space="preserve">Updated document in accordance with Pre-Release Design Change Plan </t>
    </r>
    <r>
      <rPr>
        <b/>
        <sz val="11"/>
        <color rgb="FF000000"/>
        <rFont val="Times New Roman"/>
        <family val="1"/>
      </rPr>
      <t>VIS-DChg-000839</t>
    </r>
    <r>
      <rPr>
        <sz val="11"/>
        <color rgb="FF000000"/>
        <rFont val="Times New Roman"/>
        <family val="1"/>
      </rPr>
      <t xml:space="preserve">:
  - Removed design input for Prismatic Error (VIS-DI-002583).
  - Updated Attachment 1 (Critical to Quality (CTQ) Flowdown) to remove design input for Prismatic Error (VIS-DI-002583). 
Updated document in accordance with Pre-Release Design Change Plan </t>
    </r>
    <r>
      <rPr>
        <b/>
        <sz val="11"/>
        <color rgb="FF000000"/>
        <rFont val="Times New Roman"/>
        <family val="1"/>
      </rPr>
      <t>VIS-DChg-000840</t>
    </r>
    <r>
      <rPr>
        <sz val="11"/>
        <color rgb="FF000000"/>
        <rFont val="Times New Roman"/>
        <family val="1"/>
      </rPr>
      <t>:
  - Removed design input for Required Labeling Statement (VIS-DI-002623).
  - Updated Attachment 1 (CTQ Flowdown) to remove design input for Required Labeling Statement (VIS-DI-002623). 
Updated Company Logo on Title Page.
Updated Test Methods column to align with Chroma Test Method Stratgey.
Update Design Outputs column to add applicable document references.
Updated Essential Design Output column.</t>
    </r>
  </si>
  <si>
    <r>
      <t xml:space="preserve">Detailed Change Log
</t>
    </r>
    <r>
      <rPr>
        <b/>
        <sz val="10"/>
        <color indexed="17"/>
        <rFont val="Times New Roman"/>
        <family val="1"/>
      </rPr>
      <t>NOTE: Use the "Detailed Change Log" below, as appropriate for a given revision, to provide a more detailed, item-by-item list of changes.</t>
    </r>
  </si>
  <si>
    <t>Revision</t>
  </si>
  <si>
    <t>Design Input Identifier</t>
  </si>
  <si>
    <t>Design Control Element</t>
  </si>
  <si>
    <t>Changed From</t>
  </si>
  <si>
    <t>Changed To</t>
  </si>
  <si>
    <t>Reason</t>
  </si>
  <si>
    <t>VIS-DI-002564/2</t>
  </si>
  <si>
    <t>Background</t>
  </si>
  <si>
    <t>Device Description</t>
  </si>
  <si>
    <r>
      <t>Refer to the current version of Project Chroma</t>
    </r>
    <r>
      <rPr>
        <i/>
        <sz val="11"/>
        <color indexed="8"/>
        <rFont val="Times New Roman"/>
        <family val="1"/>
      </rPr>
      <t xml:space="preserve"> </t>
    </r>
    <r>
      <rPr>
        <sz val="11"/>
        <color indexed="8"/>
        <rFont val="Times New Roman"/>
        <family val="1"/>
      </rPr>
      <t>Design and Development Plan, VIS-DDP-000255,</t>
    </r>
    <r>
      <rPr>
        <i/>
        <sz val="11"/>
        <color indexed="8"/>
        <rFont val="Times New Roman"/>
        <family val="1"/>
      </rPr>
      <t xml:space="preserve"> </t>
    </r>
    <r>
      <rPr>
        <sz val="11"/>
        <color indexed="8"/>
        <rFont val="Times New Roman"/>
        <family val="1"/>
      </rPr>
      <t>for the project scope and device description including intended use and intended user.</t>
    </r>
  </si>
  <si>
    <t>References</t>
  </si>
  <si>
    <r>
      <t xml:space="preserve">National and/or international regulations, regulatory guidance documents, mandatory/voluntary standards, and industry standards are referenced under specific Design Inputs (as applicable). 
</t>
    </r>
    <r>
      <rPr>
        <sz val="5"/>
        <color indexed="8"/>
        <rFont val="Times New Roman"/>
        <family val="1"/>
      </rPr>
      <t xml:space="preserve">
</t>
    </r>
    <r>
      <rPr>
        <sz val="11"/>
        <color indexed="8"/>
        <rFont val="Times New Roman"/>
        <family val="1"/>
      </rPr>
      <t xml:space="preserve">Applicable references were determined based on </t>
    </r>
    <r>
      <rPr>
        <b/>
        <sz val="11"/>
        <color indexed="12"/>
        <rFont val="Times New Roman"/>
        <family val="1"/>
      </rPr>
      <t>VWI-0004</t>
    </r>
    <r>
      <rPr>
        <b/>
        <sz val="11"/>
        <color indexed="8"/>
        <rFont val="Times New Roman"/>
        <family val="1"/>
      </rPr>
      <t xml:space="preserve">, </t>
    </r>
    <r>
      <rPr>
        <sz val="11"/>
        <color indexed="8"/>
        <rFont val="Times New Roman"/>
        <family val="1"/>
      </rPr>
      <t>Standard Requirements Handbook, and intended launch market(s) as specified in the project Design and Development Plan.</t>
    </r>
  </si>
  <si>
    <t>Test Methods</t>
  </si>
  <si>
    <t>Test Methods identified in the "Test Methods" column represent those used during the design and development phase. Other equivalent test methods may be qualified for a particular Design Input at other times during the life cycle of the product. For the latest qualified Test Methods, refer to the official product specification documents (e.g., Product Requirements document (PR), Product Characteristics document (PC)).</t>
  </si>
  <si>
    <t>User Need Identifier</t>
  </si>
  <si>
    <t>User Need</t>
  </si>
  <si>
    <t>Design Input</t>
  </si>
  <si>
    <t>Test Method(s)</t>
  </si>
  <si>
    <t>Essential Design Input (Y/N)</t>
  </si>
  <si>
    <t>Design Output</t>
  </si>
  <si>
    <t>Essential Design Output (Y/N)</t>
  </si>
  <si>
    <t>Design Verification</t>
  </si>
  <si>
    <t>Design Validation</t>
  </si>
  <si>
    <t>VIS-UR-000455 </t>
  </si>
  <si>
    <t>Clear Crisp Vision</t>
  </si>
  <si>
    <t>VIS-DI-002575</t>
  </si>
  <si>
    <t>CHR-10</t>
  </si>
  <si>
    <r>
      <rPr>
        <b/>
        <sz val="10"/>
        <rFont val="Times New Roman"/>
        <family val="1"/>
      </rPr>
      <t>Sphere (Label Back Vertex) Power (F'</t>
    </r>
    <r>
      <rPr>
        <b/>
        <vertAlign val="subscript"/>
        <sz val="10"/>
        <rFont val="Times New Roman"/>
        <family val="1"/>
      </rPr>
      <t>L</t>
    </r>
    <r>
      <rPr>
        <b/>
        <sz val="10"/>
        <rFont val="Times New Roman"/>
        <family val="1"/>
      </rPr>
      <t>)
Target</t>
    </r>
    <r>
      <rPr>
        <sz val="10"/>
        <rFont val="Times New Roman"/>
        <family val="1"/>
      </rPr>
      <t xml:space="preserve"> (D) = manufacturer defined at -9.00 to -6.50 by 0.50 steps; -6.00 to -0.25 in 0.25 steps; +0.00 to +1.00 in 0.25 steps
</t>
    </r>
    <r>
      <rPr>
        <b/>
        <sz val="10"/>
        <rFont val="Times New Roman"/>
        <family val="1"/>
      </rPr>
      <t xml:space="preserve">Tolerance:
</t>
    </r>
    <r>
      <rPr>
        <sz val="10"/>
        <rFont val="Times New Roman"/>
        <family val="1"/>
      </rPr>
      <t>|F'</t>
    </r>
    <r>
      <rPr>
        <vertAlign val="subscript"/>
        <sz val="10"/>
        <rFont val="Times New Roman"/>
        <family val="1"/>
      </rPr>
      <t>L</t>
    </r>
    <r>
      <rPr>
        <sz val="10"/>
        <rFont val="Times New Roman"/>
        <family val="1"/>
      </rPr>
      <t>| ≤ 10.00 D then ±0.25 D
10.00 D &lt; |F'</t>
    </r>
    <r>
      <rPr>
        <vertAlign val="subscript"/>
        <sz val="10"/>
        <rFont val="Times New Roman"/>
        <family val="1"/>
      </rPr>
      <t>L</t>
    </r>
    <r>
      <rPr>
        <sz val="10"/>
        <rFont val="Times New Roman"/>
        <family val="1"/>
      </rPr>
      <t>| ≤ 20.00 D then ±0.50 D
|F'</t>
    </r>
    <r>
      <rPr>
        <vertAlign val="subscript"/>
        <sz val="10"/>
        <rFont val="Times New Roman"/>
        <family val="1"/>
      </rPr>
      <t>L</t>
    </r>
    <r>
      <rPr>
        <sz val="10"/>
        <rFont val="Times New Roman"/>
        <family val="1"/>
      </rPr>
      <t xml:space="preserve">| &gt; 20.00 D then ±1.00 D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3]</t>
    </r>
    <r>
      <rPr>
        <u/>
        <sz val="10"/>
        <rFont val="Times New Roman"/>
        <family val="1"/>
      </rPr>
      <t xml:space="preserve">
</t>
    </r>
    <r>
      <rPr>
        <sz val="10"/>
        <rFont val="Times New Roman"/>
        <family val="1"/>
      </rPr>
      <t xml:space="preserve">US   </t>
    </r>
    <r>
      <rPr>
        <u/>
        <sz val="10"/>
        <rFont val="Times New Roman"/>
        <family val="1"/>
      </rPr>
      <t>ANSI Z80.20-2016</t>
    </r>
    <r>
      <rPr>
        <sz val="10"/>
        <rFont val="Times New Roman"/>
        <family val="1"/>
      </rPr>
      <t xml:space="preserve"> Contact Lenses - Standard Terminology, Tolerances, Measurements and Physiochemical Properties [Table 3]
EU   </t>
    </r>
    <r>
      <rPr>
        <u/>
        <sz val="10"/>
        <rFont val="Times New Roman"/>
        <family val="1"/>
      </rPr>
      <t>EN ISO 18369-2:2017</t>
    </r>
    <r>
      <rPr>
        <sz val="10"/>
        <rFont val="Times New Roman"/>
        <family val="1"/>
      </rPr>
      <t xml:space="preserve"> Ophthalmics optics - Contact lenses - Part 2: Tolerances [Table 3]
JP    </t>
    </r>
    <r>
      <rPr>
        <u/>
        <sz val="10"/>
        <rFont val="Times New Roman"/>
        <family val="1"/>
      </rPr>
      <t>PSEHB Notification No. 0411-8, April 11, 2019</t>
    </r>
    <r>
      <rPr>
        <sz val="10"/>
        <rFont val="Times New Roman"/>
        <family val="1"/>
      </rPr>
      <t xml:space="preserve"> Approval Standard for Contact Lenses [Clause 4.5]
CN  </t>
    </r>
    <r>
      <rPr>
        <u/>
        <sz val="10"/>
        <rFont val="Times New Roman"/>
        <family val="1"/>
      </rPr>
      <t>GB 11417.3-2012</t>
    </r>
    <r>
      <rPr>
        <sz val="10"/>
        <rFont val="Times New Roman"/>
        <family val="1"/>
      </rPr>
      <t xml:space="preserve"> Ophthalmic optics - Contact lenses - Part 3: Soft Contact Lenses [Point 4.2.2]
</t>
    </r>
  </si>
  <si>
    <t>TM-0745</t>
  </si>
  <si>
    <t>Y</t>
  </si>
  <si>
    <r>
      <rPr>
        <b/>
        <sz val="10"/>
        <rFont val="Times New Roman"/>
        <family val="1"/>
      </rPr>
      <t>VIS-DO-001542</t>
    </r>
    <r>
      <rPr>
        <sz val="10"/>
        <rFont val="Times New Roman"/>
        <family val="1"/>
      </rPr>
      <t>: Chroma Contact Lens Product Requirements</t>
    </r>
  </si>
  <si>
    <t>Yes</t>
  </si>
  <si>
    <t>TBD</t>
  </si>
  <si>
    <t xml:space="preserve">VIS-UR-000460 
VIS-UR-000459 
VIS-UR-000457 
VIS-UR-000458 </t>
  </si>
  <si>
    <t>Easy to Insert and Remove
Comfort throughout Wear Time
Fit Acceptance - Mechanical
Fit Acceptance - Cosmetic</t>
  </si>
  <si>
    <t>VIS-DI-002576</t>
  </si>
  <si>
    <t>CHR-11</t>
  </si>
  <si>
    <r>
      <t>Diameter
Target</t>
    </r>
    <r>
      <rPr>
        <sz val="10"/>
        <rFont val="Times New Roman"/>
        <family val="1"/>
      </rPr>
      <t xml:space="preserve"> (mm) = manufacturer defined at 14.20 mm</t>
    </r>
    <r>
      <rPr>
        <b/>
        <sz val="10"/>
        <rFont val="Times New Roman"/>
        <family val="1"/>
      </rPr>
      <t xml:space="preserve">
Tolerance:</t>
    </r>
    <r>
      <rPr>
        <sz val="10"/>
        <rFont val="Times New Roman"/>
        <family val="1"/>
      </rPr>
      <t xml:space="preserve"> ± 0.20 mm</t>
    </r>
    <r>
      <rPr>
        <b/>
        <sz val="10"/>
        <rFont val="Times New Roman"/>
        <family val="1"/>
      </rPr>
      <t xml:space="preserve">
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3]
US   </t>
    </r>
    <r>
      <rPr>
        <u/>
        <sz val="10"/>
        <rFont val="Times New Roman"/>
        <family val="1"/>
      </rPr>
      <t>ANSI Z80.20-2016</t>
    </r>
    <r>
      <rPr>
        <sz val="10"/>
        <rFont val="Times New Roman"/>
        <family val="1"/>
      </rPr>
      <t xml:space="preserve"> Contact Lenses - Standard Terminology, Tolerances, Measurements and Physiochemical Properties [Table 3]
EU   </t>
    </r>
    <r>
      <rPr>
        <u/>
        <sz val="10"/>
        <rFont val="Times New Roman"/>
        <family val="1"/>
      </rPr>
      <t>EN ISO 18369-2:2017</t>
    </r>
    <r>
      <rPr>
        <sz val="10"/>
        <rFont val="Times New Roman"/>
        <family val="1"/>
      </rPr>
      <t xml:space="preserve"> Ophthalmics optics - Contact lenses - Part 2: Tolerances [Table 3]
JP    </t>
    </r>
    <r>
      <rPr>
        <u/>
        <sz val="10"/>
        <rFont val="Times New Roman"/>
        <family val="1"/>
      </rPr>
      <t>PSEHB Notification No. 0411-8, April 11, 2019</t>
    </r>
    <r>
      <rPr>
        <sz val="10"/>
        <rFont val="Times New Roman"/>
        <family val="1"/>
      </rPr>
      <t xml:space="preserve"> Approval Standard for Contact Lenses [Clause 4.2]
CN  </t>
    </r>
    <r>
      <rPr>
        <u/>
        <sz val="10"/>
        <rFont val="Times New Roman"/>
        <family val="1"/>
      </rPr>
      <t>GB 11417.3-2012</t>
    </r>
    <r>
      <rPr>
        <sz val="10"/>
        <rFont val="Times New Roman"/>
        <family val="1"/>
      </rPr>
      <t xml:space="preserve"> Ophthalmic optics - Contact lenses - Part 3: Soft Contact Lenses [Point 4.3.1]
</t>
    </r>
  </si>
  <si>
    <t xml:space="preserve">VIS-UR-000455
VIS-UR-000460 
VIS-UR-000459 
VIS-UR-000457 
VIS-UR-000458 </t>
  </si>
  <si>
    <t>Clear Crisp Vision
Easy to Insert and Remove
Comfort throughout Wear Time
Fit Acceptance - Mechanical
Fit Acceptance - Cosmetic</t>
  </si>
  <si>
    <t>VIS-DI-002577</t>
  </si>
  <si>
    <t>CHR-12</t>
  </si>
  <si>
    <r>
      <rPr>
        <b/>
        <sz val="10"/>
        <rFont val="Times New Roman"/>
        <family val="1"/>
      </rPr>
      <t>Base Curve Radius
Target</t>
    </r>
    <r>
      <rPr>
        <sz val="10"/>
        <rFont val="Times New Roman"/>
        <family val="1"/>
      </rPr>
      <t xml:space="preserve"> (mm) = manufacturer defined at 8.50 (mm)
</t>
    </r>
    <r>
      <rPr>
        <b/>
        <sz val="10"/>
        <rFont val="Times New Roman"/>
        <family val="1"/>
      </rPr>
      <t>Tolerance:</t>
    </r>
    <r>
      <rPr>
        <sz val="10"/>
        <rFont val="Times New Roman"/>
        <family val="1"/>
      </rPr>
      <t xml:space="preserve"> ± 0.20 mm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3]
US   </t>
    </r>
    <r>
      <rPr>
        <u/>
        <sz val="10"/>
        <rFont val="Times New Roman"/>
        <family val="1"/>
      </rPr>
      <t>ANSI Z80.20-2016</t>
    </r>
    <r>
      <rPr>
        <sz val="10"/>
        <rFont val="Times New Roman"/>
        <family val="1"/>
      </rPr>
      <t xml:space="preserve"> Contact Lenses - Standard Terminology, Tolerances, Measurements and Physiochemical Properties [Table 3]
EU   </t>
    </r>
    <r>
      <rPr>
        <u/>
        <sz val="10"/>
        <rFont val="Times New Roman"/>
        <family val="1"/>
      </rPr>
      <t>EN ISO 18369-2:2017</t>
    </r>
    <r>
      <rPr>
        <sz val="10"/>
        <rFont val="Times New Roman"/>
        <family val="1"/>
      </rPr>
      <t xml:space="preserve"> Ophthalmics optics - Contact lenses - Part 2: Tolerances [Table 3]
JP    </t>
    </r>
    <r>
      <rPr>
        <u/>
        <sz val="10"/>
        <rFont val="Times New Roman"/>
        <family val="1"/>
      </rPr>
      <t>PSEHB Notification No. 0411-8, April 11, 2019</t>
    </r>
    <r>
      <rPr>
        <sz val="10"/>
        <rFont val="Times New Roman"/>
        <family val="1"/>
      </rPr>
      <t xml:space="preserve"> Approval Standard for Contact Lenses [Clause 4.4]
CN  </t>
    </r>
    <r>
      <rPr>
        <u/>
        <sz val="10"/>
        <rFont val="Times New Roman"/>
        <family val="1"/>
      </rPr>
      <t>GB 11417.3-2012</t>
    </r>
    <r>
      <rPr>
        <sz val="10"/>
        <rFont val="Times New Roman"/>
        <family val="1"/>
      </rPr>
      <t xml:space="preserve"> Ophthalmic optics - Contact lenses - Part 3: Soft Contact Lenses [Point 4.3.1]
</t>
    </r>
  </si>
  <si>
    <t xml:space="preserve">VIS-UR-000455
VIS-UR-000460 
VIS-UR-000459
VIS-UR-000461 
VIS-UR-000457 
VIS-UR-000458 </t>
  </si>
  <si>
    <t>Clear Crisp Vision
Easy to Insert and Remove
Comfort throughout Wear Time
Eye Health
Fit Acceptance - Mechanical
Fit Acceptance - Cosmetic</t>
  </si>
  <si>
    <t>VIS-DI-002578</t>
  </si>
  <si>
    <t>CHR-13</t>
  </si>
  <si>
    <r>
      <rPr>
        <b/>
        <sz val="10"/>
        <rFont val="Times New Roman"/>
        <family val="1"/>
      </rPr>
      <t>Center Thickness (t</t>
    </r>
    <r>
      <rPr>
        <b/>
        <vertAlign val="subscript"/>
        <sz val="10"/>
        <rFont val="Times New Roman"/>
        <family val="1"/>
      </rPr>
      <t>c</t>
    </r>
    <r>
      <rPr>
        <b/>
        <sz val="10"/>
        <rFont val="Times New Roman"/>
        <family val="1"/>
      </rPr>
      <t>)
Target</t>
    </r>
    <r>
      <rPr>
        <sz val="10"/>
        <rFont val="Times New Roman"/>
        <family val="1"/>
      </rPr>
      <t xml:space="preserve"> (mm) = manufacturer defined 
 </t>
    </r>
    <r>
      <rPr>
        <sz val="10"/>
        <color rgb="FFFF0000"/>
        <rFont val="Times New Roman"/>
        <family val="1"/>
      </rPr>
      <t xml:space="preserve">                            
</t>
    </r>
    <r>
      <rPr>
        <b/>
        <sz val="10"/>
        <rFont val="Times New Roman"/>
        <family val="1"/>
      </rPr>
      <t xml:space="preserve">Tolerance: </t>
    </r>
    <r>
      <rPr>
        <sz val="10"/>
        <rFont val="Times New Roman"/>
        <family val="1"/>
      </rPr>
      <t xml:space="preserve">
t</t>
    </r>
    <r>
      <rPr>
        <vertAlign val="subscript"/>
        <sz val="10"/>
        <rFont val="Times New Roman"/>
        <family val="1"/>
      </rPr>
      <t>c</t>
    </r>
    <r>
      <rPr>
        <sz val="10"/>
        <rFont val="Times New Roman"/>
        <family val="1"/>
      </rPr>
      <t xml:space="preserve"> ≤ 0.10 mm then ±(0.010 mm + 0.10t</t>
    </r>
    <r>
      <rPr>
        <vertAlign val="subscript"/>
        <sz val="10"/>
        <rFont val="Times New Roman"/>
        <family val="1"/>
      </rPr>
      <t>c</t>
    </r>
    <r>
      <rPr>
        <sz val="10"/>
        <rFont val="Times New Roman"/>
        <family val="1"/>
      </rPr>
      <t>)
t</t>
    </r>
    <r>
      <rPr>
        <vertAlign val="subscript"/>
        <sz val="10"/>
        <rFont val="Times New Roman"/>
        <family val="1"/>
      </rPr>
      <t>c</t>
    </r>
    <r>
      <rPr>
        <sz val="10"/>
        <rFont val="Times New Roman"/>
        <family val="1"/>
      </rPr>
      <t xml:space="preserve"> &gt; 0.10 mm then ±(0.015 mm + 0.05t</t>
    </r>
    <r>
      <rPr>
        <vertAlign val="subscript"/>
        <sz val="10"/>
        <rFont val="Times New Roman"/>
        <family val="1"/>
      </rPr>
      <t>c</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3]
US   </t>
    </r>
    <r>
      <rPr>
        <u/>
        <sz val="10"/>
        <rFont val="Times New Roman"/>
        <family val="1"/>
      </rPr>
      <t>ANSI Z80.20-2016</t>
    </r>
    <r>
      <rPr>
        <sz val="10"/>
        <rFont val="Times New Roman"/>
        <family val="1"/>
      </rPr>
      <t xml:space="preserve"> Contact Lenses - Standard Terminology, Tolerances, Measurements and Physiochemical Properties [Table 3]
EU   </t>
    </r>
    <r>
      <rPr>
        <u/>
        <sz val="10"/>
        <rFont val="Times New Roman"/>
        <family val="1"/>
      </rPr>
      <t>EN ISO 18369-2:2017</t>
    </r>
    <r>
      <rPr>
        <sz val="10"/>
        <rFont val="Times New Roman"/>
        <family val="1"/>
      </rPr>
      <t xml:space="preserve"> Ophthalmics optics - Contact lenses - Part 2: Tolerances [Table 3]
JP    </t>
    </r>
    <r>
      <rPr>
        <u/>
        <sz val="10"/>
        <rFont val="Times New Roman"/>
        <family val="1"/>
      </rPr>
      <t>PSEHB Notification No. 0411-8, April 11, 2019</t>
    </r>
    <r>
      <rPr>
        <sz val="10"/>
        <rFont val="Times New Roman"/>
        <family val="1"/>
      </rPr>
      <t xml:space="preserve"> Approval Standard for Contact Lenses [Clause 4.3]
CN  </t>
    </r>
    <r>
      <rPr>
        <u/>
        <sz val="10"/>
        <rFont val="Times New Roman"/>
        <family val="1"/>
      </rPr>
      <t>GB 11417.3-2012</t>
    </r>
    <r>
      <rPr>
        <sz val="10"/>
        <rFont val="Times New Roman"/>
        <family val="1"/>
      </rPr>
      <t xml:space="preserve"> Ophthalmic optics - Contact lenses - Part 3: Soft Contact Lenses [Point 4.3.1]
</t>
    </r>
  </si>
  <si>
    <t>VIS-UR-000455</t>
  </si>
  <si>
    <t>VIS-DI-002579</t>
  </si>
  <si>
    <t>CHR-14</t>
  </si>
  <si>
    <r>
      <rPr>
        <b/>
        <sz val="10"/>
        <color rgb="FF000000"/>
        <rFont val="Times New Roman"/>
        <family val="1"/>
      </rPr>
      <t>Optic Zone Diameter
Requirement:</t>
    </r>
    <r>
      <rPr>
        <sz val="10"/>
        <color rgb="FF000000"/>
        <rFont val="Times New Roman"/>
        <family val="1"/>
      </rPr>
      <t xml:space="preserve"> OZD ≥ 7.0 mm
</t>
    </r>
    <r>
      <rPr>
        <i/>
        <sz val="10"/>
        <color rgb="FF000000"/>
        <rFont val="Times New Roman"/>
        <family val="1"/>
      </rPr>
      <t xml:space="preserve">"The optical diameter of contact lens should not be less than 7.0mm, if not meet the requirements, manufacturers should note in accompanying data.
Note: Only for the single colored lenses or no colored lenses."
</t>
    </r>
    <r>
      <rPr>
        <sz val="10"/>
        <color rgb="FF000000"/>
        <rFont val="Times New Roman"/>
        <family val="1"/>
      </rPr>
      <t xml:space="preserve">
</t>
    </r>
    <r>
      <rPr>
        <b/>
        <sz val="10"/>
        <color rgb="FF000000"/>
        <rFont val="Times New Roman"/>
        <family val="1"/>
      </rPr>
      <t xml:space="preserve">Per:
</t>
    </r>
    <r>
      <rPr>
        <sz val="10"/>
        <color rgb="FF000000"/>
        <rFont val="Times New Roman"/>
        <family val="1"/>
      </rPr>
      <t xml:space="preserve">CN  </t>
    </r>
    <r>
      <rPr>
        <u/>
        <sz val="10"/>
        <color rgb="FF000000"/>
        <rFont val="Times New Roman"/>
        <family val="1"/>
      </rPr>
      <t>GB 11417.3-2012</t>
    </r>
    <r>
      <rPr>
        <sz val="10"/>
        <color rgb="FF000000"/>
        <rFont val="Times New Roman"/>
        <family val="1"/>
      </rPr>
      <t xml:space="preserve"> Ophthalmic optics - Contact lenses - Part 3: Soft Contact Lenses [Point 4.3.2]
</t>
    </r>
  </si>
  <si>
    <r>
      <rPr>
        <b/>
        <sz val="10"/>
        <color indexed="12"/>
        <rFont val="Times New Roman"/>
        <family val="1"/>
      </rPr>
      <t>IWA-0334</t>
    </r>
    <r>
      <rPr>
        <sz val="10"/>
        <rFont val="Times New Roman"/>
        <family val="1"/>
      </rPr>
      <t xml:space="preserve">: 2GT and 5GT Plastic Measurement Targets
</t>
    </r>
    <r>
      <rPr>
        <b/>
        <sz val="10"/>
        <rFont val="Times New Roman"/>
        <family val="1"/>
      </rPr>
      <t xml:space="preserve">
VIS-TD-105334</t>
    </r>
    <r>
      <rPr>
        <sz val="10"/>
        <rFont val="Times New Roman"/>
        <family val="1"/>
      </rPr>
      <t xml:space="preserve">: DAY ACUVUE® DEFINE® with Lacreon® Optic Zone Diameter Memo </t>
    </r>
  </si>
  <si>
    <t>VIS-DI-002580</t>
  </si>
  <si>
    <t>CHR-15</t>
  </si>
  <si>
    <r>
      <rPr>
        <b/>
        <sz val="10"/>
        <rFont val="Times New Roman"/>
        <family val="1"/>
      </rPr>
      <t>Average Luminous Transmittance in the Visible Region (τ</t>
    </r>
    <r>
      <rPr>
        <b/>
        <vertAlign val="subscript"/>
        <sz val="10"/>
        <rFont val="Times New Roman"/>
        <family val="1"/>
      </rPr>
      <t>V</t>
    </r>
    <r>
      <rPr>
        <b/>
        <sz val="10"/>
        <rFont val="Times New Roman"/>
        <family val="1"/>
      </rPr>
      <t>)</t>
    </r>
    <r>
      <rPr>
        <sz val="10"/>
        <rFont val="Times New Roman"/>
        <family val="1"/>
      </rPr>
      <t xml:space="preserve">
</t>
    </r>
    <r>
      <rPr>
        <i/>
        <sz val="10"/>
        <rFont val="Times New Roman"/>
        <family val="1"/>
      </rPr>
      <t xml:space="preserve">visible spectrum wavelengths are 380 nm to 780 nm
</t>
    </r>
    <r>
      <rPr>
        <sz val="10"/>
        <rFont val="Times New Roman"/>
        <family val="1"/>
      </rPr>
      <t xml:space="preserve">
</t>
    </r>
    <r>
      <rPr>
        <b/>
        <sz val="10"/>
        <rFont val="Times New Roman"/>
        <family val="1"/>
      </rPr>
      <t>Requirement:</t>
    </r>
    <r>
      <rPr>
        <sz val="10"/>
        <rFont val="Times New Roman"/>
        <family val="1"/>
      </rPr>
      <t xml:space="preserve"> The results of optical transmittance which were measured under standard illumination should not be less than 89%. Optical area colored contact lens should be analyzed and evaluated whether it meets the daily application.
</t>
    </r>
    <r>
      <rPr>
        <u/>
        <sz val="10"/>
        <color indexed="36"/>
        <rFont val="Times New Roman"/>
        <family val="1"/>
      </rPr>
      <t xml:space="preserve">
</t>
    </r>
    <r>
      <rPr>
        <b/>
        <sz val="10"/>
        <rFont val="Times New Roman"/>
        <family val="1"/>
      </rPr>
      <t xml:space="preserve">Per: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4.2.4]
</t>
    </r>
  </si>
  <si>
    <t>TM-0443</t>
  </si>
  <si>
    <t>VIS-DI-002581</t>
  </si>
  <si>
    <t>CHR-16</t>
  </si>
  <si>
    <r>
      <rPr>
        <b/>
        <sz val="10"/>
        <rFont val="Times New Roman"/>
        <family val="1"/>
      </rPr>
      <t>Average Spectral Transmittance in the Visible Region (τ</t>
    </r>
    <r>
      <rPr>
        <b/>
        <vertAlign val="subscript"/>
        <sz val="10"/>
        <rFont val="Times New Roman"/>
        <family val="1"/>
      </rPr>
      <t>VIS</t>
    </r>
    <r>
      <rPr>
        <b/>
        <sz val="10"/>
        <rFont val="Times New Roman"/>
        <family val="1"/>
      </rPr>
      <t>)</t>
    </r>
    <r>
      <rPr>
        <sz val="10"/>
        <rFont val="Times New Roman"/>
        <family val="1"/>
      </rPr>
      <t xml:space="preserve">
</t>
    </r>
    <r>
      <rPr>
        <i/>
        <sz val="10"/>
        <rFont val="Times New Roman"/>
        <family val="1"/>
      </rPr>
      <t xml:space="preserve">visible spectrum wavelengths are 380 nm to 780 nm
</t>
    </r>
    <r>
      <rPr>
        <sz val="10"/>
        <rFont val="Times New Roman"/>
        <family val="1"/>
      </rPr>
      <t xml:space="preserve">
</t>
    </r>
    <r>
      <rPr>
        <b/>
        <sz val="10"/>
        <rFont val="Times New Roman"/>
        <family val="1"/>
      </rPr>
      <t>Target</t>
    </r>
    <r>
      <rPr>
        <sz val="10"/>
        <rFont val="Times New Roman"/>
        <family val="1"/>
      </rPr>
      <t xml:space="preserve"> (%) = manufacturer defined
</t>
    </r>
    <r>
      <rPr>
        <b/>
        <sz val="10"/>
        <rFont val="Times New Roman"/>
        <family val="1"/>
      </rPr>
      <t>Tolerance:</t>
    </r>
    <r>
      <rPr>
        <sz val="10"/>
        <rFont val="Times New Roman"/>
        <family val="1"/>
      </rPr>
      <t xml:space="preserve"> ± 5% absolute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4]
US   </t>
    </r>
    <r>
      <rPr>
        <u/>
        <sz val="10"/>
        <rFont val="Times New Roman"/>
        <family val="1"/>
      </rPr>
      <t>ANSI Z80.20-2016</t>
    </r>
    <r>
      <rPr>
        <sz val="10"/>
        <rFont val="Times New Roman"/>
        <family val="1"/>
      </rPr>
      <t xml:space="preserve"> Contact Lenses - Standard Terminology, Tolerances, Measurements and Physiochemical Properties [Table 5]
EU   </t>
    </r>
    <r>
      <rPr>
        <u/>
        <sz val="10"/>
        <rFont val="Times New Roman"/>
        <family val="1"/>
      </rPr>
      <t>EN ISO 18369-2:2017</t>
    </r>
    <r>
      <rPr>
        <sz val="10"/>
        <rFont val="Times New Roman"/>
        <family val="1"/>
      </rPr>
      <t xml:space="preserve"> Ophthalmics optics - Contact lenses - Part 2: Tolerances [Table 4]
JP    </t>
    </r>
    <r>
      <rPr>
        <u/>
        <sz val="10"/>
        <rFont val="Times New Roman"/>
        <family val="1"/>
      </rPr>
      <t>PSEHB Notification No. 0411-8, April 11, 2019</t>
    </r>
    <r>
      <rPr>
        <sz val="10"/>
        <rFont val="Times New Roman"/>
        <family val="1"/>
      </rPr>
      <t xml:space="preserve"> Approval Standard for Contact Lenses [Clause 4.6]
</t>
    </r>
    <r>
      <rPr>
        <b/>
        <sz val="10"/>
        <rFont val="Times New Roman"/>
        <family val="1"/>
      </rPr>
      <t>Target (%)</t>
    </r>
    <r>
      <rPr>
        <sz val="10"/>
        <rFont val="Times New Roman"/>
        <family val="1"/>
      </rPr>
      <t xml:space="preserve"> = manufacturer defined at 90 to 99%
</t>
    </r>
    <r>
      <rPr>
        <b/>
        <sz val="10"/>
        <rFont val="Times New Roman"/>
        <family val="1"/>
      </rPr>
      <t>Tolerance:</t>
    </r>
    <r>
      <rPr>
        <sz val="10"/>
        <rFont val="Times New Roman"/>
        <family val="1"/>
      </rPr>
      <t xml:space="preserve"> ± 5% of the set vision transmissibility (absolute value)
</t>
    </r>
    <r>
      <rPr>
        <i/>
        <sz val="10"/>
        <rFont val="Times New Roman"/>
        <family val="1"/>
      </rPr>
      <t xml:space="preserve">The lower limit value must be 80% (absolute value)
Measuring in a range corresponding to a diameter of 6 mm at the center of the optic zone
</t>
    </r>
    <r>
      <rPr>
        <sz val="10"/>
        <rFont val="Times New Roman"/>
        <family val="1"/>
      </rPr>
      <t xml:space="preserve">
Per:  
JP   PSEHB Notification No. 0411-8, April 11, 2019 Approval Standard for Contact Lenses [Clause 4.6]
KR  Korean Hard Contact Lenses / Soft Contact Lenses Standard: 2016 [Clause 7B]</t>
    </r>
  </si>
  <si>
    <t>VIS-UR-000461</t>
  </si>
  <si>
    <t>Eye Health</t>
  </si>
  <si>
    <t>VIS-DI-002582</t>
  </si>
  <si>
    <t>CHR-17</t>
  </si>
  <si>
    <r>
      <rPr>
        <b/>
        <sz val="10"/>
        <color rgb="FF000000"/>
        <rFont val="Times New Roman"/>
        <family val="1"/>
      </rPr>
      <t xml:space="preserve">Average Ultraviolet Radiation Transmittance
</t>
    </r>
    <r>
      <rPr>
        <sz val="10"/>
        <color rgb="FF000000"/>
        <rFont val="Times New Roman"/>
        <family val="1"/>
      </rPr>
      <t xml:space="preserve">
</t>
    </r>
    <r>
      <rPr>
        <b/>
        <sz val="10"/>
        <color rgb="FF000000"/>
        <rFont val="Times New Roman"/>
        <family val="1"/>
      </rPr>
      <t>Requirement:</t>
    </r>
    <r>
      <rPr>
        <sz val="10"/>
        <color rgb="FF000000"/>
        <rFont val="Times New Roman"/>
        <family val="1"/>
      </rPr>
      <t xml:space="preserve"> manufacturer defined
</t>
    </r>
    <r>
      <rPr>
        <sz val="5"/>
        <color rgb="FF000000"/>
        <rFont val="Times New Roman"/>
        <family val="1"/>
      </rPr>
      <t xml:space="preserve">
</t>
    </r>
    <r>
      <rPr>
        <b/>
        <sz val="10"/>
        <color rgb="FF000000"/>
        <rFont val="Times New Roman"/>
        <family val="1"/>
      </rPr>
      <t xml:space="preserve">Class 2 Absorber:
</t>
    </r>
    <r>
      <rPr>
        <sz val="10"/>
        <rFont val="Times New Roman"/>
        <family val="1"/>
      </rPr>
      <t>UVB (280-315 nm): &lt; 5.0% average values 
UVA (316-380 nm): &lt;30.0% average values</t>
    </r>
    <r>
      <rPr>
        <i/>
        <sz val="10"/>
        <rFont val="Times New Roman"/>
        <family val="1"/>
      </rPr>
      <t xml:space="preserve"> (inernal requirement)</t>
    </r>
    <r>
      <rPr>
        <b/>
        <i/>
        <sz val="10"/>
        <rFont val="Times New Roman"/>
        <family val="1"/>
      </rPr>
      <t xml:space="preserve">
</t>
    </r>
    <r>
      <rPr>
        <i/>
        <sz val="10"/>
        <rFont val="Times New Roman"/>
        <family val="1"/>
      </rPr>
      <t>(refer to technical rationale for UVA range in VIS-TD-105064)</t>
    </r>
    <r>
      <rPr>
        <sz val="10"/>
        <rFont val="Times New Roman"/>
        <family val="1"/>
      </rPr>
      <t xml:space="preserve">
</t>
    </r>
    <r>
      <rPr>
        <sz val="10"/>
        <color rgb="FF000000"/>
        <rFont val="Times New Roman"/>
        <family val="1"/>
      </rPr>
      <t xml:space="preserve">
</t>
    </r>
    <r>
      <rPr>
        <b/>
        <sz val="10"/>
        <color rgb="FF000000"/>
        <rFont val="Times New Roman"/>
        <family val="1"/>
      </rPr>
      <t xml:space="preserve">Per:
</t>
    </r>
    <r>
      <rPr>
        <sz val="10"/>
        <color rgb="FF000000"/>
        <rFont val="Times New Roman"/>
        <family val="1"/>
      </rPr>
      <t xml:space="preserve">US   </t>
    </r>
    <r>
      <rPr>
        <u/>
        <sz val="10"/>
        <color rgb="FF000000"/>
        <rFont val="Times New Roman"/>
        <family val="1"/>
      </rPr>
      <t>FDA Premarket Notification [510(k)] Guidance Document for Daily Wear Contact Lenses: 1994</t>
    </r>
    <r>
      <rPr>
        <sz val="10"/>
        <color rgb="FF000000"/>
        <rFont val="Times New Roman"/>
        <family val="1"/>
      </rPr>
      <t xml:space="preserve"> [pp. 20]
US   </t>
    </r>
    <r>
      <rPr>
        <u/>
        <sz val="10"/>
        <color rgb="FF000000"/>
        <rFont val="Times New Roman"/>
        <family val="1"/>
      </rPr>
      <t>ISO 18369-2:2017</t>
    </r>
    <r>
      <rPr>
        <sz val="10"/>
        <color rgb="FF000000"/>
        <rFont val="Times New Roman"/>
        <family val="1"/>
      </rPr>
      <t xml:space="preserve"> Ophthalmic optics - Contact lenses - Part 2: Tolerances [Table 4]
US   </t>
    </r>
    <r>
      <rPr>
        <u/>
        <sz val="10"/>
        <color rgb="FF000000"/>
        <rFont val="Times New Roman"/>
        <family val="1"/>
      </rPr>
      <t>ANSI Z80.20-2016</t>
    </r>
    <r>
      <rPr>
        <sz val="10"/>
        <color rgb="FF000000"/>
        <rFont val="Times New Roman"/>
        <family val="1"/>
      </rPr>
      <t xml:space="preserve"> Contact Lenses - Standard Terminology, Tolerances, Measurements and Physiochemical Properties [Table 5]
EU   </t>
    </r>
    <r>
      <rPr>
        <u/>
        <sz val="10"/>
        <color rgb="FF000000"/>
        <rFont val="Times New Roman"/>
        <family val="1"/>
      </rPr>
      <t>EN ISO 18369-2:2017</t>
    </r>
    <r>
      <rPr>
        <sz val="10"/>
        <color rgb="FF000000"/>
        <rFont val="Times New Roman"/>
        <family val="1"/>
      </rPr>
      <t xml:space="preserve"> Ophthalmics optics - Contact lenses - Part 2: Tolerances [Table 4]
JP    </t>
    </r>
    <r>
      <rPr>
        <u/>
        <sz val="10"/>
        <color rgb="FF000000"/>
        <rFont val="Times New Roman"/>
        <family val="1"/>
      </rPr>
      <t>PSEHB Notification No. 0411-8, April 11, 2019</t>
    </r>
    <r>
      <rPr>
        <sz val="10"/>
        <color rgb="FF000000"/>
        <rFont val="Times New Roman"/>
        <family val="1"/>
      </rPr>
      <t xml:space="preserve"> Approval Standard for Contact Lenses [Clause 4.12]
CN  </t>
    </r>
    <r>
      <rPr>
        <u/>
        <sz val="10"/>
        <color rgb="FF000000"/>
        <rFont val="Times New Roman"/>
        <family val="1"/>
      </rPr>
      <t>GB 11417.3-2012</t>
    </r>
    <r>
      <rPr>
        <sz val="10"/>
        <color rgb="FF000000"/>
        <rFont val="Times New Roman"/>
        <family val="1"/>
      </rPr>
      <t xml:space="preserve"> Ophthalmic optics - Contact lenses - Part 3: Soft Contact Lenses [Point 4.2.4.3]
</t>
    </r>
  </si>
  <si>
    <r>
      <rPr>
        <b/>
        <sz val="10"/>
        <rFont val="Times New Roman"/>
        <family val="1"/>
      </rPr>
      <t>VIS-DO-001542</t>
    </r>
    <r>
      <rPr>
        <sz val="10"/>
        <rFont val="Times New Roman"/>
        <family val="1"/>
      </rPr>
      <t xml:space="preserve">: Chroma Contact Lens Product Requirements
</t>
    </r>
    <r>
      <rPr>
        <b/>
        <sz val="10"/>
        <rFont val="Times New Roman"/>
        <family val="1"/>
      </rPr>
      <t>VIS-TD-105064</t>
    </r>
    <r>
      <rPr>
        <sz val="10"/>
        <rFont val="Times New Roman"/>
        <family val="1"/>
      </rPr>
      <t>: Spectral transmittance: Impact of ISO 18369-2:2017 UVA wavelength range</t>
    </r>
  </si>
  <si>
    <t xml:space="preserve">VIS-UR-000460 
VIS-UR-000459
 VIS-UR-000461
VIS-UR-000457 
VIS-UR-000458 </t>
  </si>
  <si>
    <t>Easy to Insert and Remove
Comfort throughout Wear Time
Eye Health
Fit Acceptance - Mechanical
Fit Acceptance - Cosmetic</t>
  </si>
  <si>
    <t>VIS-DI-002584</t>
  </si>
  <si>
    <t>CHR-19</t>
  </si>
  <si>
    <r>
      <rPr>
        <b/>
        <sz val="10"/>
        <rFont val="Times New Roman"/>
        <family val="1"/>
      </rPr>
      <t xml:space="preserve">Mechanical Properties, Modulus
Requirement: </t>
    </r>
    <r>
      <rPr>
        <sz val="10"/>
        <rFont val="Times New Roman"/>
        <family val="1"/>
      </rPr>
      <t xml:space="preserve">manufacturer defined at 20 to 60 psi
</t>
    </r>
    <r>
      <rPr>
        <b/>
        <sz val="10"/>
        <rFont val="Times New Roman"/>
        <family val="1"/>
      </rPr>
      <t>Per:</t>
    </r>
    <r>
      <rPr>
        <sz val="10"/>
        <rFont val="Times New Roman"/>
        <family val="1"/>
      </rPr>
      <t xml:space="preserve">
</t>
    </r>
    <r>
      <rPr>
        <u/>
        <sz val="10"/>
        <rFont val="Times New Roman"/>
        <family val="1"/>
      </rPr>
      <t>FDA Premarket Notification [510(k)] Guidance Document for Daily Wear Contact Lenses: 1994</t>
    </r>
    <r>
      <rPr>
        <sz val="10"/>
        <rFont val="Times New Roman"/>
        <family val="1"/>
      </rPr>
      <t xml:space="preserve"> [pp. 21]
</t>
    </r>
  </si>
  <si>
    <t xml:space="preserve">
TM-0453</t>
  </si>
  <si>
    <r>
      <rPr>
        <b/>
        <sz val="10"/>
        <rFont val="Times New Roman"/>
        <family val="1"/>
      </rPr>
      <t>VIS-DO-001541</t>
    </r>
    <r>
      <rPr>
        <sz val="10"/>
        <rFont val="Times New Roman"/>
        <family val="1"/>
      </rPr>
      <t>: Chroma Contact Lens Product Characteristics</t>
    </r>
  </si>
  <si>
    <t>VIS-DI-002585</t>
  </si>
  <si>
    <t>CHR-20</t>
  </si>
  <si>
    <r>
      <rPr>
        <b/>
        <sz val="10"/>
        <rFont val="Times New Roman"/>
        <family val="1"/>
      </rPr>
      <t xml:space="preserve">Mechanical Properties, Elongation
Requirement: </t>
    </r>
    <r>
      <rPr>
        <sz val="10"/>
        <rFont val="Times New Roman"/>
        <family val="1"/>
      </rPr>
      <t xml:space="preserve">manufacturer defined at 50 to 340%
</t>
    </r>
    <r>
      <rPr>
        <b/>
        <sz val="10"/>
        <rFont val="Times New Roman"/>
        <family val="1"/>
      </rPr>
      <t xml:space="preserve">Per:
</t>
    </r>
    <r>
      <rPr>
        <u/>
        <sz val="10"/>
        <rFont val="Times New Roman"/>
        <family val="1"/>
      </rPr>
      <t>FDA Premarket Notification [510(k)] Guidance Document for Daily Wear Contact Lenses: 1994</t>
    </r>
    <r>
      <rPr>
        <sz val="10"/>
        <rFont val="Times New Roman"/>
        <family val="1"/>
      </rPr>
      <t xml:space="preserve"> [pp. 21]
</t>
    </r>
  </si>
  <si>
    <t>VIS-DI-002586</t>
  </si>
  <si>
    <t>CHR-21</t>
  </si>
  <si>
    <r>
      <rPr>
        <b/>
        <sz val="10"/>
        <rFont val="Times New Roman"/>
        <family val="1"/>
      </rPr>
      <t>Mechanical Properties, Tensile Strength
Requirement:</t>
    </r>
    <r>
      <rPr>
        <sz val="10"/>
        <rFont val="Times New Roman"/>
        <family val="1"/>
      </rPr>
      <t xml:space="preserve"> manufacturer defined at 10 to 60 psi
</t>
    </r>
    <r>
      <rPr>
        <b/>
        <sz val="10"/>
        <rFont val="Times New Roman"/>
        <family val="1"/>
      </rPr>
      <t xml:space="preserve">Per:
</t>
    </r>
    <r>
      <rPr>
        <sz val="10"/>
        <rFont val="Times New Roman"/>
        <family val="1"/>
      </rPr>
      <t xml:space="preserve">US   </t>
    </r>
    <r>
      <rPr>
        <u/>
        <sz val="10"/>
        <rFont val="Times New Roman"/>
        <family val="1"/>
      </rPr>
      <t>FDA Premarket Notification [510(k)] Guidance Document for Daily Wear Contact Lenses: 1994</t>
    </r>
    <r>
      <rPr>
        <sz val="10"/>
        <rFont val="Times New Roman"/>
        <family val="1"/>
      </rPr>
      <t xml:space="preserve"> [pp. 21]
JP    </t>
    </r>
    <r>
      <rPr>
        <u/>
        <sz val="10"/>
        <rFont val="Times New Roman"/>
        <family val="1"/>
      </rPr>
      <t>PSEHB Notification No. 0411-8, April 11, 2019</t>
    </r>
    <r>
      <rPr>
        <sz val="10"/>
        <rFont val="Times New Roman"/>
        <family val="1"/>
      </rPr>
      <t xml:space="preserve"> Approval Standard for Contact Lenses [Clause 4.8]
</t>
    </r>
  </si>
  <si>
    <t>VIS-DI-002587</t>
  </si>
  <si>
    <t>CHR-22</t>
  </si>
  <si>
    <r>
      <rPr>
        <b/>
        <sz val="10"/>
        <rFont val="Times New Roman"/>
        <family val="1"/>
      </rPr>
      <t xml:space="preserve">Mechanical Properties, Toughness
Requirement: </t>
    </r>
    <r>
      <rPr>
        <sz val="10"/>
        <rFont val="Times New Roman"/>
        <family val="1"/>
      </rPr>
      <t>manufacturer defined at 5 to 100 in#/in</t>
    </r>
    <r>
      <rPr>
        <b/>
        <vertAlign val="superscript"/>
        <sz val="10"/>
        <rFont val="Times New Roman"/>
        <family val="1"/>
      </rPr>
      <t>3</t>
    </r>
    <r>
      <rPr>
        <vertAlign val="superscript"/>
        <sz val="10"/>
        <rFont val="Times New Roman"/>
        <family val="1"/>
      </rPr>
      <t xml:space="preserve">
</t>
    </r>
    <r>
      <rPr>
        <sz val="10"/>
        <rFont val="Times New Roman"/>
        <family val="1"/>
      </rPr>
      <t xml:space="preserve"> 
</t>
    </r>
    <r>
      <rPr>
        <b/>
        <sz val="10"/>
        <rFont val="Times New Roman"/>
        <family val="1"/>
      </rPr>
      <t>Per:</t>
    </r>
    <r>
      <rPr>
        <sz val="10"/>
        <rFont val="Times New Roman"/>
        <family val="1"/>
      </rPr>
      <t xml:space="preserve">
</t>
    </r>
    <r>
      <rPr>
        <u/>
        <sz val="10"/>
        <rFont val="Times New Roman"/>
        <family val="1"/>
      </rPr>
      <t>FDA Premarket Notification [510(k)] Guidance Document for Daily Wear Contact Lenses: 1994</t>
    </r>
    <r>
      <rPr>
        <sz val="10"/>
        <rFont val="Times New Roman"/>
        <family val="1"/>
      </rPr>
      <t xml:space="preserve"> [pp. 21]
</t>
    </r>
  </si>
  <si>
    <t>VIS-UR-000459
VIS-UR-000461</t>
  </si>
  <si>
    <t>Comfort throughout Wear Time
Eye Health</t>
  </si>
  <si>
    <t>VIS-DI-002588</t>
  </si>
  <si>
    <t>CHR-23</t>
  </si>
  <si>
    <r>
      <rPr>
        <b/>
        <sz val="10"/>
        <rFont val="Times New Roman"/>
        <family val="1"/>
      </rPr>
      <t>Water Content
Target</t>
    </r>
    <r>
      <rPr>
        <sz val="10"/>
        <rFont val="Times New Roman"/>
        <family val="1"/>
      </rPr>
      <t xml:space="preserve"> (%) </t>
    </r>
    <r>
      <rPr>
        <b/>
        <sz val="10"/>
        <rFont val="Times New Roman"/>
        <family val="1"/>
      </rPr>
      <t xml:space="preserve">= </t>
    </r>
    <r>
      <rPr>
        <sz val="10"/>
        <rFont val="Times New Roman"/>
        <family val="1"/>
      </rPr>
      <t xml:space="preserve">manufacturer defined or declared value Range: 57-61%
</t>
    </r>
    <r>
      <rPr>
        <b/>
        <sz val="10"/>
        <rFont val="Times New Roman"/>
        <family val="1"/>
      </rPr>
      <t>Tolerance:</t>
    </r>
    <r>
      <rPr>
        <sz val="10"/>
        <rFont val="Times New Roman"/>
        <family val="1"/>
      </rPr>
      <t xml:space="preserve"> ± 2% absolute
</t>
    </r>
    <r>
      <rPr>
        <i/>
        <sz val="10"/>
        <rFont val="Times New Roman"/>
        <family val="1"/>
      </rPr>
      <t>Specify if method is gravimetric or refractive index water content</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4]
US   </t>
    </r>
    <r>
      <rPr>
        <u/>
        <sz val="10"/>
        <rFont val="Times New Roman"/>
        <family val="1"/>
      </rPr>
      <t>ANSI Z80.20-2016</t>
    </r>
    <r>
      <rPr>
        <sz val="10"/>
        <rFont val="Times New Roman"/>
        <family val="1"/>
      </rPr>
      <t xml:space="preserve"> Contact Lenses - Standard Terminology, Tolerances, Measurements and Physiochemical Properties [Table 5]
EU   </t>
    </r>
    <r>
      <rPr>
        <u/>
        <sz val="10"/>
        <rFont val="Times New Roman"/>
        <family val="1"/>
      </rPr>
      <t>EN ISO 18369-2:2017</t>
    </r>
    <r>
      <rPr>
        <sz val="10"/>
        <rFont val="Times New Roman"/>
        <family val="1"/>
      </rPr>
      <t xml:space="preserve"> Ophthalmics optics - Contact lenses - Part 2: Tolerances [Table 4]
JP    </t>
    </r>
    <r>
      <rPr>
        <u/>
        <sz val="10"/>
        <rFont val="Times New Roman"/>
        <family val="1"/>
      </rPr>
      <t>PSEHB Notification No. 0411-8, April 11, 2019</t>
    </r>
    <r>
      <rPr>
        <sz val="10"/>
        <rFont val="Times New Roman"/>
        <family val="1"/>
      </rPr>
      <t xml:space="preserve"> Approval Standard for Contact Lenses [Clause 4.10]
CN  </t>
    </r>
    <r>
      <rPr>
        <u/>
        <sz val="10"/>
        <rFont val="Times New Roman"/>
        <family val="1"/>
      </rPr>
      <t>GB 11417.3-2012</t>
    </r>
    <r>
      <rPr>
        <sz val="10"/>
        <rFont val="Times New Roman"/>
        <family val="1"/>
      </rPr>
      <t xml:space="preserve"> Ophthalmic optics - Contact lenses - Part 3: Soft Contact Lenses [Point 4.4.2.2]
</t>
    </r>
  </si>
  <si>
    <t>TM-0449</t>
  </si>
  <si>
    <t>VIS-DI-002589</t>
  </si>
  <si>
    <t>CHR-24</t>
  </si>
  <si>
    <r>
      <rPr>
        <b/>
        <sz val="10"/>
        <rFont val="Times New Roman"/>
        <family val="1"/>
      </rPr>
      <t xml:space="preserve">Specific Gravity
Requirement: </t>
    </r>
    <r>
      <rPr>
        <sz val="10"/>
        <rFont val="Times New Roman"/>
        <family val="1"/>
      </rPr>
      <t xml:space="preserve">manufacturer defined (for USA; calculated from water content)
Range: 0.98 - 1.13 
</t>
    </r>
    <r>
      <rPr>
        <b/>
        <sz val="10"/>
        <rFont val="Times New Roman"/>
        <family val="1"/>
      </rPr>
      <t>Per:</t>
    </r>
    <r>
      <rPr>
        <sz val="10"/>
        <rFont val="Times New Roman"/>
        <family val="1"/>
      </rPr>
      <t xml:space="preserve">
</t>
    </r>
    <r>
      <rPr>
        <u/>
        <sz val="10"/>
        <rFont val="Times New Roman"/>
        <family val="1"/>
      </rPr>
      <t>FDA Premarket Notification [510(k)] Guidance Document for Daily Wear Contact Lenses: 1994</t>
    </r>
    <r>
      <rPr>
        <sz val="10"/>
        <rFont val="Times New Roman"/>
        <family val="1"/>
      </rPr>
      <t xml:space="preserve"> [pp. 103]
</t>
    </r>
  </si>
  <si>
    <t>VIS-MTM-0012</t>
  </si>
  <si>
    <t>VIS-DI-002590</t>
  </si>
  <si>
    <t>CHR-25</t>
  </si>
  <si>
    <r>
      <rPr>
        <b/>
        <sz val="10"/>
        <rFont val="Times New Roman"/>
        <family val="1"/>
      </rPr>
      <t>Refractive Index (n)
Target</t>
    </r>
    <r>
      <rPr>
        <sz val="10"/>
        <rFont val="Times New Roman"/>
        <family val="1"/>
      </rPr>
      <t xml:space="preserve"> </t>
    </r>
    <r>
      <rPr>
        <b/>
        <sz val="10"/>
        <rFont val="Times New Roman"/>
        <family val="1"/>
      </rPr>
      <t xml:space="preserve">= </t>
    </r>
    <r>
      <rPr>
        <sz val="10"/>
        <rFont val="Times New Roman"/>
        <family val="1"/>
      </rPr>
      <t xml:space="preserve">manufacturer defined aat 1.400
</t>
    </r>
    <r>
      <rPr>
        <b/>
        <sz val="10"/>
        <rFont val="Times New Roman"/>
        <family val="1"/>
      </rPr>
      <t>Tolerance per below standards (used for non-silicone hydrogels at JJVC):</t>
    </r>
    <r>
      <rPr>
        <sz val="10"/>
        <rFont val="Times New Roman"/>
        <family val="1"/>
      </rPr>
      <t xml:space="preserve">  ± 0.005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4]
US   </t>
    </r>
    <r>
      <rPr>
        <u/>
        <sz val="10"/>
        <rFont val="Times New Roman"/>
        <family val="1"/>
      </rPr>
      <t>ANSI Z80.20-2016</t>
    </r>
    <r>
      <rPr>
        <sz val="10"/>
        <rFont val="Times New Roman"/>
        <family val="1"/>
      </rPr>
      <t xml:space="preserve"> Contact Lenses - Standard Terminology, Tolerances, Measurements and Physiochemical Properties [Table 5]
EU   </t>
    </r>
    <r>
      <rPr>
        <u/>
        <sz val="10"/>
        <rFont val="Times New Roman"/>
        <family val="1"/>
      </rPr>
      <t>EN ISO 18369-2:2017</t>
    </r>
    <r>
      <rPr>
        <sz val="10"/>
        <rFont val="Times New Roman"/>
        <family val="1"/>
      </rPr>
      <t xml:space="preserve"> Ophthalmics optics - Contact lenses - Part 2: Tolerances [Table 4]
JP    </t>
    </r>
    <r>
      <rPr>
        <u/>
        <sz val="10"/>
        <rFont val="Times New Roman"/>
        <family val="1"/>
      </rPr>
      <t>PSEHB Notification No. 0411-8, April 11, 2019</t>
    </r>
    <r>
      <rPr>
        <sz val="10"/>
        <rFont val="Times New Roman"/>
        <family val="1"/>
      </rPr>
      <t xml:space="preserve"> Approval Standard for Contact Lenses [Clause 4.9]
</t>
    </r>
    <r>
      <rPr>
        <b/>
        <sz val="10"/>
        <rFont val="Times New Roman"/>
        <family val="1"/>
      </rPr>
      <t xml:space="preserve">
Per: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4.4.2.1]</t>
    </r>
    <r>
      <rPr>
        <b/>
        <sz val="10"/>
        <rFont val="Times New Roman"/>
        <family val="1"/>
      </rPr>
      <t xml:space="preserve">
</t>
    </r>
    <r>
      <rPr>
        <b/>
        <sz val="5"/>
        <rFont val="Times New Roman"/>
        <family val="1"/>
      </rPr>
      <t xml:space="preserve">
</t>
    </r>
    <r>
      <rPr>
        <sz val="10"/>
        <rFont val="Times New Roman"/>
        <family val="1"/>
      </rPr>
      <t xml:space="preserve">The tolerance of the nominal value should be ± 0.005.
If this tolerance of the nominal value is not applicable to the new material that is claimed to have never been used before, the manufacturer should provide evidence for the safety and the effectiveness of the finished product which includes risk analysis and assessment.
</t>
    </r>
  </si>
  <si>
    <t>TM-0589</t>
  </si>
  <si>
    <t>VIS-DI-002591</t>
  </si>
  <si>
    <t>CHR-26</t>
  </si>
  <si>
    <r>
      <rPr>
        <b/>
        <sz val="10"/>
        <rFont val="Times New Roman"/>
        <family val="1"/>
      </rPr>
      <t>Oxygen Transmissibility (Dk/t), Edge Corrected
Target</t>
    </r>
    <r>
      <rPr>
        <sz val="10"/>
        <rFont val="Times New Roman"/>
        <family val="1"/>
      </rPr>
      <t xml:space="preserve"> (Dk/t) = manufacturer defined</t>
    </r>
    <r>
      <rPr>
        <b/>
        <sz val="10"/>
        <rFont val="Times New Roman"/>
        <family val="1"/>
      </rPr>
      <t xml:space="preserve">
Tolerance:</t>
    </r>
    <r>
      <rPr>
        <sz val="10"/>
        <rFont val="Times New Roman"/>
        <family val="1"/>
      </rPr>
      <t xml:space="preserve">  ± 20%</t>
    </r>
    <r>
      <rPr>
        <b/>
        <sz val="10"/>
        <rFont val="Times New Roman"/>
        <family val="1"/>
      </rPr>
      <t xml:space="preserve">
</t>
    </r>
    <r>
      <rPr>
        <i/>
        <sz val="10"/>
        <rFont val="Times New Roman"/>
        <family val="1"/>
      </rPr>
      <t xml:space="preserve">The measured value of oxygen uptake should not be less than 15% of the standard value.
</t>
    </r>
    <r>
      <rPr>
        <b/>
        <sz val="10"/>
        <rFont val="Times New Roman"/>
        <family val="1"/>
      </rPr>
      <t xml:space="preserve">
Per: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4.4.2.3]
</t>
    </r>
  </si>
  <si>
    <r>
      <rPr>
        <b/>
        <sz val="10"/>
        <rFont val="Times New Roman"/>
        <family val="1"/>
      </rPr>
      <t>VIS-DO-001541</t>
    </r>
    <r>
      <rPr>
        <sz val="10"/>
        <rFont val="Times New Roman"/>
        <family val="1"/>
      </rPr>
      <t xml:space="preserve">: Chroma Contact Lens Product Characteristics
</t>
    </r>
    <r>
      <rPr>
        <b/>
        <sz val="10"/>
        <rFont val="Times New Roman"/>
        <family val="1"/>
      </rPr>
      <t>VIS-TD-104627</t>
    </r>
    <r>
      <rPr>
        <sz val="10"/>
        <rFont val="Times New Roman"/>
        <family val="1"/>
      </rPr>
      <t>: Oxygen Transmissibility (Dk/t) for 1-Day® Define® with Lacreon® Brand Contact Lenses</t>
    </r>
  </si>
  <si>
    <t>VIS-DI-002592</t>
  </si>
  <si>
    <t>CHR-27</t>
  </si>
  <si>
    <r>
      <rPr>
        <b/>
        <sz val="10"/>
        <rFont val="Times New Roman"/>
        <family val="1"/>
      </rPr>
      <t>Oxygen Permeability (Dk), Edge Corrected
Target</t>
    </r>
    <r>
      <rPr>
        <sz val="10"/>
        <rFont val="Times New Roman"/>
        <family val="1"/>
      </rPr>
      <t xml:space="preserve"> (Dk) = manufacturer defined at
Non-Edge Corrected Range: 22.4 - 33.6, units: 10-11 (cm2/sec) (mL O2/mL x mmHg)
Edge Corrected Range: 17.1 - 25.7, units: 10-11 (cm2/sec) (mL O2/mL x mmHg) 
</t>
    </r>
    <r>
      <rPr>
        <b/>
        <sz val="10"/>
        <rFont val="Times New Roman"/>
        <family val="1"/>
      </rPr>
      <t>Tolerance:</t>
    </r>
    <r>
      <rPr>
        <sz val="10"/>
        <rFont val="Times New Roman"/>
        <family val="1"/>
      </rPr>
      <t xml:space="preserve">  ± 20%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4]
US   </t>
    </r>
    <r>
      <rPr>
        <u/>
        <sz val="10"/>
        <rFont val="Times New Roman"/>
        <family val="1"/>
      </rPr>
      <t>ANSI Z80.20-2016</t>
    </r>
    <r>
      <rPr>
        <sz val="10"/>
        <rFont val="Times New Roman"/>
        <family val="1"/>
      </rPr>
      <t xml:space="preserve"> Contact Lenses - Standard Terminology, Tolerances, Measurements and Physiochemical Properties [Table 5]
EU   </t>
    </r>
    <r>
      <rPr>
        <u/>
        <sz val="10"/>
        <rFont val="Times New Roman"/>
        <family val="1"/>
      </rPr>
      <t>EN ISO 18369-2:2017</t>
    </r>
    <r>
      <rPr>
        <sz val="10"/>
        <rFont val="Times New Roman"/>
        <family val="1"/>
      </rPr>
      <t xml:space="preserve"> Ophthalmics optics - Contact lenses - Part 2: Tolerances [Table 4]
JP    </t>
    </r>
    <r>
      <rPr>
        <u/>
        <sz val="10"/>
        <rFont val="Times New Roman"/>
        <family val="1"/>
      </rPr>
      <t>PSEHB Notification No. 0411-8, April 11, 2019</t>
    </r>
    <r>
      <rPr>
        <sz val="10"/>
        <rFont val="Times New Roman"/>
        <family val="1"/>
      </rPr>
      <t xml:space="preserve"> Approval Standard for Contact Lenses [Clause 4.7]
</t>
    </r>
  </si>
  <si>
    <t>TM-0448</t>
  </si>
  <si>
    <t>VIS-DI-002593</t>
  </si>
  <si>
    <t>CHR-28</t>
  </si>
  <si>
    <r>
      <rPr>
        <b/>
        <sz val="10"/>
        <rFont val="Times New Roman"/>
        <family val="1"/>
      </rPr>
      <t>Oxygen Permeability (Dk), Non-edge Corrected
Target</t>
    </r>
    <r>
      <rPr>
        <sz val="10"/>
        <rFont val="Times New Roman"/>
        <family val="1"/>
      </rPr>
      <t xml:space="preserve"> (Dk) = manufacturer defined at:
Non-Edge Corrected Range: 22.4 - 33.6, units: 10-11 (cm2/sec) (mL O2/mL x mmHg)
Edge Corrected Range: 17.1 - 25.7, units: 10-11 (cm2/sec) (mL O2/mL x mmHg) 
</t>
    </r>
    <r>
      <rPr>
        <b/>
        <sz val="10"/>
        <rFont val="Times New Roman"/>
        <family val="1"/>
      </rPr>
      <t>Tolerance:</t>
    </r>
    <r>
      <rPr>
        <sz val="10"/>
        <rFont val="Times New Roman"/>
        <family val="1"/>
      </rPr>
      <t xml:space="preserve">  ± 20%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US   </t>
    </r>
    <r>
      <rPr>
        <u/>
        <sz val="10"/>
        <rFont val="Times New Roman"/>
        <family val="1"/>
      </rPr>
      <t>ISO 18369-2:2017</t>
    </r>
    <r>
      <rPr>
        <sz val="10"/>
        <rFont val="Times New Roman"/>
        <family val="1"/>
      </rPr>
      <t xml:space="preserve"> Ophthalmic optics - Contact lenses - Part 2: Tolerances [Table 4]
US   </t>
    </r>
    <r>
      <rPr>
        <u/>
        <sz val="10"/>
        <rFont val="Times New Roman"/>
        <family val="1"/>
      </rPr>
      <t>ANSI Z80.20-2016</t>
    </r>
    <r>
      <rPr>
        <sz val="10"/>
        <rFont val="Times New Roman"/>
        <family val="1"/>
      </rPr>
      <t xml:space="preserve"> Contact Lenses - Standard Terminology, Tolerances, Measurements and Physiochemical Properties [Table 5]
EU   </t>
    </r>
    <r>
      <rPr>
        <u/>
        <sz val="10"/>
        <rFont val="Times New Roman"/>
        <family val="1"/>
      </rPr>
      <t>EN ISO 18369-2:2017</t>
    </r>
    <r>
      <rPr>
        <sz val="10"/>
        <rFont val="Times New Roman"/>
        <family val="1"/>
      </rPr>
      <t xml:space="preserve"> Ophthalmics optics - Contact lenses - Part 2: Tolerances [Table 4]
JP    </t>
    </r>
    <r>
      <rPr>
        <u/>
        <sz val="10"/>
        <rFont val="Times New Roman"/>
        <family val="1"/>
      </rPr>
      <t>PSEHB Notification No. 0411-8, April 11, 2019</t>
    </r>
    <r>
      <rPr>
        <sz val="10"/>
        <rFont val="Times New Roman"/>
        <family val="1"/>
      </rPr>
      <t xml:space="preserve"> Approval Standard for Contact Lenses [Clause 4.7]
</t>
    </r>
  </si>
  <si>
    <r>
      <rPr>
        <b/>
        <sz val="10"/>
        <rFont val="Times New Roman"/>
        <family val="1"/>
      </rPr>
      <t>VIS-DO-001541</t>
    </r>
    <r>
      <rPr>
        <sz val="10"/>
        <rFont val="Times New Roman"/>
        <family val="1"/>
      </rPr>
      <t xml:space="preserve">: Chroma Contact Lens Product Characteristics
</t>
    </r>
    <r>
      <rPr>
        <b/>
        <sz val="10"/>
        <rFont val="Times New Roman"/>
        <family val="1"/>
      </rPr>
      <t>VIS-TD-103349:</t>
    </r>
    <r>
      <rPr>
        <sz val="10"/>
        <rFont val="Times New Roman"/>
        <family val="1"/>
      </rPr>
      <t xml:space="preserve"> Effects of Multi-Layer Cosmetic Patterns on Oxygen Permeability</t>
    </r>
  </si>
  <si>
    <t>VIS-DI-002595</t>
  </si>
  <si>
    <t>CHR-29</t>
  </si>
  <si>
    <r>
      <t>Oxygen Permeability (Dk), Edge Corrected and/or Non-edge Corrected
Target</t>
    </r>
    <r>
      <rPr>
        <sz val="10"/>
        <rFont val="Times New Roman"/>
        <family val="1"/>
      </rPr>
      <t xml:space="preserve"> (Dk) = manufacturer defined at:
Non-Edge Corrected Range: 22.4 - 33.6, units: 10-11 (cm2/sec) (mL O2/mL x mmHg)
Edge Corrected Range: 17.1 - 25.7, units: 10-11 (cm2/sec) (mL O2/mL x mmHg) 
</t>
    </r>
    <r>
      <rPr>
        <b/>
        <sz val="10"/>
        <rFont val="Times New Roman"/>
        <family val="1"/>
      </rPr>
      <t>Tolerance:</t>
    </r>
    <r>
      <rPr>
        <sz val="10"/>
        <rFont val="Times New Roman"/>
        <family val="1"/>
      </rPr>
      <t xml:space="preserve">  ± 20% of the set permeability coefficient</t>
    </r>
    <r>
      <rPr>
        <b/>
        <sz val="10"/>
        <rFont val="Times New Roman"/>
        <family val="1"/>
      </rPr>
      <t xml:space="preserve">
</t>
    </r>
    <r>
      <rPr>
        <i/>
        <sz val="10"/>
        <rFont val="Times New Roman"/>
        <family val="1"/>
      </rPr>
      <t>The influence of coloring on the oxygen permeability coefficient must be evaluated.</t>
    </r>
    <r>
      <rPr>
        <sz val="10"/>
        <rFont val="Times New Roman"/>
        <family val="1"/>
      </rPr>
      <t xml:space="preserve">
</t>
    </r>
    <r>
      <rPr>
        <b/>
        <sz val="10"/>
        <rFont val="Times New Roman"/>
        <family val="1"/>
      </rPr>
      <t xml:space="preserve">
Per:
</t>
    </r>
    <r>
      <rPr>
        <sz val="10"/>
        <rFont val="Times New Roman"/>
        <family val="1"/>
      </rPr>
      <t xml:space="preserve">JP   </t>
    </r>
    <r>
      <rPr>
        <u/>
        <sz val="10"/>
        <rFont val="Times New Roman"/>
        <family val="1"/>
      </rPr>
      <t>PSEHB Notification No. 0411-8, April 11, 2019</t>
    </r>
    <r>
      <rPr>
        <sz val="10"/>
        <rFont val="Times New Roman"/>
        <family val="1"/>
      </rPr>
      <t xml:space="preserve"> Approval Standard for Contact Lenses [Clause 4.7]
</t>
    </r>
  </si>
  <si>
    <t>VIS-DI-002596</t>
  </si>
  <si>
    <t>CHR-30</t>
  </si>
  <si>
    <r>
      <t>Oxygen Permeability (Dk) / Transmissibility (Dk/t), Edge Corrected and/or Non-edge Corrected
Target</t>
    </r>
    <r>
      <rPr>
        <sz val="10"/>
        <rFont val="Times New Roman"/>
        <family val="1"/>
      </rPr>
      <t xml:space="preserve"> (Dk) = manufacturer defined (For Permeability) at
Non-Edge Corrected Range: 22.4 - 33.6, units: 10-11 (cm2/sec) (mL O2/mL x mmHg)
Edge Corrected Range: 17.1 - 25.7, units: 10-11 (cm2/sec) (mL O2/mL x mmHg)
</t>
    </r>
    <r>
      <rPr>
        <b/>
        <sz val="10"/>
        <rFont val="Times New Roman"/>
        <family val="1"/>
      </rPr>
      <t>Target</t>
    </r>
    <r>
      <rPr>
        <sz val="10"/>
        <rFont val="Times New Roman"/>
        <family val="1"/>
      </rPr>
      <t xml:space="preserve"> (Dk/t) = manufacturer defined (For Transmissibility) Spectrum doesn't have, remove?</t>
    </r>
    <r>
      <rPr>
        <b/>
        <sz val="10"/>
        <rFont val="Times New Roman"/>
        <family val="1"/>
      </rPr>
      <t xml:space="preserve">
Tolerance:</t>
    </r>
    <r>
      <rPr>
        <sz val="10"/>
        <rFont val="Times New Roman"/>
        <family val="1"/>
      </rPr>
      <t xml:space="preserve"> ± 20% of the set permeability coefficient
Value is calculated using data Oxygen Permeability Dk Edge Corrected.
</t>
    </r>
    <r>
      <rPr>
        <sz val="5"/>
        <rFont val="Times New Roman"/>
        <family val="1"/>
      </rPr>
      <t xml:space="preserve">
</t>
    </r>
    <r>
      <rPr>
        <i/>
        <sz val="10"/>
        <rFont val="Times New Roman"/>
        <family val="1"/>
      </rPr>
      <t xml:space="preserve">The influence of coloring on the oxygen permeability/transmissibility of the contact lens must be evaluated. 
In case of colored contact lenses, the difference in oxygen permeability / transmissibility between the non-colored contact lenses and the colored contact lenses with the colored layer at the center area should be below 20%, and oxygen permeability / transmissibility should be specified on the product package. </t>
    </r>
    <r>
      <rPr>
        <b/>
        <i/>
        <sz val="10"/>
        <rFont val="Times New Roman"/>
        <family val="1"/>
      </rPr>
      <t xml:space="preserve">
</t>
    </r>
    <r>
      <rPr>
        <b/>
        <sz val="10"/>
        <rFont val="Times New Roman"/>
        <family val="1"/>
      </rPr>
      <t xml:space="preserve">
Per:
</t>
    </r>
    <r>
      <rPr>
        <sz val="10"/>
        <rFont val="Times New Roman"/>
        <family val="1"/>
      </rPr>
      <t xml:space="preserve">KR  </t>
    </r>
    <r>
      <rPr>
        <u/>
        <sz val="10"/>
        <rFont val="Times New Roman"/>
        <family val="1"/>
      </rPr>
      <t>Korean Hard Contact Lenses / Soft Contact Lenses Standard: 2016</t>
    </r>
    <r>
      <rPr>
        <sz val="10"/>
        <rFont val="Times New Roman"/>
        <family val="1"/>
      </rPr>
      <t xml:space="preserve"> [Clause 9B]
</t>
    </r>
  </si>
  <si>
    <t>VIS-DI-002597</t>
  </si>
  <si>
    <t>CHR-31</t>
  </si>
  <si>
    <r>
      <rPr>
        <b/>
        <sz val="10"/>
        <rFont val="Times New Roman"/>
        <family val="1"/>
      </rPr>
      <t>Ionic
Requirement:</t>
    </r>
    <r>
      <rPr>
        <sz val="10"/>
        <rFont val="Times New Roman"/>
        <family val="1"/>
      </rPr>
      <t xml:space="preserve"> must be defined as ionic.
</t>
    </r>
    <r>
      <rPr>
        <sz val="5"/>
        <rFont val="Times New Roman"/>
        <family val="1"/>
      </rPr>
      <t xml:space="preserve">
</t>
    </r>
    <r>
      <rPr>
        <i/>
        <sz val="10"/>
        <rFont val="Times New Roman"/>
        <family val="1"/>
      </rPr>
      <t xml:space="preserve">Ionic: materials which contain greater than 0.5 wt % of monomers which are ionic at pH 6 to pH 8
</t>
    </r>
    <r>
      <rPr>
        <sz val="10"/>
        <rFont val="Times New Roman"/>
        <family val="1"/>
      </rPr>
      <t xml:space="preserve">
</t>
    </r>
    <r>
      <rPr>
        <b/>
        <sz val="10"/>
        <rFont val="Times New Roman"/>
        <family val="1"/>
      </rPr>
      <t>Per:</t>
    </r>
    <r>
      <rPr>
        <sz val="10"/>
        <rFont val="Times New Roman"/>
        <family val="1"/>
      </rPr>
      <t xml:space="preserve">
US   </t>
    </r>
    <r>
      <rPr>
        <u/>
        <sz val="10"/>
        <rFont val="Times New Roman"/>
        <family val="1"/>
      </rPr>
      <t>ISO 18369-1:2017</t>
    </r>
    <r>
      <rPr>
        <sz val="10"/>
        <rFont val="Times New Roman"/>
        <family val="1"/>
      </rPr>
      <t xml:space="preserve"> Ophthalmic optics - Contact lenses - Part 1: Vocabulary, classification system and recommendations for labelling specifications [Table 3]
EU   </t>
    </r>
    <r>
      <rPr>
        <u/>
        <sz val="10"/>
        <rFont val="Times New Roman"/>
        <family val="1"/>
      </rPr>
      <t>EN ISO 18369-1:2017</t>
    </r>
    <r>
      <rPr>
        <sz val="10"/>
        <rFont val="Times New Roman"/>
        <family val="1"/>
      </rPr>
      <t xml:space="preserve"> Ophthalmic optics - Contact lenses - Part 1: Vocabulary, classification system and recommendations for labelling specifications [Table 3]
</t>
    </r>
  </si>
  <si>
    <r>
      <rPr>
        <b/>
        <sz val="10"/>
        <rFont val="Times New Roman"/>
        <family val="1"/>
      </rPr>
      <t>VIS-TD-103768</t>
    </r>
    <r>
      <rPr>
        <sz val="10"/>
        <rFont val="Times New Roman"/>
        <family val="1"/>
      </rPr>
      <t>: Ionic Design Verification Memo - etafilcon A</t>
    </r>
  </si>
  <si>
    <t>VIS-DI-002598</t>
  </si>
  <si>
    <t>CHR-32</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</si>
  <si>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HEMA
Target: &lt; 7.0 ug/g lens (reported on a hydrated weight basis)
</t>
    </r>
    <r>
      <rPr>
        <sz val="10"/>
        <color rgb="FFFF000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t>
    </r>
    <r>
      <rPr>
        <b/>
        <sz val="10"/>
        <rFont val="Times New Roman"/>
        <family val="1"/>
      </rPr>
      <t>*</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</si>
  <si>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 xml:space="preserve">TM-0515
TM-0758
</t>
  </si>
  <si>
    <t>VIS-DI-002599</t>
  </si>
  <si>
    <t>CHR-33</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</si>
  <si>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TMPTMA
Target:  &lt; 7.0 µg/g lens  (reported on a hydrated weight basis)
</t>
    </r>
    <r>
      <rPr>
        <sz val="10"/>
        <color rgb="FFFF000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</si>
  <si>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 xml:space="preserve">TM-0515
TM-0752
</t>
  </si>
  <si>
    <t>VIS-DI-002600</t>
  </si>
  <si>
    <t>CHR-34</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</si>
  <si>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EGDMA
Target:  &lt; 5.6 µg/g lens  (reported on a hydrated weight basis)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</si>
  <si>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VIS-DI-002601</t>
  </si>
  <si>
    <t>CHR-35</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</si>
  <si>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MAA
Target: &lt; 11.1 µg/g lens (reported on a hydrated weight basis)
</t>
    </r>
    <r>
      <rPr>
        <i/>
        <sz val="1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</si>
  <si>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VIS-DI-002602</t>
  </si>
  <si>
    <t>CHR-36</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</si>
  <si>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DAROCUR 1173
Target: &lt; 7.0 µg/g lens  (reported on a hydrated weight basis)
</t>
    </r>
    <r>
      <rPr>
        <i/>
        <sz val="1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</si>
  <si>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VIS-DI-002603</t>
  </si>
  <si>
    <t>CHR-37</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</si>
  <si>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CGI403
Target:  &lt; 13.9 µg/g lens  (reported on a hydrated weight basis)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</si>
  <si>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VIS-DI-002604</t>
  </si>
  <si>
    <t>CHR-38</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</si>
  <si>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NORBLOC 7966
Target:  &lt; 13.9 µg/g lens  (reported on a hydrated weight basis)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</si>
  <si>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TM-0515
TM-0752</t>
  </si>
  <si>
    <t>VIS-DI-002605</t>
  </si>
  <si>
    <t>CHR-39</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</si>
  <si>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Monomer - BLUE HEMA
Target: &lt; 8.9 µg/g lens  (reported on a hydrated weight basis)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</si>
  <si>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 xml:space="preserve">TM-0638
</t>
  </si>
  <si>
    <t>VIS-DI-002606</t>
  </si>
  <si>
    <t>CHR-40</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</si>
  <si>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Pigment - Total Leachable Pigments
Target:  &lt; 0.5 µg /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</si>
  <si>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 xml:space="preserve">TM-0537
</t>
  </si>
  <si>
    <t>VIS-DI-002607</t>
  </si>
  <si>
    <t>CHR-41</t>
  </si>
  <si>
    <r>
      <rPr>
        <b/>
        <sz val="10"/>
        <rFont val="Times New Roman"/>
        <family val="1"/>
      </rPr>
      <t xml:space="preserve">Extractables (Leachables)
Requirement:
</t>
    </r>
    <r>
      <rPr>
        <b/>
        <sz val="5"/>
        <rFont val="Times New Roman"/>
        <family val="1"/>
      </rPr>
      <t xml:space="preserve">
</t>
    </r>
    <r>
      <rPr>
        <sz val="10"/>
        <rFont val="Times New Roman"/>
        <family val="1"/>
      </rPr>
      <t xml:space="preserve">Diluent (additive) component - BAGE
Target: ≤ 200 µg/g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</si>
  <si>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ATM-10</t>
  </si>
  <si>
    <t>VIS-DI-002608</t>
  </si>
  <si>
    <t>CHR-42</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</si>
  <si>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Processing aid component- TWEEN 80 
Target: ≤ 2000 µg/g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</si>
  <si>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TM-0705</t>
  </si>
  <si>
    <t>VIS-DI-002609</t>
  </si>
  <si>
    <t>CHR-43</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</si>
  <si>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Processing aid component - Span 80 (leachable)
Target: ≤ 571 µg/g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</si>
  <si>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TM-0712</t>
  </si>
  <si>
    <t>VIS-DI-002610</t>
  </si>
  <si>
    <t>CHR-44</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</si>
  <si>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Processing aid component- 1-propanol (leachable)
Target: ≤ 200 µg/g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</si>
  <si>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TM-0709</t>
  </si>
  <si>
    <t>VIS-DI-002611</t>
  </si>
  <si>
    <t>CHR-45</t>
  </si>
  <si>
    <r>
      <rPr>
        <b/>
        <sz val="10"/>
        <rFont val="Times New Roman"/>
        <family val="1"/>
      </rPr>
      <t xml:space="preserve">Extractables (Leachables)
Requirement:
 </t>
    </r>
    <r>
      <rPr>
        <sz val="10"/>
        <rFont val="Times New Roman"/>
        <family val="1"/>
      </rPr>
      <t xml:space="preserve">Leachable Processing aid component - 1-ethoxy-2-propanol (leachable)
Target: ≤ 200 µg/g lens  </t>
    </r>
    <r>
      <rPr>
        <b/>
        <sz val="1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t>
    </r>
  </si>
  <si>
    <t>VIS-DI-002612</t>
  </si>
  <si>
    <t>CHR-46</t>
  </si>
  <si>
    <r>
      <rPr>
        <b/>
        <sz val="10"/>
        <rFont val="Times New Roman"/>
        <family val="1"/>
      </rPr>
      <t xml:space="preserve">Extractables (Leachables)
Requirement:
</t>
    </r>
    <r>
      <rPr>
        <b/>
        <sz val="5"/>
        <rFont val="Times New Roman"/>
        <family val="1"/>
      </rPr>
      <t xml:space="preserve">
</t>
    </r>
    <r>
      <rPr>
        <sz val="10"/>
        <rFont val="Times New Roman"/>
        <family val="1"/>
      </rPr>
      <t xml:space="preserve">Leachable Processing aid component - Isopropyl lactate (leachable)
Target:  ≤ 200 µg/g lens 
</t>
    </r>
    <r>
      <rPr>
        <b/>
        <sz val="10"/>
        <rFont val="Times New Roman"/>
        <family val="1"/>
      </rPr>
      <t xml:space="preserve">Per:
</t>
    </r>
    <r>
      <rPr>
        <sz val="10"/>
        <rFont val="Times New Roman"/>
        <family val="1"/>
      </rPr>
      <t xml:space="preserve">US   </t>
    </r>
    <r>
      <rPr>
        <u/>
        <sz val="10"/>
        <rFont val="Times New Roman"/>
        <family val="1"/>
      </rPr>
      <t>ISO 10993-17:2002</t>
    </r>
    <r>
      <rPr>
        <sz val="10"/>
        <rFont val="Times New Roman"/>
        <family val="1"/>
      </rPr>
      <t xml:space="preserve"> Biological evaluation of medical devices - Part 17: Establishment of allowable limits for leachable substances
US   </t>
    </r>
    <r>
      <rPr>
        <u/>
        <sz val="10"/>
        <rFont val="Times New Roman"/>
        <family val="1"/>
      </rPr>
      <t>ISO 10993-18:2020</t>
    </r>
    <r>
      <rPr>
        <sz val="10"/>
        <rFont val="Times New Roman"/>
        <family val="1"/>
      </rPr>
      <t xml:space="preserve"> Biological evaluation of medical devices - Part 18: Chemical characterization of materials
US   </t>
    </r>
    <r>
      <rPr>
        <u/>
        <sz val="10"/>
        <rFont val="Times New Roman"/>
        <family val="1"/>
      </rPr>
      <t>FDA Premarket Notification [510(k)] Guidance Document for Daily Wear Contact Lenses: 1994</t>
    </r>
    <r>
      <rPr>
        <sz val="10"/>
        <rFont val="Times New Roman"/>
        <family val="1"/>
      </rPr>
      <t xml:space="preserve"> [pp. 20]
JP    </t>
    </r>
    <r>
      <rPr>
        <u/>
        <sz val="10"/>
        <rFont val="Times New Roman"/>
        <family val="1"/>
      </rPr>
      <t>PSEHB Notification No. 0411-8, April 11, 2019</t>
    </r>
    <r>
      <rPr>
        <sz val="10"/>
        <rFont val="Times New Roman"/>
        <family val="1"/>
      </rPr>
      <t xml:space="preserve"> Approval Standard for Contact Lenses [Clause 5.0]
EU   </t>
    </r>
    <r>
      <rPr>
        <u/>
        <sz val="10"/>
        <rFont val="Times New Roman"/>
        <family val="1"/>
      </rPr>
      <t>EN ISO 10993-17:2009</t>
    </r>
    <r>
      <rPr>
        <sz val="10"/>
        <rFont val="Times New Roman"/>
        <family val="1"/>
      </rPr>
      <t xml:space="preserve"> Biological evaluation of medical devices - Part 17: Establishment of allowable limits for leachable substances
EU   </t>
    </r>
    <r>
      <rPr>
        <u/>
        <sz val="10"/>
        <rFont val="Times New Roman"/>
        <family val="1"/>
      </rPr>
      <t>EN ISO 10993-18:2020</t>
    </r>
    <r>
      <rPr>
        <sz val="10"/>
        <rFont val="Times New Roman"/>
        <family val="1"/>
      </rPr>
      <t xml:space="preserve"> Biological evaluation of medical devices - Part 18: Chemical characterization of materials
</t>
    </r>
  </si>
  <si>
    <t>VIS-DI-002613</t>
  </si>
  <si>
    <t>CHR-47</t>
  </si>
  <si>
    <r>
      <rPr>
        <b/>
        <sz val="10"/>
        <rFont val="Times New Roman"/>
        <family val="1"/>
      </rPr>
      <t xml:space="preserve">Total Extractables
Requirement: </t>
    </r>
    <r>
      <rPr>
        <sz val="10"/>
        <rFont val="Times New Roman"/>
        <family val="1"/>
      </rPr>
      <t xml:space="preserve">
by Solvent: Specification (Weight % or Wt %)
Water: ≤ 2.8
Hexane: ≤ 2.2</t>
    </r>
    <r>
      <rPr>
        <b/>
        <u/>
        <sz val="10"/>
        <rFont val="Times New Roman"/>
        <family val="1"/>
      </rPr>
      <t xml:space="preserve">
</t>
    </r>
    <r>
      <rPr>
        <sz val="5"/>
        <rFont val="Times New Roman"/>
        <family val="1"/>
      </rPr>
      <t xml:space="preserve">
</t>
    </r>
    <r>
      <rPr>
        <b/>
        <sz val="10"/>
        <rFont val="Times New Roman"/>
        <family val="1"/>
      </rPr>
      <t>Per:</t>
    </r>
    <r>
      <rPr>
        <b/>
        <u/>
        <sz val="10"/>
        <rFont val="Times New Roman"/>
        <family val="1"/>
      </rPr>
      <t xml:space="preserve">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4.4.3.1]</t>
    </r>
    <r>
      <rPr>
        <b/>
        <u/>
        <sz val="10"/>
        <rFont val="Times New Roman"/>
        <family val="1"/>
      </rPr>
      <t xml:space="preserve">
</t>
    </r>
    <r>
      <rPr>
        <sz val="5"/>
        <rFont val="Times New Roman"/>
        <family val="1"/>
      </rPr>
      <t xml:space="preserve">
</t>
    </r>
    <r>
      <rPr>
        <sz val="10"/>
        <rFont val="Times New Roman"/>
        <family val="1"/>
      </rPr>
      <t>"Extraction experiment should be carried out according to GB/T11417.7-2012. The result of the extraction experiment of the contact lens material should not be greater than the extraction value given by manufacturer.
Note: The extraction value given by the manufacturer is determined by the material that has been evaluated by biological evaluation."</t>
    </r>
    <r>
      <rPr>
        <b/>
        <sz val="10"/>
        <rFont val="Times New Roman"/>
        <family val="1"/>
      </rPr>
      <t xml:space="preserve">
</t>
    </r>
    <r>
      <rPr>
        <sz val="10"/>
        <rFont val="Times New Roman"/>
        <family val="1"/>
      </rPr>
      <t xml:space="preserve">
</t>
    </r>
    <r>
      <rPr>
        <b/>
        <sz val="10"/>
        <rFont val="Times New Roman"/>
        <family val="1"/>
      </rPr>
      <t>Per:</t>
    </r>
    <r>
      <rPr>
        <sz val="10"/>
        <rFont val="Times New Roman"/>
        <family val="1"/>
      </rPr>
      <t xml:space="preserve">
JP   </t>
    </r>
    <r>
      <rPr>
        <u/>
        <sz val="10"/>
        <rFont val="Times New Roman"/>
        <family val="1"/>
      </rPr>
      <t>PSEHB Notification No. 0411-8, April 11, 2019</t>
    </r>
    <r>
      <rPr>
        <sz val="10"/>
        <rFont val="Times New Roman"/>
        <family val="1"/>
      </rPr>
      <t xml:space="preserve"> Approval Standard for Contact Lenses [Clause 5.0]
</t>
    </r>
  </si>
  <si>
    <t>TM-0740</t>
  </si>
  <si>
    <r>
      <rPr>
        <b/>
        <sz val="10"/>
        <rFont val="Times New Roman"/>
        <family val="1"/>
      </rPr>
      <t>VIS-TD-104023</t>
    </r>
    <r>
      <rPr>
        <sz val="10"/>
        <rFont val="Times New Roman"/>
        <family val="1"/>
      </rPr>
      <t xml:space="preserve">: Beauty Total Extractables Specification Report
</t>
    </r>
    <r>
      <rPr>
        <b/>
        <sz val="10"/>
        <rFont val="Times New Roman"/>
        <family val="1"/>
      </rPr>
      <t>VIS-DO-001541</t>
    </r>
    <r>
      <rPr>
        <sz val="10"/>
        <rFont val="Times New Roman"/>
        <family val="1"/>
      </rPr>
      <t>: Chroma Contact Lens Product Characteristics</t>
    </r>
  </si>
  <si>
    <t>VIS-UR-000455
VIS-UR-000460
VIS-UR-000459
VIS-UR-000461</t>
  </si>
  <si>
    <t>Clear Crisp Vision
Easy to Insert and Remove
Comfort throughout Wear Time
Eye Health</t>
  </si>
  <si>
    <t>VIS-DI-002614</t>
  </si>
  <si>
    <t>CHR-48</t>
  </si>
  <si>
    <r>
      <rPr>
        <b/>
        <sz val="10"/>
        <color indexed="8"/>
        <rFont val="Times New Roman"/>
        <family val="1"/>
      </rPr>
      <t>Shape and Appearance</t>
    </r>
    <r>
      <rPr>
        <sz val="10"/>
        <color indexed="8"/>
        <rFont val="Times New Roman"/>
        <family val="1"/>
      </rPr>
      <t xml:space="preserve">
</t>
    </r>
    <r>
      <rPr>
        <b/>
        <sz val="10"/>
        <color indexed="8"/>
        <rFont val="Times New Roman"/>
        <family val="1"/>
      </rPr>
      <t>Per:</t>
    </r>
    <r>
      <rPr>
        <sz val="10"/>
        <color indexed="8"/>
        <rFont val="Times New Roman"/>
        <family val="1"/>
      </rPr>
      <t xml:space="preserve">
</t>
    </r>
    <r>
      <rPr>
        <sz val="10"/>
        <color indexed="8"/>
        <rFont val="Times New Roman"/>
        <family val="1"/>
      </rPr>
      <t xml:space="preserve">US   </t>
    </r>
    <r>
      <rPr>
        <u/>
        <sz val="10"/>
        <color indexed="8"/>
        <rFont val="Times New Roman"/>
        <family val="1"/>
      </rPr>
      <t>ISO 18369-2:201</t>
    </r>
    <r>
      <rPr>
        <u/>
        <sz val="10"/>
        <rFont val="Times New Roman"/>
        <family val="1"/>
      </rPr>
      <t>7</t>
    </r>
    <r>
      <rPr>
        <sz val="10"/>
        <rFont val="Times New Roman"/>
        <family val="1"/>
      </rPr>
      <t xml:space="preserve"> Ophthalmic optics - Contact lenses - Part 2: Tolerances [Clause 4.5]
US   </t>
    </r>
    <r>
      <rPr>
        <u/>
        <sz val="10"/>
        <rFont val="Times New Roman"/>
        <family val="1"/>
      </rPr>
      <t>FDA Premarket Notification [510(k)] Guidance Document for Daily Wear Contact Lenses: 1994</t>
    </r>
    <r>
      <rPr>
        <sz val="10"/>
        <rFont val="Times New Roman"/>
        <family val="1"/>
      </rPr>
      <t xml:space="preserve"> [pp. 20]
EU  </t>
    </r>
    <r>
      <rPr>
        <u/>
        <sz val="10"/>
        <rFont val="Times New Roman"/>
        <family val="1"/>
      </rPr>
      <t>EN ISO 18369-2:2017</t>
    </r>
    <r>
      <rPr>
        <sz val="10"/>
        <rFont val="Times New Roman"/>
        <family val="1"/>
      </rPr>
      <t xml:space="preserve"> Ophthalmic optics - Contact lenses - Part 2: Tolerances [Clause 4.5]</t>
    </r>
    <r>
      <rPr>
        <sz val="10"/>
        <color indexed="8"/>
        <rFont val="Times New Roman"/>
        <family val="1"/>
      </rPr>
      <t xml:space="preserve">
</t>
    </r>
    <r>
      <rPr>
        <sz val="10"/>
        <color indexed="8"/>
        <rFont val="Times New Roman"/>
        <family val="1"/>
      </rPr>
      <t xml:space="preserve">
</t>
    </r>
    <r>
      <rPr>
        <b/>
        <sz val="10"/>
        <color indexed="8"/>
        <rFont val="Times New Roman"/>
        <family val="1"/>
      </rPr>
      <t>Per:</t>
    </r>
    <r>
      <rPr>
        <sz val="10"/>
        <color indexed="8"/>
        <rFont val="Times New Roman"/>
        <family val="1"/>
      </rPr>
      <t xml:space="preserve">
JP   </t>
    </r>
    <r>
      <rPr>
        <u/>
        <sz val="10"/>
        <color indexed="8"/>
        <rFont val="Times New Roman"/>
        <family val="1"/>
      </rPr>
      <t>PSEHB Notification No. 0411-8, April 11, 2019</t>
    </r>
    <r>
      <rPr>
        <sz val="10"/>
        <color indexed="8"/>
        <rFont val="Times New Roman"/>
        <family val="1"/>
      </rPr>
      <t xml:space="preserve"> Approval Standard for Contact Lenses</t>
    </r>
    <r>
      <rPr>
        <sz val="10"/>
        <color indexed="8"/>
        <rFont val="Times New Roman"/>
        <family val="1"/>
      </rPr>
      <t xml:space="preserve"> [Clause 4.1]
</t>
    </r>
    <r>
      <rPr>
        <sz val="5"/>
        <color indexed="8"/>
        <rFont val="Times New Roman"/>
        <family val="1"/>
      </rPr>
      <t xml:space="preserve">
</t>
    </r>
    <r>
      <rPr>
        <sz val="10"/>
        <color indexed="8"/>
        <rFont val="Times New Roman"/>
        <family val="1"/>
      </rPr>
      <t xml:space="preserve">There must be no bubbles, impurities, or discoloration.
When observed using a device that magnifies the object by 10 magnifications or more, there must be no harmful scratches or irregularities for parts on the surface of the eye including the cornea.
The edges must be smooth and round and must not have a shape which has a risk to damage parts of the eye including the cornea.
</t>
    </r>
    <r>
      <rPr>
        <sz val="10"/>
        <rFont val="Times New Roman"/>
        <family val="1"/>
      </rPr>
      <t xml:space="preserve">
</t>
    </r>
    <r>
      <rPr>
        <b/>
        <sz val="10"/>
        <rFont val="Times New Roman"/>
        <family val="1"/>
      </rPr>
      <t>Per:</t>
    </r>
    <r>
      <rPr>
        <sz val="10"/>
        <rFont val="Times New Roman"/>
        <family val="1"/>
      </rPr>
      <t xml:space="preserve">
CN   </t>
    </r>
    <r>
      <rPr>
        <u/>
        <sz val="10"/>
        <rFont val="Times New Roman"/>
        <family val="1"/>
      </rPr>
      <t>GB 11417.3-2012</t>
    </r>
    <r>
      <rPr>
        <sz val="10"/>
        <rFont val="Times New Roman"/>
        <family val="1"/>
      </rPr>
      <t xml:space="preserve"> Ophthalmic optics - Contact lenses - Part 3: Soft Contact Lenses [Point 4.8.1]</t>
    </r>
    <r>
      <rPr>
        <sz val="10"/>
        <color indexed="36"/>
        <rFont val="Times New Roman"/>
        <family val="1"/>
      </rPr>
      <t xml:space="preserve">
</t>
    </r>
    <r>
      <rPr>
        <sz val="5"/>
        <rFont val="Times New Roman"/>
        <family val="1"/>
      </rPr>
      <t xml:space="preserve">
</t>
    </r>
    <r>
      <rPr>
        <sz val="10"/>
        <rFont val="Times New Roman"/>
        <family val="1"/>
      </rPr>
      <t xml:space="preserve">Observe the contact lens in the test solution within 7x-10x zoom and there should not be any inclusions which will affect the normal application of the contact lens, such as stains, residuals, or dentrite bubbles, and any defects, such as the crack on the surface or the broken edge.
</t>
    </r>
  </si>
  <si>
    <t>QP-0075</t>
  </si>
  <si>
    <t>VIS-DI-002615</t>
  </si>
  <si>
    <t>CHR-49</t>
  </si>
  <si>
    <r>
      <rPr>
        <b/>
        <sz val="10"/>
        <rFont val="Times New Roman"/>
        <family val="1"/>
      </rPr>
      <t>Packaging for Terminally Sterilized Medical Devices</t>
    </r>
    <r>
      <rPr>
        <sz val="10"/>
        <rFont val="Times New Roman"/>
        <family val="1"/>
      </rPr>
      <t xml:space="preserve">
</t>
    </r>
    <r>
      <rPr>
        <b/>
        <sz val="10"/>
        <rFont val="Times New Roman"/>
        <family val="1"/>
      </rPr>
      <t>Per:</t>
    </r>
    <r>
      <rPr>
        <sz val="10"/>
        <rFont val="Times New Roman"/>
        <family val="1"/>
      </rPr>
      <t xml:space="preserve">
US   </t>
    </r>
    <r>
      <rPr>
        <u/>
        <sz val="10"/>
        <rFont val="Times New Roman"/>
        <family val="1"/>
      </rPr>
      <t>ISO 11607-1:2019</t>
    </r>
    <r>
      <rPr>
        <sz val="10"/>
        <rFont val="Times New Roman"/>
        <family val="1"/>
      </rPr>
      <t xml:space="preserve"> Packaging for terminally sterilized medical devices - Part 1: Requirements for materials, sterile barrier systems and packaging systems
US   </t>
    </r>
    <r>
      <rPr>
        <u/>
        <sz val="10"/>
        <rFont val="Times New Roman"/>
        <family val="1"/>
      </rPr>
      <t>ISO 14534:2011</t>
    </r>
    <r>
      <rPr>
        <sz val="10"/>
        <rFont val="Times New Roman"/>
        <family val="1"/>
      </rPr>
      <t xml:space="preserve"> Ophthalmic optics - Contact lenses and contact lens care products - Fundamental requirements [Clauses 10.1,11,12,13.1,13.2]
US   </t>
    </r>
    <r>
      <rPr>
        <u/>
        <sz val="10"/>
        <rFont val="Times New Roman"/>
        <family val="1"/>
      </rPr>
      <t>FDA Premarket Notification [510(k)] Guidance Document for Daily Wear Contact Lenses: 1994</t>
    </r>
    <r>
      <rPr>
        <sz val="10"/>
        <rFont val="Times New Roman"/>
        <family val="1"/>
      </rPr>
      <t xml:space="preserve"> [pp. 35]
EU   </t>
    </r>
    <r>
      <rPr>
        <u/>
        <sz val="10"/>
        <rFont val="Times New Roman"/>
        <family val="1"/>
      </rPr>
      <t>EN ISO 11607-1:2020</t>
    </r>
    <r>
      <rPr>
        <sz val="10"/>
        <rFont val="Times New Roman"/>
        <family val="1"/>
      </rPr>
      <t xml:space="preserve"> Packaging for terminally sterilized medical devices - Part 1: Requirements for materials, sterile barrier systems and packaging systems  
EU   </t>
    </r>
    <r>
      <rPr>
        <u/>
        <sz val="10"/>
        <rFont val="Times New Roman"/>
        <family val="1"/>
      </rPr>
      <t>EN ISO 14534:2015</t>
    </r>
    <r>
      <rPr>
        <sz val="10"/>
        <rFont val="Times New Roman"/>
        <family val="1"/>
      </rPr>
      <t xml:space="preserve"> Ophthalmic optics - Contact lenses and contact lens care products - Fundamental requirements [Clauses 10.1,11,12,13.1,13.2]
JP    </t>
    </r>
    <r>
      <rPr>
        <u/>
        <sz val="10"/>
        <rFont val="Times New Roman"/>
        <family val="1"/>
      </rPr>
      <t>PSEHB Notification No. 0411-8, April 11, 2019</t>
    </r>
    <r>
      <rPr>
        <sz val="10"/>
        <rFont val="Times New Roman"/>
        <family val="1"/>
      </rPr>
      <t xml:space="preserve"> Approval Standard for Contact Lenses [Clause 10] </t>
    </r>
    <r>
      <rPr>
        <b/>
        <sz val="10"/>
        <rFont val="Times New Roman"/>
        <family val="1"/>
      </rPr>
      <t>new materials only</t>
    </r>
    <r>
      <rPr>
        <sz val="10"/>
        <rFont val="Times New Roman"/>
        <family val="1"/>
      </rPr>
      <t xml:space="preserve">
</t>
    </r>
  </si>
  <si>
    <t>R-3281
R-3443 
R-3114
DMR-0036</t>
  </si>
  <si>
    <r>
      <rPr>
        <b/>
        <sz val="10"/>
        <color indexed="12"/>
        <rFont val="Times New Roman"/>
        <family val="1"/>
      </rPr>
      <t>R-3281</t>
    </r>
    <r>
      <rPr>
        <sz val="10"/>
        <rFont val="Times New Roman"/>
        <family val="1"/>
      </rPr>
      <t xml:space="preserve">: Vistakon Injection Molded Primary Lens Package Bowl
</t>
    </r>
    <r>
      <rPr>
        <b/>
        <sz val="10"/>
        <color indexed="12"/>
        <rFont val="Times New Roman"/>
        <family val="1"/>
      </rPr>
      <t>R-3443</t>
    </r>
    <r>
      <rPr>
        <sz val="10"/>
        <rFont val="Times New Roman"/>
        <family val="1"/>
      </rPr>
      <t xml:space="preserve">: 86 mm Preprinted Foil Lidstock - Constantia
</t>
    </r>
    <r>
      <rPr>
        <b/>
        <sz val="10"/>
        <color indexed="12"/>
        <rFont val="Times New Roman"/>
        <family val="1"/>
      </rPr>
      <t>R-3114:</t>
    </r>
    <r>
      <rPr>
        <sz val="10"/>
        <rFont val="Times New Roman"/>
        <family val="1"/>
      </rPr>
      <t xml:space="preserve"> General Purpose Polypropylene
</t>
    </r>
    <r>
      <rPr>
        <b/>
        <sz val="10"/>
        <color indexed="12"/>
        <rFont val="Times New Roman"/>
        <family val="1"/>
      </rPr>
      <t xml:space="preserve">
DMR-0036</t>
    </r>
    <r>
      <rPr>
        <sz val="10"/>
        <rFont val="Times New Roman"/>
        <family val="1"/>
      </rPr>
      <t xml:space="preserve">: 1•Day Acuvue Define Brand Contact Lenses with Lacreon (etafilcon A) Device Master Record </t>
    </r>
    <r>
      <rPr>
        <b/>
        <sz val="10"/>
        <color theme="9" tint="-0.249977111117893"/>
        <rFont val="Times New Roman"/>
        <family val="1"/>
      </rPr>
      <t xml:space="preserve"> (To be updated to include Chroma in Phase 3)</t>
    </r>
  </si>
  <si>
    <t>VIS-DI-002616</t>
  </si>
  <si>
    <t>CHR-50</t>
  </si>
  <si>
    <r>
      <rPr>
        <b/>
        <sz val="10"/>
        <rFont val="Times New Roman"/>
        <family val="1"/>
      </rPr>
      <t xml:space="preserve">Symbols and Symbols Glossary
Requirement: </t>
    </r>
    <r>
      <rPr>
        <sz val="10"/>
        <rFont val="Times New Roman"/>
        <family val="1"/>
      </rPr>
      <t xml:space="preserve">must meet the requirements for labeling
</t>
    </r>
    <r>
      <rPr>
        <sz val="5"/>
        <rFont val="Times New Roman"/>
        <family val="1"/>
      </rPr>
      <t xml:space="preserve">
</t>
    </r>
    <r>
      <rPr>
        <b/>
        <sz val="10"/>
        <rFont val="Times New Roman"/>
        <family val="1"/>
      </rPr>
      <t>Per:</t>
    </r>
    <r>
      <rPr>
        <u/>
        <sz val="10"/>
        <rFont val="Times New Roman"/>
        <family val="1"/>
      </rPr>
      <t xml:space="preserve">
</t>
    </r>
    <r>
      <rPr>
        <sz val="10"/>
        <rFont val="Times New Roman"/>
        <family val="1"/>
      </rPr>
      <t xml:space="preserve">US   </t>
    </r>
    <r>
      <rPr>
        <u/>
        <sz val="10"/>
        <rFont val="Times New Roman"/>
        <family val="1"/>
      </rPr>
      <t>ISO 11978:2017/AMD.1:2020</t>
    </r>
    <r>
      <rPr>
        <sz val="10"/>
        <rFont val="Times New Roman"/>
        <family val="1"/>
      </rPr>
      <t xml:space="preserve"> Ophthalmic optics - Contact lenses and contact lens care products - Labelling
US   </t>
    </r>
    <r>
      <rPr>
        <u/>
        <sz val="10"/>
        <rFont val="Times New Roman"/>
        <family val="1"/>
      </rPr>
      <t>ISO 15223-1:2021</t>
    </r>
    <r>
      <rPr>
        <sz val="10"/>
        <rFont val="Times New Roman"/>
        <family val="1"/>
      </rPr>
      <t xml:space="preserve"> Medical devices - Symbols to be used with medical device labels, labelling and information to be supplied - Part 1: General requirements
EU  </t>
    </r>
    <r>
      <rPr>
        <u/>
        <sz val="10"/>
        <rFont val="Times New Roman"/>
        <family val="1"/>
      </rPr>
      <t>EN ISO 11978:2017/A1:2020</t>
    </r>
    <r>
      <rPr>
        <sz val="10"/>
        <rFont val="Times New Roman"/>
        <family val="1"/>
      </rPr>
      <t xml:space="preserve"> Ophthalmic optics - Contact lenses and contact lens care products - Labelling
EU  </t>
    </r>
    <r>
      <rPr>
        <u/>
        <sz val="10"/>
        <rFont val="Times New Roman"/>
        <family val="1"/>
      </rPr>
      <t>EN ISO 15223-1:2021</t>
    </r>
    <r>
      <rPr>
        <sz val="10"/>
        <rFont val="Times New Roman"/>
        <family val="1"/>
      </rPr>
      <t xml:space="preserve"> Medical devices - Symbols to be used with medical device labels, labelling and information to be supplied - Part 1: General requirements
EU  </t>
    </r>
    <r>
      <rPr>
        <u/>
        <sz val="10"/>
        <rFont val="Times New Roman"/>
        <family val="1"/>
      </rPr>
      <t>REGULATION (EU) 2017/745</t>
    </r>
    <r>
      <rPr>
        <sz val="10"/>
        <rFont val="Times New Roman"/>
        <family val="1"/>
      </rPr>
      <t xml:space="preserve"> Medical Device Regulation
AU  </t>
    </r>
    <r>
      <rPr>
        <u/>
        <sz val="10"/>
        <rFont val="Times New Roman"/>
        <family val="1"/>
      </rPr>
      <t>Therapeutic Goods (Medical Devices) Regulation 2002</t>
    </r>
    <r>
      <rPr>
        <sz val="10"/>
        <rFont val="Times New Roman"/>
        <family val="1"/>
      </rPr>
      <t xml:space="preserve"> [Schedule 1, Part 2, Clause 13]
</t>
    </r>
    <r>
      <rPr>
        <b/>
        <sz val="10"/>
        <rFont val="Times New Roman"/>
        <family val="1"/>
      </rPr>
      <t>Per:</t>
    </r>
    <r>
      <rPr>
        <sz val="10"/>
        <rFont val="Times New Roman"/>
        <family val="1"/>
      </rPr>
      <t xml:space="preserve">
</t>
    </r>
    <r>
      <rPr>
        <u/>
        <sz val="10"/>
        <rFont val="Times New Roman"/>
        <family val="1"/>
      </rPr>
      <t>FDA Document Citation 81 FR 38911</t>
    </r>
    <r>
      <rPr>
        <sz val="10"/>
        <rFont val="Times New Roman"/>
        <family val="1"/>
      </rPr>
      <t xml:space="preserve"> Use of Symbols in Labeling (Document No. 2016-13989) [pp. 38911-38931]
</t>
    </r>
    <r>
      <rPr>
        <sz val="5"/>
        <rFont val="Times New Roman"/>
        <family val="1"/>
      </rPr>
      <t xml:space="preserve">
</t>
    </r>
    <r>
      <rPr>
        <sz val="10"/>
        <rFont val="Times New Roman"/>
        <family val="1"/>
      </rPr>
      <t xml:space="preserve">FDA's Final Rule on 15-Jun-2016 (effective on 13-Sep-2016) allows use of "stand-alone symbols" in medical device labels without adjacent explanatory text as long as symbol is part of a Standard and the symbol is explained in a paper or electronic symbols glossary that is included in the labeling for the medical device.
</t>
    </r>
  </si>
  <si>
    <t>L-5000
RIP-0029
RIP-0056</t>
  </si>
  <si>
    <r>
      <rPr>
        <b/>
        <sz val="10"/>
        <color rgb="FF0000FF"/>
        <rFont val="Times New Roman"/>
        <family val="1"/>
      </rPr>
      <t>L-5000:</t>
    </r>
    <r>
      <rPr>
        <sz val="10"/>
        <color rgb="FF2E01FF"/>
        <rFont val="Times New Roman"/>
        <family val="1"/>
      </rPr>
      <t xml:space="preserve"> </t>
    </r>
    <r>
      <rPr>
        <sz val="10"/>
        <rFont val="Times New Roman"/>
        <family val="1"/>
      </rPr>
      <t>Copy Clearance: Packaging, Labeling, and Printed Material Change Control Process</t>
    </r>
    <r>
      <rPr>
        <sz val="10"/>
        <color indexed="30"/>
        <rFont val="Times New Roman"/>
        <family val="1"/>
      </rPr>
      <t xml:space="preserve">
</t>
    </r>
    <r>
      <rPr>
        <b/>
        <sz val="10"/>
        <color rgb="FF2E01FF"/>
        <rFont val="Times New Roman"/>
        <family val="1"/>
      </rPr>
      <t>R-3424:</t>
    </r>
    <r>
      <rPr>
        <sz val="10"/>
        <rFont val="Times New Roman"/>
        <family val="1"/>
      </rPr>
      <t xml:space="preserve"> 5 and 10 Pack - Folding Carton
</t>
    </r>
    <r>
      <rPr>
        <b/>
        <sz val="10"/>
        <color rgb="FF0000FF"/>
        <rFont val="Times New Roman"/>
        <family val="1"/>
      </rPr>
      <t>R-3116</t>
    </r>
    <r>
      <rPr>
        <sz val="10"/>
        <rFont val="Times New Roman"/>
        <family val="1"/>
      </rPr>
      <t xml:space="preserve">: 30 Pack - Folding Carton, 
</t>
    </r>
    <r>
      <rPr>
        <b/>
        <sz val="10"/>
        <color indexed="12"/>
        <rFont val="Times New Roman"/>
        <family val="1"/>
      </rPr>
      <t>R-3281</t>
    </r>
    <r>
      <rPr>
        <sz val="10"/>
        <rFont val="Times New Roman"/>
        <family val="1"/>
      </rPr>
      <t>: JJVC Injection Molded Primary Lens Package Bowl</t>
    </r>
    <r>
      <rPr>
        <sz val="10"/>
        <color indexed="30"/>
        <rFont val="Times New Roman"/>
        <family val="1"/>
      </rPr>
      <t xml:space="preserve">
</t>
    </r>
    <r>
      <rPr>
        <sz val="10"/>
        <color rgb="FF0070C0"/>
        <rFont val="Times New Roman"/>
        <family val="1"/>
      </rPr>
      <t xml:space="preserve">
</t>
    </r>
    <r>
      <rPr>
        <b/>
        <sz val="10"/>
        <color theme="9" tint="-0.249977111117893"/>
        <rFont val="Times New Roman"/>
        <family val="1"/>
      </rPr>
      <t>(All documents above to be updated to include Chroma in Phase 3)</t>
    </r>
  </si>
  <si>
    <t>VIS-UR-000455
VIS-UR-000461</t>
  </si>
  <si>
    <t>Clear Crisp Vision
Eye Health</t>
  </si>
  <si>
    <t>VIS-DI-002617</t>
  </si>
  <si>
    <t>CHR-51</t>
  </si>
  <si>
    <r>
      <rPr>
        <b/>
        <sz val="10"/>
        <rFont val="Times New Roman"/>
        <family val="1"/>
      </rPr>
      <t xml:space="preserve">Primary Container Labeling
Requirement: </t>
    </r>
    <r>
      <rPr>
        <sz val="10"/>
        <rFont val="Times New Roman"/>
        <family val="1"/>
      </rPr>
      <t xml:space="preserve">must meet the requirements for labeling
</t>
    </r>
    <r>
      <rPr>
        <b/>
        <sz val="10"/>
        <rFont val="Times New Roman"/>
        <family val="1"/>
      </rPr>
      <t>Per:</t>
    </r>
    <r>
      <rPr>
        <sz val="10"/>
        <rFont val="Times New Roman"/>
        <family val="1"/>
      </rPr>
      <t xml:space="preserve">
US   </t>
    </r>
    <r>
      <rPr>
        <u/>
        <sz val="10"/>
        <rFont val="Times New Roman"/>
        <family val="1"/>
      </rPr>
      <t>ISO 11978:2017/AMD.1:2020</t>
    </r>
    <r>
      <rPr>
        <sz val="10"/>
        <rFont val="Times New Roman"/>
        <family val="1"/>
      </rPr>
      <t xml:space="preserve"> Ophthalmic optics - Contact lenses and contact lens care products - Labelling
US   </t>
    </r>
    <r>
      <rPr>
        <u/>
        <sz val="10"/>
        <rFont val="Times New Roman"/>
        <family val="1"/>
      </rPr>
      <t>ISO 20417:2021</t>
    </r>
    <r>
      <rPr>
        <sz val="10"/>
        <rFont val="Times New Roman"/>
        <family val="1"/>
      </rPr>
      <t xml:space="preserve"> Medical devices - Information to be supplied by the manufacturer
US   </t>
    </r>
    <r>
      <rPr>
        <u/>
        <sz val="10"/>
        <rFont val="Times New Roman"/>
        <family val="1"/>
      </rPr>
      <t>FDA Premarket Notification [510(k)] Guidance Document for Daily Wear Contact Lenses: 1994</t>
    </r>
    <r>
      <rPr>
        <sz val="10"/>
        <rFont val="Times New Roman"/>
        <family val="1"/>
      </rPr>
      <t xml:space="preserve"> [pp. 137]
EU  </t>
    </r>
    <r>
      <rPr>
        <u/>
        <sz val="10"/>
        <rFont val="Times New Roman"/>
        <family val="1"/>
      </rPr>
      <t>EN ISO 11978:2017/A1:2020</t>
    </r>
    <r>
      <rPr>
        <sz val="10"/>
        <rFont val="Times New Roman"/>
        <family val="1"/>
      </rPr>
      <t xml:space="preserve"> Ophthalmic optics - Contact lenses and contact lens care products - Labelling [Table 1]
EU  </t>
    </r>
    <r>
      <rPr>
        <u/>
        <sz val="10"/>
        <rFont val="Times New Roman"/>
        <family val="1"/>
      </rPr>
      <t>EN ISO 20417:2021</t>
    </r>
    <r>
      <rPr>
        <sz val="10"/>
        <rFont val="Times New Roman"/>
        <family val="1"/>
      </rPr>
      <t xml:space="preserve"> Medical devices - Information to be supplied by the manufacturer
EU  </t>
    </r>
    <r>
      <rPr>
        <u/>
        <sz val="10"/>
        <rFont val="Times New Roman"/>
        <family val="1"/>
      </rPr>
      <t>REGULATION (EU) 2017/745</t>
    </r>
    <r>
      <rPr>
        <sz val="10"/>
        <rFont val="Times New Roman"/>
        <family val="1"/>
      </rPr>
      <t xml:space="preserve"> Medical Device Regulation
JP   </t>
    </r>
    <r>
      <rPr>
        <u/>
        <sz val="10"/>
        <rFont val="Times New Roman"/>
        <family val="1"/>
      </rPr>
      <t>PSEHB Notification No. 0411-8, April 11, 2019</t>
    </r>
    <r>
      <rPr>
        <sz val="10"/>
        <rFont val="Times New Roman"/>
        <family val="1"/>
      </rPr>
      <t xml:space="preserve"> Approval Standard for Contact Lenses [Clause 11.1, 11.3]
CA  </t>
    </r>
    <r>
      <rPr>
        <u/>
        <sz val="10"/>
        <rFont val="Times New Roman"/>
        <family val="1"/>
      </rPr>
      <t>Guidance Document: Guidance for the Labeling of Medical Devices: 2015</t>
    </r>
    <r>
      <rPr>
        <sz val="10"/>
        <rFont val="Times New Roman"/>
        <family val="1"/>
      </rPr>
      <t xml:space="preserve"> - Section 21 to 23 of the Canadian Medical Device Regulation
AU  </t>
    </r>
    <r>
      <rPr>
        <u/>
        <sz val="10"/>
        <rFont val="Times New Roman"/>
        <family val="1"/>
      </rPr>
      <t>Therapeutic Goods (Medical Devices) Regulation 2002</t>
    </r>
    <r>
      <rPr>
        <sz val="10"/>
        <rFont val="Times New Roman"/>
        <family val="1"/>
      </rPr>
      <t xml:space="preserve"> [Schedule 1, Part 2, Clause 13]
BR   </t>
    </r>
    <r>
      <rPr>
        <u/>
        <sz val="10"/>
        <rFont val="Times New Roman"/>
        <family val="1"/>
      </rPr>
      <t>Resolution RDC No. 665 Of March 30, 2022</t>
    </r>
    <r>
      <rPr>
        <sz val="10"/>
        <rFont val="Times New Roman"/>
        <family val="1"/>
      </rPr>
      <t xml:space="preserve"> [Clause 5.2]
</t>
    </r>
  </si>
  <si>
    <t>L-5000
RIP-0029</t>
  </si>
  <si>
    <r>
      <rPr>
        <b/>
        <sz val="10"/>
        <color rgb="FF0000FF"/>
        <rFont val="Times New Roman"/>
        <family val="1"/>
      </rPr>
      <t>R-3443:</t>
    </r>
    <r>
      <rPr>
        <sz val="10"/>
        <rFont val="Times New Roman"/>
        <family val="1"/>
      </rPr>
      <t xml:space="preserve"> 86mm Preprinted Laminated Peelable - Constantia</t>
    </r>
  </si>
  <si>
    <t>VIS-DI-002618</t>
  </si>
  <si>
    <t>CHR-52</t>
  </si>
  <si>
    <r>
      <rPr>
        <b/>
        <sz val="10"/>
        <rFont val="Times New Roman"/>
        <family val="1"/>
      </rPr>
      <t xml:space="preserve">Secondary Container labeling
Requirement: </t>
    </r>
    <r>
      <rPr>
        <sz val="10"/>
        <rFont val="Times New Roman"/>
        <family val="1"/>
      </rPr>
      <t xml:space="preserve">must meet the requirements for labeling
</t>
    </r>
    <r>
      <rPr>
        <b/>
        <sz val="10"/>
        <rFont val="Times New Roman"/>
        <family val="1"/>
      </rPr>
      <t>Per:</t>
    </r>
    <r>
      <rPr>
        <u/>
        <sz val="10"/>
        <rFont val="Times New Roman"/>
        <family val="1"/>
      </rPr>
      <t xml:space="preserve">
</t>
    </r>
    <r>
      <rPr>
        <sz val="10"/>
        <rFont val="Times New Roman"/>
        <family val="1"/>
      </rPr>
      <t xml:space="preserve">US   </t>
    </r>
    <r>
      <rPr>
        <u/>
        <sz val="10"/>
        <rFont val="Times New Roman"/>
        <family val="1"/>
      </rPr>
      <t>ISO 11978:2017/AMD.1:2020</t>
    </r>
    <r>
      <rPr>
        <sz val="10"/>
        <rFont val="Times New Roman"/>
        <family val="1"/>
      </rPr>
      <t xml:space="preserve"> Ophthalmic optics - Contact lenses and contact lens care products - Labelling
US   </t>
    </r>
    <r>
      <rPr>
        <u/>
        <sz val="10"/>
        <rFont val="Times New Roman"/>
        <family val="1"/>
      </rPr>
      <t>ISO 20417:2021</t>
    </r>
    <r>
      <rPr>
        <sz val="10"/>
        <rFont val="Times New Roman"/>
        <family val="1"/>
      </rPr>
      <t xml:space="preserve"> Medical devices - Information to be supplied by the manufacturer
US   </t>
    </r>
    <r>
      <rPr>
        <u/>
        <sz val="10"/>
        <rFont val="Times New Roman"/>
        <family val="1"/>
      </rPr>
      <t>FDA Premarket Notification [510(k)] Guidance Document for Daily Wear Contact Lenses: 1994</t>
    </r>
    <r>
      <rPr>
        <sz val="10"/>
        <rFont val="Times New Roman"/>
        <family val="1"/>
      </rPr>
      <t xml:space="preserve"> [pp. 137]
EU  </t>
    </r>
    <r>
      <rPr>
        <u/>
        <sz val="10"/>
        <rFont val="Times New Roman"/>
        <family val="1"/>
      </rPr>
      <t>EN ISO 11978:2017/A1:2020</t>
    </r>
    <r>
      <rPr>
        <sz val="10"/>
        <rFont val="Times New Roman"/>
        <family val="1"/>
      </rPr>
      <t xml:space="preserve"> Ophthalmic optics - Contact lenses and contact lens care products - Labelling [Table 1]
EU </t>
    </r>
    <r>
      <rPr>
        <u/>
        <sz val="10"/>
        <rFont val="Times New Roman"/>
        <family val="1"/>
      </rPr>
      <t xml:space="preserve"> EN ISO 20417:2021</t>
    </r>
    <r>
      <rPr>
        <sz val="10"/>
        <rFont val="Times New Roman"/>
        <family val="1"/>
      </rPr>
      <t xml:space="preserve"> Medical devices - Information to be supplied by the manufacturer
EU  </t>
    </r>
    <r>
      <rPr>
        <u/>
        <sz val="10"/>
        <rFont val="Times New Roman"/>
        <family val="1"/>
      </rPr>
      <t>REGULATION (EU) 2017/745</t>
    </r>
    <r>
      <rPr>
        <sz val="10"/>
        <rFont val="Times New Roman"/>
        <family val="1"/>
      </rPr>
      <t xml:space="preserve"> Medical Device Regulation
JP   </t>
    </r>
    <r>
      <rPr>
        <u/>
        <sz val="10"/>
        <rFont val="Times New Roman"/>
        <family val="1"/>
      </rPr>
      <t>PSEHB Notification No. 0411-8, April 11, 2019</t>
    </r>
    <r>
      <rPr>
        <sz val="10"/>
        <rFont val="Times New Roman"/>
        <family val="1"/>
      </rPr>
      <t xml:space="preserve"> Approval Standard for Contact Lenses [Clause 11.2, 11.3]
CA  </t>
    </r>
    <r>
      <rPr>
        <u/>
        <sz val="10"/>
        <rFont val="Times New Roman"/>
        <family val="1"/>
      </rPr>
      <t>Guidance Document: Guidance for the Labeling of Medical Devices: 2015</t>
    </r>
    <r>
      <rPr>
        <sz val="10"/>
        <rFont val="Times New Roman"/>
        <family val="1"/>
      </rPr>
      <t xml:space="preserve"> - Section 21 to 23 of the Canadian Medical Device Regulation
AU  </t>
    </r>
    <r>
      <rPr>
        <u/>
        <sz val="10"/>
        <rFont val="Times New Roman"/>
        <family val="1"/>
      </rPr>
      <t>Therapeutic Goods (Medical Devices) Regulation 2002</t>
    </r>
    <r>
      <rPr>
        <sz val="10"/>
        <rFont val="Times New Roman"/>
        <family val="1"/>
      </rPr>
      <t xml:space="preserve"> [Schedule 1, Part 2, Clause 13]
BR   </t>
    </r>
    <r>
      <rPr>
        <u/>
        <sz val="10"/>
        <rFont val="Times New Roman"/>
        <family val="1"/>
      </rPr>
      <t>Resolution RDC No. 665 Of March 30, 2022</t>
    </r>
    <r>
      <rPr>
        <sz val="10"/>
        <rFont val="Times New Roman"/>
        <family val="1"/>
      </rPr>
      <t xml:space="preserve"> [Clause 5.2]
</t>
    </r>
  </si>
  <si>
    <r>
      <rPr>
        <b/>
        <sz val="10"/>
        <color indexed="12"/>
        <rFont val="Times New Roman"/>
        <family val="1"/>
      </rPr>
      <t>R-3116</t>
    </r>
    <r>
      <rPr>
        <sz val="10"/>
        <rFont val="Times New Roman"/>
        <family val="1"/>
      </rPr>
      <t xml:space="preserve">: 30 Pack - Folding Carton
</t>
    </r>
    <r>
      <rPr>
        <b/>
        <sz val="10"/>
        <color theme="9" tint="-0.249977111117893"/>
        <rFont val="Times New Roman"/>
        <family val="1"/>
      </rPr>
      <t xml:space="preserve"> (to be updated to include Chroma in eDMS in Phase 3) </t>
    </r>
    <r>
      <rPr>
        <sz val="10"/>
        <rFont val="Times New Roman"/>
        <family val="1"/>
      </rPr>
      <t xml:space="preserve">
</t>
    </r>
  </si>
  <si>
    <t>VIS-UR-000455
VIS-UR-000460
VIS-UR-000461</t>
  </si>
  <si>
    <t>Clear Crisp Vision
Easy to Insert and Remove
Eye Health</t>
  </si>
  <si>
    <t>VIS-DI-002619</t>
  </si>
  <si>
    <t>CHR-53</t>
  </si>
  <si>
    <r>
      <rPr>
        <b/>
        <sz val="10"/>
        <rFont val="Times New Roman"/>
        <family val="1"/>
      </rPr>
      <t xml:space="preserve">Patient Instruction Guide (PIG)
Requirement: </t>
    </r>
    <r>
      <rPr>
        <sz val="10"/>
        <rFont val="Times New Roman"/>
        <family val="1"/>
      </rPr>
      <t xml:space="preserve">must meets the requirements for labeling
</t>
    </r>
    <r>
      <rPr>
        <b/>
        <sz val="10"/>
        <rFont val="Times New Roman"/>
        <family val="1"/>
      </rPr>
      <t xml:space="preserve">Per:
</t>
    </r>
    <r>
      <rPr>
        <sz val="10"/>
        <rFont val="Times New Roman"/>
        <family val="1"/>
      </rPr>
      <t xml:space="preserve">US   </t>
    </r>
    <r>
      <rPr>
        <u/>
        <sz val="10"/>
        <rFont val="Times New Roman"/>
        <family val="1"/>
      </rPr>
      <t>ISO 11978:2017/AMD.1:2020</t>
    </r>
    <r>
      <rPr>
        <sz val="10"/>
        <rFont val="Times New Roman"/>
        <family val="1"/>
      </rPr>
      <t xml:space="preserve"> Ophthalmic optics - Contact lenses and contact lens care products - Labelling
US   </t>
    </r>
    <r>
      <rPr>
        <u/>
        <sz val="10"/>
        <rFont val="Times New Roman"/>
        <family val="1"/>
      </rPr>
      <t>ISO 20417:2021</t>
    </r>
    <r>
      <rPr>
        <sz val="10"/>
        <rFont val="Times New Roman"/>
        <family val="1"/>
      </rPr>
      <t xml:space="preserve"> Medical devices - Information to be supplied by the manufacturer
US   </t>
    </r>
    <r>
      <rPr>
        <u/>
        <sz val="10"/>
        <rFont val="Times New Roman"/>
        <family val="1"/>
      </rPr>
      <t>FDA Premarket Notification [510(k)] Guidance Document for Daily Wear Contact Lenses: 1994</t>
    </r>
    <r>
      <rPr>
        <sz val="10"/>
        <rFont val="Times New Roman"/>
        <family val="1"/>
      </rPr>
      <t xml:space="preserve"> [pp. 126-136]
EU  </t>
    </r>
    <r>
      <rPr>
        <u/>
        <sz val="10"/>
        <rFont val="Times New Roman"/>
        <family val="1"/>
      </rPr>
      <t>EN ISO 11978:2017/A1:2020</t>
    </r>
    <r>
      <rPr>
        <sz val="10"/>
        <rFont val="Times New Roman"/>
        <family val="1"/>
      </rPr>
      <t xml:space="preserve"> Ophthalmic optics - Contact lenses and contact lens care products - Labelling [Table 1]</t>
    </r>
    <r>
      <rPr>
        <strike/>
        <sz val="10"/>
        <rFont val="Times New Roman"/>
        <family val="1"/>
      </rPr>
      <t xml:space="preserve">
</t>
    </r>
    <r>
      <rPr>
        <sz val="10"/>
        <rFont val="Times New Roman"/>
        <family val="1"/>
      </rPr>
      <t xml:space="preserve">EU  </t>
    </r>
    <r>
      <rPr>
        <u/>
        <sz val="10"/>
        <rFont val="Times New Roman"/>
        <family val="1"/>
      </rPr>
      <t>EN ISO 20417:2021</t>
    </r>
    <r>
      <rPr>
        <sz val="10"/>
        <rFont val="Times New Roman"/>
        <family val="1"/>
      </rPr>
      <t xml:space="preserve"> Medical devices - Information to be supplied by the manufacturer
EU  </t>
    </r>
    <r>
      <rPr>
        <u/>
        <sz val="10"/>
        <rFont val="Times New Roman"/>
        <family val="1"/>
      </rPr>
      <t>REGULATION (EU) 2017/745</t>
    </r>
    <r>
      <rPr>
        <sz val="10"/>
        <rFont val="Times New Roman"/>
        <family val="1"/>
      </rPr>
      <t xml:space="preserve"> Medical Device Regulation
CA  </t>
    </r>
    <r>
      <rPr>
        <u/>
        <sz val="10"/>
        <rFont val="Times New Roman"/>
        <family val="1"/>
      </rPr>
      <t>Guidance Document: Guidance for the Labeling of Medical Devices: 2015</t>
    </r>
    <r>
      <rPr>
        <sz val="10"/>
        <rFont val="Times New Roman"/>
        <family val="1"/>
      </rPr>
      <t xml:space="preserve"> - Section 21 to 23 of the Canadian Medical Device Regulation
AU  </t>
    </r>
    <r>
      <rPr>
        <u/>
        <sz val="10"/>
        <rFont val="Times New Roman"/>
        <family val="1"/>
      </rPr>
      <t>Therapeutic Goods (Medical Devices) Regulation 2002</t>
    </r>
    <r>
      <rPr>
        <sz val="10"/>
        <rFont val="Times New Roman"/>
        <family val="1"/>
      </rPr>
      <t xml:space="preserve"> [Schedule 1, Part 2, Clause 13]
BR   </t>
    </r>
    <r>
      <rPr>
        <u/>
        <sz val="10"/>
        <rFont val="Times New Roman"/>
        <family val="1"/>
      </rPr>
      <t>Resolution RDC No. 665 Of March 30, 2022</t>
    </r>
    <r>
      <rPr>
        <sz val="10"/>
        <rFont val="Times New Roman"/>
        <family val="1"/>
      </rPr>
      <t xml:space="preserve"> [Clause 5.2]
</t>
    </r>
  </si>
  <si>
    <t>L-5000
RIP-0056</t>
  </si>
  <si>
    <r>
      <rPr>
        <b/>
        <sz val="10"/>
        <color rgb="FF2E01FF"/>
        <rFont val="Times New Roman"/>
        <family val="1"/>
      </rPr>
      <t>R-3242</t>
    </r>
    <r>
      <rPr>
        <sz val="10"/>
        <rFont val="Times New Roman"/>
        <family val="1"/>
      </rPr>
      <t xml:space="preserve">: Instructions for Use- English
</t>
    </r>
  </si>
  <si>
    <t>VIS-DI-002620</t>
  </si>
  <si>
    <t>CHR-54</t>
  </si>
  <si>
    <r>
      <rPr>
        <b/>
        <sz val="10"/>
        <rFont val="Times New Roman"/>
        <family val="1"/>
      </rPr>
      <t xml:space="preserve">Package Insert and Fitting Guide (PIFG)
Requirement: </t>
    </r>
    <r>
      <rPr>
        <sz val="10"/>
        <rFont val="Times New Roman"/>
        <family val="1"/>
      </rPr>
      <t xml:space="preserve">must meet the requirements for labeling
</t>
    </r>
    <r>
      <rPr>
        <b/>
        <sz val="10"/>
        <rFont val="Times New Roman"/>
        <family val="1"/>
      </rPr>
      <t>Per:</t>
    </r>
    <r>
      <rPr>
        <sz val="10"/>
        <rFont val="Times New Roman"/>
        <family val="1"/>
      </rPr>
      <t xml:space="preserve">
US   </t>
    </r>
    <r>
      <rPr>
        <u/>
        <sz val="10"/>
        <rFont val="Times New Roman"/>
        <family val="1"/>
      </rPr>
      <t>ISO 11978:2017/AMD.1:2020</t>
    </r>
    <r>
      <rPr>
        <sz val="10"/>
        <rFont val="Times New Roman"/>
        <family val="1"/>
      </rPr>
      <t xml:space="preserve"> Ophthalmic optics - Contact lenses and contact lens care products - Labelling
US  </t>
    </r>
    <r>
      <rPr>
        <u/>
        <sz val="10"/>
        <rFont val="Times New Roman"/>
        <family val="1"/>
      </rPr>
      <t xml:space="preserve"> ISO 20417:2021</t>
    </r>
    <r>
      <rPr>
        <sz val="10"/>
        <rFont val="Times New Roman"/>
        <family val="1"/>
      </rPr>
      <t xml:space="preserve"> Medical devices - Information to be supplied by the manufacturer
US   </t>
    </r>
    <r>
      <rPr>
        <u/>
        <sz val="10"/>
        <rFont val="Times New Roman"/>
        <family val="1"/>
      </rPr>
      <t>FDA Premarket Notification [510(k)] Guidance Document for Daily Wear Contact Lenses: 1994</t>
    </r>
    <r>
      <rPr>
        <sz val="10"/>
        <rFont val="Times New Roman"/>
        <family val="1"/>
      </rPr>
      <t xml:space="preserve"> [pp. 102-125]
EU  </t>
    </r>
    <r>
      <rPr>
        <u/>
        <sz val="10"/>
        <rFont val="Times New Roman"/>
        <family val="1"/>
      </rPr>
      <t>EN ISO 11978:2017/A1:2020</t>
    </r>
    <r>
      <rPr>
        <sz val="10"/>
        <rFont val="Times New Roman"/>
        <family val="1"/>
      </rPr>
      <t xml:space="preserve"> Ophthalmic optics - Contact lenses and contact lens care products - Labelling [Table 1]</t>
    </r>
    <r>
      <rPr>
        <strike/>
        <sz val="10"/>
        <rFont val="Times New Roman"/>
        <family val="1"/>
      </rPr>
      <t xml:space="preserve">
</t>
    </r>
    <r>
      <rPr>
        <sz val="10"/>
        <rFont val="Times New Roman"/>
        <family val="1"/>
      </rPr>
      <t xml:space="preserve">EU  </t>
    </r>
    <r>
      <rPr>
        <u/>
        <sz val="10"/>
        <rFont val="Times New Roman"/>
        <family val="1"/>
      </rPr>
      <t>EN ISO 20417:2021</t>
    </r>
    <r>
      <rPr>
        <sz val="10"/>
        <rFont val="Times New Roman"/>
        <family val="1"/>
      </rPr>
      <t xml:space="preserve"> Medical devices - Information to be supplied by the manufacturer
EU  </t>
    </r>
    <r>
      <rPr>
        <u/>
        <sz val="10"/>
        <rFont val="Times New Roman"/>
        <family val="1"/>
      </rPr>
      <t>REGULATION (EU) 2017/745</t>
    </r>
    <r>
      <rPr>
        <sz val="10"/>
        <rFont val="Times New Roman"/>
        <family val="1"/>
      </rPr>
      <t xml:space="preserve"> Medical Device Regulation
JP   </t>
    </r>
    <r>
      <rPr>
        <u/>
        <sz val="10"/>
        <rFont val="Times New Roman"/>
        <family val="1"/>
      </rPr>
      <t>PSEHB Notification No. 0411-8, April 11, 2019</t>
    </r>
    <r>
      <rPr>
        <sz val="10"/>
        <rFont val="Times New Roman"/>
        <family val="1"/>
      </rPr>
      <t xml:space="preserve"> Approval Standard for Contact Lenses [Clause 11.3]
CA  </t>
    </r>
    <r>
      <rPr>
        <u/>
        <sz val="10"/>
        <rFont val="Times New Roman"/>
        <family val="1"/>
      </rPr>
      <t>Guidance Document: Guidance for the Labeling of Medical Devices: 2015</t>
    </r>
    <r>
      <rPr>
        <sz val="10"/>
        <rFont val="Times New Roman"/>
        <family val="1"/>
      </rPr>
      <t xml:space="preserve"> - Section 21 to 23 of the Canadian Medical Device Regulation
AU  </t>
    </r>
    <r>
      <rPr>
        <u/>
        <sz val="10"/>
        <rFont val="Times New Roman"/>
        <family val="1"/>
      </rPr>
      <t>Therapeutic Goods (Medical Devices) Regulation 2002</t>
    </r>
    <r>
      <rPr>
        <sz val="10"/>
        <rFont val="Times New Roman"/>
        <family val="1"/>
      </rPr>
      <t xml:space="preserve"> [Schedule 1, Part 2, Clause 13]
BR   </t>
    </r>
    <r>
      <rPr>
        <u/>
        <sz val="10"/>
        <rFont val="Times New Roman"/>
        <family val="1"/>
      </rPr>
      <t>Resolution RDC No. 665 Of March 30, 2022</t>
    </r>
    <r>
      <rPr>
        <sz val="10"/>
        <rFont val="Times New Roman"/>
        <family val="1"/>
      </rPr>
      <t xml:space="preserve"> [Clause 5.2]
</t>
    </r>
  </si>
  <si>
    <t>VIS-DI-002621</t>
  </si>
  <si>
    <t>CHR-55</t>
  </si>
  <si>
    <r>
      <rPr>
        <b/>
        <sz val="10"/>
        <rFont val="Times New Roman"/>
        <family val="1"/>
      </rPr>
      <t>Classification of UV Absorptive Contact Lens</t>
    </r>
    <r>
      <rPr>
        <sz val="10"/>
        <color indexed="36"/>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FDA Premarket Notification [510(k)] Guidance Document for Daily Wear Contact Lenses: 1994</t>
    </r>
    <r>
      <rPr>
        <sz val="10"/>
        <rFont val="Times New Roman"/>
        <family val="1"/>
      </rPr>
      <t xml:space="preserve"> [pp. 138-139]
</t>
    </r>
  </si>
  <si>
    <t>VIS-DI-002622</t>
  </si>
  <si>
    <t>CHR-56</t>
  </si>
  <si>
    <r>
      <t xml:space="preserve">The product labeling </t>
    </r>
    <r>
      <rPr>
        <sz val="10"/>
        <rFont val="Times New Roman"/>
        <family val="1"/>
      </rPr>
      <t xml:space="preserve">must meet the requirements of the </t>
    </r>
    <r>
      <rPr>
        <b/>
        <sz val="10"/>
        <rFont val="Times New Roman"/>
        <family val="1"/>
      </rPr>
      <t xml:space="preserve">Unique Device Identification (UDI)
Per:
</t>
    </r>
    <r>
      <rPr>
        <sz val="10"/>
        <rFont val="Times New Roman"/>
        <family val="1"/>
      </rPr>
      <t xml:space="preserve">US  </t>
    </r>
    <r>
      <rPr>
        <u/>
        <sz val="10"/>
        <rFont val="Times New Roman"/>
        <family val="1"/>
      </rPr>
      <t>FDA Document Citation 78 FR 58785</t>
    </r>
    <r>
      <rPr>
        <sz val="10"/>
        <rFont val="Times New Roman"/>
        <family val="1"/>
      </rPr>
      <t xml:space="preserve"> Unique Device Identification System (Document No. 2013-23059) [pp. 58785-58828]
EU  </t>
    </r>
    <r>
      <rPr>
        <u/>
        <sz val="10"/>
        <rFont val="Times New Roman"/>
        <family val="1"/>
      </rPr>
      <t>REGULATION (EU) 2017/745</t>
    </r>
    <r>
      <rPr>
        <sz val="10"/>
        <rFont val="Times New Roman"/>
        <family val="1"/>
      </rPr>
      <t xml:space="preserve"> Medical Device Regulation
</t>
    </r>
  </si>
  <si>
    <t>QP-0203</t>
  </si>
  <si>
    <r>
      <t xml:space="preserve">
</t>
    </r>
    <r>
      <rPr>
        <b/>
        <sz val="10"/>
        <color indexed="12"/>
        <rFont val="Times New Roman"/>
        <family val="1"/>
      </rPr>
      <t>R-3116</t>
    </r>
    <r>
      <rPr>
        <sz val="10"/>
        <rFont val="Times New Roman"/>
        <family val="1"/>
      </rPr>
      <t xml:space="preserve">: 30 Pack  - Folding Carton
</t>
    </r>
    <r>
      <rPr>
        <b/>
        <sz val="10"/>
        <color rgb="FF2E01FF"/>
        <rFont val="Times New Roman"/>
        <family val="1"/>
      </rPr>
      <t>R-3424:</t>
    </r>
    <r>
      <rPr>
        <b/>
        <sz val="10"/>
        <color indexed="10"/>
        <rFont val="Times New Roman"/>
        <family val="1"/>
      </rPr>
      <t xml:space="preserve"> </t>
    </r>
    <r>
      <rPr>
        <sz val="10"/>
        <rFont val="Times New Roman"/>
        <family val="1"/>
      </rPr>
      <t xml:space="preserve">5 and 10 Pack Folding Carton
</t>
    </r>
    <r>
      <rPr>
        <b/>
        <sz val="10"/>
        <color theme="9" tint="-0.249977111117893"/>
        <rFont val="Times New Roman"/>
        <family val="1"/>
      </rPr>
      <t xml:space="preserve"> (to be updated to include Chroma in eDMS in Phase 3) </t>
    </r>
  </si>
  <si>
    <t>VIS-DI-002624</t>
  </si>
  <si>
    <t>CHR-58</t>
  </si>
  <si>
    <r>
      <rPr>
        <b/>
        <sz val="10"/>
        <rFont val="Times New Roman"/>
        <family val="1"/>
      </rPr>
      <t xml:space="preserve">Sterility Assurance Level (SAL)
Requirement: </t>
    </r>
    <r>
      <rPr>
        <sz val="10"/>
        <rFont val="Times New Roman"/>
        <family val="1"/>
      </rPr>
      <t>≤ 10</t>
    </r>
    <r>
      <rPr>
        <vertAlign val="superscript"/>
        <sz val="10"/>
        <rFont val="Times New Roman"/>
        <family val="1"/>
      </rPr>
      <t>-6</t>
    </r>
    <r>
      <rPr>
        <sz val="10"/>
        <rFont val="Times New Roman"/>
        <family val="1"/>
      </rPr>
      <t xml:space="preserve"> (probability)</t>
    </r>
    <r>
      <rPr>
        <b/>
        <sz val="10"/>
        <rFont val="Times New Roman"/>
        <family val="1"/>
      </rPr>
      <t xml:space="preserve">
</t>
    </r>
    <r>
      <rPr>
        <sz val="10"/>
        <rFont val="Times New Roman"/>
        <family val="1"/>
      </rPr>
      <t xml:space="preserve">
</t>
    </r>
    <r>
      <rPr>
        <b/>
        <sz val="10"/>
        <rFont val="Times New Roman"/>
        <family val="1"/>
      </rPr>
      <t>Per:</t>
    </r>
    <r>
      <rPr>
        <sz val="10"/>
        <rFont val="Times New Roman"/>
        <family val="1"/>
      </rPr>
      <t xml:space="preserve">
US   </t>
    </r>
    <r>
      <rPr>
        <u/>
        <sz val="10"/>
        <rFont val="Times New Roman"/>
        <family val="1"/>
      </rPr>
      <t>FDA Premarket Notification [510(k)] Guidance Document for Daily Wear Contact Lenses: 1994</t>
    </r>
    <r>
      <rPr>
        <sz val="10"/>
        <rFont val="Times New Roman"/>
        <family val="1"/>
      </rPr>
      <t xml:space="preserve"> [pp. 39]</t>
    </r>
    <r>
      <rPr>
        <u/>
        <sz val="10"/>
        <rFont val="Times New Roman"/>
        <family val="1"/>
      </rPr>
      <t xml:space="preserve">
</t>
    </r>
    <r>
      <rPr>
        <sz val="10"/>
        <rFont val="Times New Roman"/>
        <family val="1"/>
      </rPr>
      <t xml:space="preserve">JP    </t>
    </r>
    <r>
      <rPr>
        <u/>
        <sz val="10"/>
        <rFont val="Times New Roman"/>
        <family val="1"/>
      </rPr>
      <t>PSEHB Notification No. 0411-8, April 11, 2019</t>
    </r>
    <r>
      <rPr>
        <sz val="10"/>
        <rFont val="Times New Roman"/>
        <family val="1"/>
      </rPr>
      <t xml:space="preserve"> Approval Standard for Contact Lenses [Clause 9.0]
CN  </t>
    </r>
    <r>
      <rPr>
        <u/>
        <sz val="10"/>
        <rFont val="Times New Roman"/>
        <family val="1"/>
      </rPr>
      <t>GB 11417.3-2012</t>
    </r>
    <r>
      <rPr>
        <sz val="10"/>
        <rFont val="Times New Roman"/>
        <family val="1"/>
      </rPr>
      <t xml:space="preserve"> Ophthalmic optics - Contact lenses - Part 3: Soft Contact Lenses [Point 4.6]
</t>
    </r>
  </si>
  <si>
    <t>VAL-0006</t>
  </si>
  <si>
    <t>VIS-DI-002625</t>
  </si>
  <si>
    <t>CHR-59</t>
  </si>
  <si>
    <r>
      <rPr>
        <b/>
        <sz val="10"/>
        <rFont val="Times New Roman"/>
        <family val="1"/>
      </rPr>
      <t xml:space="preserve">Lens compatible with rewetting drops
Requirement: </t>
    </r>
    <r>
      <rPr>
        <sz val="10"/>
        <rFont val="Times New Roman"/>
        <family val="1"/>
      </rPr>
      <t xml:space="preserve">define preservative uptake and release
</t>
    </r>
    <r>
      <rPr>
        <b/>
        <sz val="10"/>
        <rFont val="Times New Roman"/>
        <family val="1"/>
      </rPr>
      <t>Per:</t>
    </r>
    <r>
      <rPr>
        <sz val="10"/>
        <rFont val="Times New Roman"/>
        <family val="1"/>
      </rPr>
      <t xml:space="preserve">
US   </t>
    </r>
    <r>
      <rPr>
        <u/>
        <sz val="10"/>
        <rFont val="Times New Roman"/>
        <family val="1"/>
      </rPr>
      <t>ISO 11986:2017</t>
    </r>
    <r>
      <rPr>
        <sz val="10"/>
        <rFont val="Times New Roman"/>
        <family val="1"/>
      </rPr>
      <t xml:space="preserve"> Ophthalmic optics - Contact lenses and contact lens care products - Determination of preservative uptake and release
EU   </t>
    </r>
    <r>
      <rPr>
        <u/>
        <sz val="10"/>
        <rFont val="Times New Roman"/>
        <family val="1"/>
      </rPr>
      <t>EN ISO 11986:2017</t>
    </r>
    <r>
      <rPr>
        <sz val="10"/>
        <rFont val="Times New Roman"/>
        <family val="1"/>
      </rPr>
      <t xml:space="preserve"> Ophthalmic optics - Contact lenses and contact lens care products - Determination of preservative uptake and release
</t>
    </r>
  </si>
  <si>
    <r>
      <rPr>
        <b/>
        <sz val="10"/>
        <color rgb="FF0000FF"/>
        <rFont val="Times New Roman"/>
        <family val="1"/>
      </rPr>
      <t>DMR-0036</t>
    </r>
    <r>
      <rPr>
        <sz val="10"/>
        <rFont val="Times New Roman"/>
        <family val="1"/>
      </rPr>
      <t xml:space="preserve">: 1-Day Acuvue Define Brand Contact Lenses with Lacreon (etafilcon A) Device Master Record </t>
    </r>
    <r>
      <rPr>
        <b/>
        <sz val="10"/>
        <color theme="9" tint="-0.249977111117893"/>
        <rFont val="Times New Roman"/>
        <family val="1"/>
      </rPr>
      <t xml:space="preserve">(to be updated to include Chroma in eDMS in Phase 3) </t>
    </r>
  </si>
  <si>
    <t>VIS-DI-002626</t>
  </si>
  <si>
    <t>CHR-60</t>
  </si>
  <si>
    <r>
      <rPr>
        <b/>
        <sz val="10"/>
        <rFont val="Times New Roman"/>
        <family val="1"/>
      </rPr>
      <t>Genotoxicity</t>
    </r>
    <r>
      <rPr>
        <sz val="10"/>
        <rFont val="Times New Roman"/>
        <family val="1"/>
      </rPr>
      <t xml:space="preserve">
</t>
    </r>
    <r>
      <rPr>
        <b/>
        <sz val="10"/>
        <rFont val="Times New Roman"/>
        <family val="1"/>
      </rPr>
      <t>Requirement:</t>
    </r>
    <r>
      <rPr>
        <sz val="10"/>
        <rFont val="Times New Roman"/>
        <family val="1"/>
      </rPr>
      <t xml:space="preserve"> non-genotoxic
</t>
    </r>
    <r>
      <rPr>
        <sz val="5"/>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32-35]</t>
    </r>
    <r>
      <rPr>
        <u/>
        <sz val="10"/>
        <rFont val="Times New Roman"/>
        <family val="1"/>
      </rPr>
      <t xml:space="preserve">
</t>
    </r>
    <r>
      <rPr>
        <sz val="10"/>
        <rFont val="Times New Roman"/>
        <family val="1"/>
      </rPr>
      <t xml:space="preserve">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3]
</t>
    </r>
  </si>
  <si>
    <t>ISO 10993-3
EN ISO 10993-3</t>
  </si>
  <si>
    <t>VIS-DI-002627</t>
  </si>
  <si>
    <t>CHR-61</t>
  </si>
  <si>
    <r>
      <rPr>
        <b/>
        <sz val="10"/>
        <rFont val="Times New Roman"/>
        <family val="1"/>
      </rPr>
      <t xml:space="preserve">Systemic Toxicity
Requirement: </t>
    </r>
    <r>
      <rPr>
        <sz val="10"/>
        <rFont val="Times New Roman"/>
        <family val="1"/>
      </rPr>
      <t xml:space="preserve">non-toxic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32-35]
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6]
CN  </t>
    </r>
    <r>
      <rPr>
        <u/>
        <sz val="10"/>
        <rFont val="Times New Roman"/>
        <family val="1"/>
      </rPr>
      <t>GB 11417.3-2012</t>
    </r>
    <r>
      <rPr>
        <sz val="10"/>
        <rFont val="Times New Roman"/>
        <family val="1"/>
      </rPr>
      <t xml:space="preserve"> Ophthalmic optics - Contact lenses - Part 3: Soft Contact Lenses [Point 4.5.2]
</t>
    </r>
  </si>
  <si>
    <t>ISO 10993-11
EN ISO 10993-11</t>
  </si>
  <si>
    <t>VIS-DI-002628</t>
  </si>
  <si>
    <t>CHR-62</t>
  </si>
  <si>
    <r>
      <rPr>
        <b/>
        <sz val="10"/>
        <rFont val="Times New Roman"/>
        <family val="1"/>
      </rPr>
      <t xml:space="preserve">Cytotoxicity
Requirement: </t>
    </r>
    <r>
      <rPr>
        <sz val="10"/>
        <rFont val="Times New Roman"/>
        <family val="1"/>
      </rPr>
      <t xml:space="preserve">non-cytotoxic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32-35]
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1]</t>
    </r>
    <r>
      <rPr>
        <b/>
        <sz val="10"/>
        <rFont val="Times New Roman"/>
        <family val="1"/>
      </rPr>
      <t xml:space="preserve">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4.5.4]
</t>
    </r>
  </si>
  <si>
    <t>ISO 10993-5
EN ISO 10993-5</t>
  </si>
  <si>
    <t>VIS-DI-002629</t>
  </si>
  <si>
    <t>CHR-63</t>
  </si>
  <si>
    <r>
      <rPr>
        <b/>
        <sz val="10"/>
        <rFont val="Times New Roman"/>
        <family val="1"/>
      </rPr>
      <t xml:space="preserve">Sensitization
Requirement: </t>
    </r>
    <r>
      <rPr>
        <sz val="10"/>
        <rFont val="Times New Roman"/>
        <family val="1"/>
      </rPr>
      <t xml:space="preserve">non-sensitizer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32-35]
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2]
CN  </t>
    </r>
    <r>
      <rPr>
        <u/>
        <sz val="10"/>
        <rFont val="Times New Roman"/>
        <family val="1"/>
      </rPr>
      <t>GB 11417.3-2012</t>
    </r>
    <r>
      <rPr>
        <sz val="10"/>
        <rFont val="Times New Roman"/>
        <family val="1"/>
      </rPr>
      <t xml:space="preserve"> Ophthalmic optics - Contact lenses - Part 3: Soft Contact Lenses [Point 4.5.5]
</t>
    </r>
  </si>
  <si>
    <t>ISO 10993-10
EN ISO 10993-10</t>
  </si>
  <si>
    <t>VIS-DI-002630</t>
  </si>
  <si>
    <t>CHR-64</t>
  </si>
  <si>
    <r>
      <rPr>
        <b/>
        <sz val="10"/>
        <rFont val="Times New Roman"/>
        <family val="1"/>
      </rPr>
      <t xml:space="preserve">22-Day Ocular Irritation Study (also known as Rabbit Eye Compatibility Test)
Requirement: </t>
    </r>
    <r>
      <rPr>
        <sz val="10"/>
        <rFont val="Times New Roman"/>
        <family val="1"/>
      </rPr>
      <t xml:space="preserve">non-ocular irritant
</t>
    </r>
    <r>
      <rPr>
        <sz val="5"/>
        <rFont val="Times New Roman"/>
        <family val="1"/>
      </rPr>
      <t xml:space="preserve">
</t>
    </r>
    <r>
      <rPr>
        <b/>
        <sz val="10"/>
        <rFont val="Times New Roman"/>
        <family val="1"/>
      </rPr>
      <t>Per:</t>
    </r>
    <r>
      <rPr>
        <sz val="10"/>
        <rFont val="Times New Roman"/>
        <family val="1"/>
      </rPr>
      <t xml:space="preserve">
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36-37]
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5, Clause 6.1]
CN  </t>
    </r>
    <r>
      <rPr>
        <u/>
        <sz val="10"/>
        <rFont val="Times New Roman"/>
        <family val="1"/>
      </rPr>
      <t>GB 11417.3-2012</t>
    </r>
    <r>
      <rPr>
        <sz val="10"/>
        <rFont val="Times New Roman"/>
        <family val="1"/>
      </rPr>
      <t xml:space="preserve"> Ophthalmic optics - Contact lenses - Part 3: Soft Contact Lenses [Point 4.5.6]
</t>
    </r>
  </si>
  <si>
    <t>ISO 9394
EN ISO 9394</t>
  </si>
  <si>
    <t>VIS-DI-002631</t>
  </si>
  <si>
    <t>CHR-65</t>
  </si>
  <si>
    <r>
      <rPr>
        <b/>
        <sz val="10"/>
        <rFont val="Times New Roman"/>
        <family val="1"/>
      </rPr>
      <t xml:space="preserve">Acute Ocular Irritation
Requirement: </t>
    </r>
    <r>
      <rPr>
        <sz val="10"/>
        <rFont val="Times New Roman"/>
        <family val="1"/>
      </rPr>
      <t xml:space="preserve">non-ocular irritant
</t>
    </r>
    <r>
      <rPr>
        <sz val="5"/>
        <rFont val="Times New Roman"/>
        <family val="1"/>
      </rPr>
      <t xml:space="preserve">
</t>
    </r>
    <r>
      <rPr>
        <b/>
        <sz val="10"/>
        <rFont val="Times New Roman"/>
        <family val="1"/>
      </rPr>
      <t xml:space="preserve">Per:
</t>
    </r>
    <r>
      <rPr>
        <sz val="10"/>
        <rFont val="Times New Roman"/>
        <family val="1"/>
      </rPr>
      <t xml:space="preserve">US   </t>
    </r>
    <r>
      <rPr>
        <u/>
        <sz val="10"/>
        <rFont val="Times New Roman"/>
        <family val="1"/>
      </rPr>
      <t>ISO 10993-1:2018</t>
    </r>
    <r>
      <rPr>
        <sz val="10"/>
        <rFont val="Times New Roman"/>
        <family val="1"/>
      </rPr>
      <t xml:space="preserve"> Biological evaluation of medical devices - Part 1: Evaluation and testing within a risk management process
US   </t>
    </r>
    <r>
      <rPr>
        <u/>
        <sz val="10"/>
        <rFont val="Times New Roman"/>
        <family val="1"/>
      </rPr>
      <t>FDA Premarket Notification [510(k)] Guidance Document for Daily Wear Contact Lenses: 1994</t>
    </r>
    <r>
      <rPr>
        <sz val="10"/>
        <rFont val="Times New Roman"/>
        <family val="1"/>
      </rPr>
      <t xml:space="preserve"> [pp. 32-35]
EU  </t>
    </r>
    <r>
      <rPr>
        <u/>
        <sz val="10"/>
        <rFont val="Times New Roman"/>
        <family val="1"/>
      </rPr>
      <t>EN ISO 10993-1:2020</t>
    </r>
    <r>
      <rPr>
        <sz val="10"/>
        <rFont val="Times New Roman"/>
        <family val="1"/>
      </rPr>
      <t xml:space="preserve"> Biological evaluation of medical devices - Part 1: Evaluation and testing within a risk management process
</t>
    </r>
    <r>
      <rPr>
        <b/>
        <sz val="10"/>
        <rFont val="Times New Roman"/>
        <family val="1"/>
      </rPr>
      <t>Per:</t>
    </r>
    <r>
      <rPr>
        <sz val="10"/>
        <rFont val="Times New Roman"/>
        <family val="1"/>
      </rPr>
      <t xml:space="preserve">
JP   </t>
    </r>
    <r>
      <rPr>
        <u/>
        <sz val="10"/>
        <rFont val="Times New Roman"/>
        <family val="1"/>
      </rPr>
      <t>PFSB/ELD/OMDE Notification No. 0301-20, March 1, 2012</t>
    </r>
    <r>
      <rPr>
        <sz val="10"/>
        <rFont val="Times New Roman"/>
        <family val="1"/>
      </rPr>
      <t xml:space="preserve"> Basic concepts for evaluating biological safety of medical devices required for application of manufacturing/marketing approval [Part 5]
CN  </t>
    </r>
    <r>
      <rPr>
        <u/>
        <sz val="10"/>
        <rFont val="Times New Roman"/>
        <family val="1"/>
      </rPr>
      <t>GB 11417.3-2012</t>
    </r>
    <r>
      <rPr>
        <sz val="10"/>
        <rFont val="Times New Roman"/>
        <family val="1"/>
      </rPr>
      <t xml:space="preserve"> Ophthalmic optics - Contact lenses - Part 3: Soft Contact Lenses [Point 4.5.3]
</t>
    </r>
  </si>
  <si>
    <t>VIS-DI-002632</t>
  </si>
  <si>
    <t>CHR-66</t>
  </si>
  <si>
    <r>
      <rPr>
        <b/>
        <sz val="10"/>
        <rFont val="Times New Roman"/>
        <family val="1"/>
      </rPr>
      <t xml:space="preserve">Shelf-Life
Requirement: </t>
    </r>
    <r>
      <rPr>
        <sz val="10"/>
        <rFont val="Times New Roman"/>
        <family val="1"/>
      </rPr>
      <t xml:space="preserve">product and packaging perform as designed over the entire labeled </t>
    </r>
    <r>
      <rPr>
        <b/>
        <sz val="10"/>
        <rFont val="Times New Roman"/>
        <family val="1"/>
      </rPr>
      <t>expiry</t>
    </r>
    <r>
      <rPr>
        <sz val="10"/>
        <rFont val="Times New Roman"/>
        <family val="1"/>
      </rPr>
      <t xml:space="preserve"> period.
Expiry period manufacturer defined at minimum of 5 years
</t>
    </r>
    <r>
      <rPr>
        <b/>
        <sz val="10"/>
        <rFont val="Times New Roman"/>
        <family val="1"/>
      </rPr>
      <t>Per:</t>
    </r>
    <r>
      <rPr>
        <sz val="10"/>
        <rFont val="Times New Roman"/>
        <family val="1"/>
      </rPr>
      <t xml:space="preserve"> 
US   </t>
    </r>
    <r>
      <rPr>
        <u/>
        <sz val="10"/>
        <rFont val="Times New Roman"/>
        <family val="1"/>
      </rPr>
      <t>ISO 11987:2012</t>
    </r>
    <r>
      <rPr>
        <sz val="10"/>
        <rFont val="Times New Roman"/>
        <family val="1"/>
      </rPr>
      <t xml:space="preserve"> Ophthalmic optics - Contact lenses - Determination of shelf-life
US   </t>
    </r>
    <r>
      <rPr>
        <u/>
        <sz val="10"/>
        <rFont val="Times New Roman"/>
        <family val="1"/>
      </rPr>
      <t>FDA Premarket Notification [510(k)] Guidance Document for Daily Wear Contact Lenses: 1994</t>
    </r>
    <r>
      <rPr>
        <sz val="10"/>
        <rFont val="Times New Roman"/>
        <family val="1"/>
      </rPr>
      <t xml:space="preserve"> [pp. 19]
EU   </t>
    </r>
    <r>
      <rPr>
        <u/>
        <sz val="10"/>
        <rFont val="Times New Roman"/>
        <family val="1"/>
      </rPr>
      <t>EN ISO 11987:2012</t>
    </r>
    <r>
      <rPr>
        <sz val="10"/>
        <rFont val="Times New Roman"/>
        <family val="1"/>
      </rPr>
      <t xml:space="preserve"> Ophthalmic optics - Contact lenses - Determination of shelf-life
JP    </t>
    </r>
    <r>
      <rPr>
        <u/>
        <sz val="10"/>
        <rFont val="Times New Roman"/>
        <family val="1"/>
      </rPr>
      <t>PSEHB Notification No. 0411-8, April 11, 2019</t>
    </r>
    <r>
      <rPr>
        <sz val="10"/>
        <rFont val="Times New Roman"/>
        <family val="1"/>
      </rPr>
      <t xml:space="preserve"> Approval Standard for Contact Lenses [Clause 8.0]
CA  </t>
    </r>
    <r>
      <rPr>
        <u/>
        <sz val="10"/>
        <rFont val="Times New Roman"/>
        <family val="1"/>
      </rPr>
      <t>Canadian Medical Device Regulations, SOR/98-282: 1998</t>
    </r>
    <r>
      <rPr>
        <sz val="10"/>
        <rFont val="Times New Roman"/>
        <family val="1"/>
      </rPr>
      <t xml:space="preserve"> [pp. 9, Clause 13]
AU  </t>
    </r>
    <r>
      <rPr>
        <u/>
        <sz val="10"/>
        <rFont val="Times New Roman"/>
        <family val="1"/>
      </rPr>
      <t>Therapeutic Goods (Medical Devices) Regulation 2002</t>
    </r>
    <r>
      <rPr>
        <sz val="10"/>
        <rFont val="Times New Roman"/>
        <family val="1"/>
      </rPr>
      <t xml:space="preserve">
BR   </t>
    </r>
    <r>
      <rPr>
        <u/>
        <sz val="10"/>
        <rFont val="Times New Roman"/>
        <family val="1"/>
      </rPr>
      <t>Resolution RDC No. 665 Of March 30, 2022</t>
    </r>
    <r>
      <rPr>
        <sz val="10"/>
        <rFont val="Times New Roman"/>
        <family val="1"/>
      </rPr>
      <t xml:space="preserve">
CN  </t>
    </r>
    <r>
      <rPr>
        <u/>
        <sz val="10"/>
        <rFont val="Times New Roman"/>
        <family val="1"/>
      </rPr>
      <t>GB 11417.3-2012</t>
    </r>
    <r>
      <rPr>
        <sz val="10"/>
        <rFont val="Times New Roman"/>
        <family val="1"/>
      </rPr>
      <t xml:space="preserve"> Ophthalmic optics - Contact lenses - Part 3: Soft Contact Lenses [Point 4.7.2]
</t>
    </r>
  </si>
  <si>
    <t>QP-0084</t>
  </si>
  <si>
    <r>
      <rPr>
        <b/>
        <sz val="10"/>
        <rFont val="Times New Roman"/>
        <family val="1"/>
      </rPr>
      <t>VIS-DO-001542</t>
    </r>
    <r>
      <rPr>
        <sz val="10"/>
        <rFont val="Times New Roman"/>
        <family val="1"/>
      </rPr>
      <t xml:space="preserve">: Chroma Contact Lens Product Requirements
</t>
    </r>
    <r>
      <rPr>
        <b/>
        <sz val="10"/>
        <color indexed="12"/>
        <rFont val="Times New Roman"/>
        <family val="1"/>
      </rPr>
      <t>R-3281</t>
    </r>
    <r>
      <rPr>
        <sz val="10"/>
        <rFont val="Times New Roman"/>
        <family val="1"/>
      </rPr>
      <t>: JJVC Injection Molded Primary Lens Package Bowl</t>
    </r>
    <r>
      <rPr>
        <b/>
        <sz val="10"/>
        <color indexed="12"/>
        <rFont val="Times New Roman"/>
        <family val="1"/>
      </rPr>
      <t xml:space="preserve">
R-3443</t>
    </r>
    <r>
      <rPr>
        <sz val="10"/>
        <rFont val="Times New Roman"/>
        <family val="1"/>
      </rPr>
      <t>:</t>
    </r>
    <r>
      <rPr>
        <b/>
        <sz val="10"/>
        <rFont val="Times New Roman"/>
        <family val="1"/>
      </rPr>
      <t xml:space="preserve"> </t>
    </r>
    <r>
      <rPr>
        <sz val="10"/>
        <rFont val="Times New Roman"/>
        <family val="1"/>
      </rPr>
      <t>86 mm Preprinted Foil Lidstock - Constantia</t>
    </r>
    <r>
      <rPr>
        <b/>
        <sz val="10"/>
        <color indexed="12"/>
        <rFont val="Times New Roman"/>
        <family val="1"/>
      </rPr>
      <t xml:space="preserve">
R-3114</t>
    </r>
    <r>
      <rPr>
        <sz val="10"/>
        <rFont val="Times New Roman"/>
        <family val="1"/>
      </rPr>
      <t>: General Purpose Polypropylene</t>
    </r>
  </si>
  <si>
    <t>VIS-DI-002633</t>
  </si>
  <si>
    <t>CHR-67</t>
  </si>
  <si>
    <r>
      <rPr>
        <b/>
        <sz val="10"/>
        <color indexed="8"/>
        <rFont val="Times New Roman"/>
        <family val="1"/>
      </rPr>
      <t>Material Description</t>
    </r>
    <r>
      <rPr>
        <sz val="10"/>
        <color indexed="36"/>
        <rFont val="Times New Roman"/>
        <family val="1"/>
      </rPr>
      <t xml:space="preserve">
</t>
    </r>
    <r>
      <rPr>
        <b/>
        <sz val="10"/>
        <color indexed="10"/>
        <rFont val="Times New Roman"/>
        <family val="1"/>
      </rPr>
      <t xml:space="preserve">
</t>
    </r>
    <r>
      <rPr>
        <b/>
        <sz val="10"/>
        <rFont val="Times New Roman"/>
        <family val="1"/>
      </rPr>
      <t>Requirement:</t>
    </r>
    <r>
      <rPr>
        <sz val="10"/>
        <rFont val="Times New Roman"/>
        <family val="1"/>
      </rPr>
      <t xml:space="preserve"> for the colored or darkly tinted contact lenses, the name, the classification and the compound ratio of the coloring pigments should be provided. Meanwhile, the method for testing the safety and the reliability of the coloring pigments should also be provided.
</t>
    </r>
    <r>
      <rPr>
        <b/>
        <sz val="10"/>
        <color indexed="10"/>
        <rFont val="Times New Roman"/>
        <family val="1"/>
      </rPr>
      <t xml:space="preserve">
</t>
    </r>
    <r>
      <rPr>
        <b/>
        <sz val="10"/>
        <rFont val="Times New Roman"/>
        <family val="1"/>
      </rPr>
      <t xml:space="preserve">Per: </t>
    </r>
    <r>
      <rPr>
        <sz val="10"/>
        <rFont val="Times New Roman"/>
        <family val="1"/>
      </rPr>
      <t xml:space="preserve">
CN  </t>
    </r>
    <r>
      <rPr>
        <u/>
        <sz val="10"/>
        <rFont val="Times New Roman"/>
        <family val="1"/>
      </rPr>
      <t>GB 11417.3-2012</t>
    </r>
    <r>
      <rPr>
        <sz val="10"/>
        <rFont val="Times New Roman"/>
        <family val="1"/>
      </rPr>
      <t xml:space="preserve"> Ophthalmic optics - Contact lenses - Part 3: Soft Contact Lenses [Point 4.4.1]</t>
    </r>
    <r>
      <rPr>
        <u/>
        <sz val="10"/>
        <rFont val="Times New Roman"/>
        <family val="1"/>
      </rPr>
      <t xml:space="preserve">
</t>
    </r>
  </si>
  <si>
    <t>TM-0537</t>
  </si>
  <si>
    <r>
      <rPr>
        <b/>
        <sz val="10"/>
        <color indexed="12"/>
        <rFont val="Times New Roman"/>
        <family val="1"/>
      </rPr>
      <t>R-3267</t>
    </r>
    <r>
      <rPr>
        <sz val="10"/>
        <rFont val="Times New Roman"/>
        <family val="1"/>
      </rPr>
      <t xml:space="preserve">: 1D Colourants for Cosmetic Tint Lenses
</t>
    </r>
    <r>
      <rPr>
        <b/>
        <sz val="10"/>
        <rFont val="Times New Roman"/>
        <family val="1"/>
      </rPr>
      <t>VIS-DO-001541</t>
    </r>
    <r>
      <rPr>
        <sz val="10"/>
        <rFont val="Times New Roman"/>
        <family val="1"/>
      </rPr>
      <t>: Chroma Contact Lens Product Characteristics</t>
    </r>
  </si>
  <si>
    <t>VIS-DI-002634</t>
  </si>
  <si>
    <t>CHR-68</t>
  </si>
  <si>
    <r>
      <rPr>
        <b/>
        <sz val="10"/>
        <rFont val="Times New Roman"/>
        <family val="1"/>
      </rPr>
      <t xml:space="preserve">Fading Test
</t>
    </r>
    <r>
      <rPr>
        <sz val="10"/>
        <rFont val="Times New Roman"/>
        <family val="1"/>
      </rPr>
      <t xml:space="preserve">
</t>
    </r>
    <r>
      <rPr>
        <b/>
        <sz val="10"/>
        <rFont val="Times New Roman"/>
        <family val="1"/>
      </rPr>
      <t>Requirement:</t>
    </r>
    <r>
      <rPr>
        <sz val="10"/>
        <rFont val="Times New Roman"/>
        <family val="1"/>
      </rPr>
      <t xml:space="preserve"> for the beauty or enhanced color contact lenses, fading test should be carried out.
</t>
    </r>
    <r>
      <rPr>
        <sz val="10"/>
        <color indexed="36"/>
        <rFont val="Times New Roman"/>
        <family val="1"/>
      </rPr>
      <t xml:space="preserve">
</t>
    </r>
    <r>
      <rPr>
        <b/>
        <sz val="10"/>
        <rFont val="Times New Roman"/>
        <family val="1"/>
      </rPr>
      <t>Per:</t>
    </r>
    <r>
      <rPr>
        <b/>
        <u/>
        <sz val="10"/>
        <rFont val="Times New Roman"/>
        <family val="1"/>
      </rPr>
      <t xml:space="preserve">
</t>
    </r>
    <r>
      <rPr>
        <sz val="10"/>
        <rFont val="Times New Roman"/>
        <family val="1"/>
      </rPr>
      <t xml:space="preserve">CN  </t>
    </r>
    <r>
      <rPr>
        <u/>
        <sz val="10"/>
        <rFont val="Times New Roman"/>
        <family val="1"/>
      </rPr>
      <t>GB 11417.3-2012</t>
    </r>
    <r>
      <rPr>
        <sz val="10"/>
        <rFont val="Times New Roman"/>
        <family val="1"/>
      </rPr>
      <t xml:space="preserve"> Ophthalmic optics - Contact lenses - Part 3: Soft Contact Lenses [Point 4.4.2.4]
</t>
    </r>
  </si>
  <si>
    <r>
      <rPr>
        <b/>
        <sz val="10"/>
        <rFont val="Times New Roman"/>
        <family val="1"/>
      </rPr>
      <t>VIS-TD-104604</t>
    </r>
    <r>
      <rPr>
        <sz val="10"/>
        <rFont val="Times New Roman"/>
        <family val="1"/>
      </rPr>
      <t>: Color Fading Memo</t>
    </r>
  </si>
  <si>
    <t xml:space="preserve">VIS-UR-000460 </t>
  </si>
  <si>
    <t xml:space="preserve">Easy to Insert and Remove </t>
  </si>
  <si>
    <t>VIS-DI-002635</t>
  </si>
  <si>
    <t>CHR-69</t>
  </si>
  <si>
    <r>
      <rPr>
        <b/>
        <sz val="10"/>
        <rFont val="Times New Roman"/>
        <family val="1"/>
      </rPr>
      <t xml:space="preserve">Visibility Tint Color
Requirement: </t>
    </r>
    <r>
      <rPr>
        <sz val="10"/>
        <rFont val="Times New Roman"/>
        <family val="1"/>
      </rPr>
      <t xml:space="preserve">manufacturer defined at visibility tint must be blue.
</t>
    </r>
    <r>
      <rPr>
        <b/>
        <sz val="10"/>
        <rFont val="Times New Roman"/>
        <family val="1"/>
      </rPr>
      <t xml:space="preserve">Per:
</t>
    </r>
    <r>
      <rPr>
        <sz val="10"/>
        <rFont val="Times New Roman"/>
        <family val="1"/>
      </rPr>
      <t xml:space="preserve">Internal requirement
</t>
    </r>
  </si>
  <si>
    <t>TM-0011</t>
  </si>
  <si>
    <t>N</t>
  </si>
  <si>
    <r>
      <t xml:space="preserve">
</t>
    </r>
    <r>
      <rPr>
        <b/>
        <sz val="10"/>
        <rFont val="Times New Roman"/>
        <family val="1"/>
      </rPr>
      <t>VIS-DO-001541</t>
    </r>
    <r>
      <rPr>
        <sz val="10"/>
        <rFont val="Times New Roman"/>
        <family val="1"/>
      </rPr>
      <t xml:space="preserve">: Chroma Contact Lens Product Characteristics
</t>
    </r>
    <r>
      <rPr>
        <b/>
        <sz val="10"/>
        <color indexed="12"/>
        <rFont val="Times New Roman"/>
        <family val="1"/>
      </rPr>
      <t>R-3204</t>
    </r>
    <r>
      <rPr>
        <sz val="10"/>
        <rFont val="Times New Roman"/>
        <family val="1"/>
      </rPr>
      <t>: UV Blocking Reactive Monomer Mix With and Without Visibility Tint - AUVT 3X and TUVT 3X</t>
    </r>
  </si>
  <si>
    <t>VIS-DI-002636</t>
  </si>
  <si>
    <t>CHR-70</t>
  </si>
  <si>
    <r>
      <rPr>
        <b/>
        <sz val="10"/>
        <rFont val="Times New Roman"/>
        <family val="1"/>
      </rPr>
      <t>Clear Layer Coverage
Requirement:</t>
    </r>
    <r>
      <rPr>
        <sz val="10"/>
        <rFont val="Times New Roman"/>
        <family val="1"/>
      </rPr>
      <t xml:space="preserve"> pigments must be fully entrapped within the polymer matrix of the lens.
</t>
    </r>
    <r>
      <rPr>
        <b/>
        <sz val="10"/>
        <rFont val="Times New Roman"/>
        <family val="1"/>
      </rPr>
      <t xml:space="preserve">Per:
</t>
    </r>
    <r>
      <rPr>
        <sz val="10"/>
        <rFont val="Times New Roman"/>
        <family val="1"/>
      </rPr>
      <t>Internal requirement</t>
    </r>
    <r>
      <rPr>
        <b/>
        <sz val="10"/>
        <rFont val="Times New Roman"/>
        <family val="1"/>
      </rPr>
      <t xml:space="preserve">
</t>
    </r>
  </si>
  <si>
    <t>VIS-UR-000456 
VIS-UR-000458 </t>
  </si>
  <si>
    <t>Enhance or Alter the Appearance of the Eye
Fit Acceptance - Cosmetic</t>
  </si>
  <si>
    <t>VIS-DI-002637</t>
  </si>
  <si>
    <t>CHR-71</t>
  </si>
  <si>
    <r>
      <rPr>
        <b/>
        <sz val="10"/>
        <rFont val="Times New Roman"/>
        <family val="1"/>
      </rPr>
      <t>Concentricity</t>
    </r>
    <r>
      <rPr>
        <sz val="10"/>
        <rFont val="Times New Roman"/>
        <family val="1"/>
      </rPr>
      <t xml:space="preserve">
</t>
    </r>
    <r>
      <rPr>
        <b/>
        <sz val="10"/>
        <rFont val="Times New Roman"/>
        <family val="1"/>
      </rPr>
      <t>Requirement:</t>
    </r>
    <r>
      <rPr>
        <sz val="10"/>
        <rFont val="Times New Roman"/>
        <family val="1"/>
      </rPr>
      <t xml:space="preserve"> manufacturer defined  at  ≤ 0.30 mm 
</t>
    </r>
    <r>
      <rPr>
        <b/>
        <sz val="10"/>
        <rFont val="Times New Roman"/>
        <family val="1"/>
      </rPr>
      <t xml:space="preserve">Per:
</t>
    </r>
    <r>
      <rPr>
        <sz val="10"/>
        <rFont val="Times New Roman"/>
        <family val="1"/>
      </rPr>
      <t xml:space="preserve">Internal requirement
</t>
    </r>
  </si>
  <si>
    <t>VIS-DI-002638</t>
  </si>
  <si>
    <t>CHR-72</t>
  </si>
  <si>
    <r>
      <rPr>
        <b/>
        <sz val="10"/>
        <rFont val="Times New Roman"/>
        <family val="1"/>
      </rPr>
      <t>Relative Center Distance</t>
    </r>
    <r>
      <rPr>
        <sz val="10"/>
        <rFont val="Times New Roman"/>
        <family val="1"/>
      </rPr>
      <t xml:space="preserve">
</t>
    </r>
    <r>
      <rPr>
        <b/>
        <sz val="10"/>
        <rFont val="Times New Roman"/>
        <family val="1"/>
      </rPr>
      <t>Requirement:</t>
    </r>
    <r>
      <rPr>
        <sz val="10"/>
        <rFont val="Times New Roman"/>
        <family val="1"/>
      </rPr>
      <t xml:space="preserve"> manufacturer defined  at  ≤ 0.30 mm 
</t>
    </r>
    <r>
      <rPr>
        <b/>
        <sz val="10"/>
        <rFont val="Times New Roman"/>
        <family val="1"/>
      </rPr>
      <t xml:space="preserve">Per:
</t>
    </r>
    <r>
      <rPr>
        <sz val="10"/>
        <rFont val="Times New Roman"/>
        <family val="1"/>
      </rPr>
      <t xml:space="preserve">Internal requirement
</t>
    </r>
  </si>
  <si>
    <t>VIS-DI-002639</t>
  </si>
  <si>
    <t>CHR-73</t>
  </si>
  <si>
    <r>
      <rPr>
        <b/>
        <sz val="10"/>
        <rFont val="Times New Roman"/>
        <family val="1"/>
      </rPr>
      <t>Print Pattern Inner Diameter</t>
    </r>
    <r>
      <rPr>
        <sz val="10"/>
        <rFont val="Times New Roman"/>
        <family val="1"/>
      </rPr>
      <t xml:space="preserve">
</t>
    </r>
    <r>
      <rPr>
        <b/>
        <sz val="10"/>
        <rFont val="Times New Roman"/>
        <family val="1"/>
      </rPr>
      <t>Requirement:</t>
    </r>
    <r>
      <rPr>
        <sz val="10"/>
        <rFont val="Times New Roman"/>
        <family val="1"/>
      </rPr>
      <t xml:space="preserve"> manufacturer defined at &gt;5.00 mm (target 5.54mm)
</t>
    </r>
    <r>
      <rPr>
        <b/>
        <sz val="10"/>
        <rFont val="Times New Roman"/>
        <family val="1"/>
      </rPr>
      <t xml:space="preserve">Per:
</t>
    </r>
    <r>
      <rPr>
        <sz val="10"/>
        <rFont val="Times New Roman"/>
        <family val="1"/>
      </rPr>
      <t xml:space="preserve">Internal requirement
</t>
    </r>
  </si>
  <si>
    <t>VIS-DI-002640</t>
  </si>
  <si>
    <t>CHR-74</t>
  </si>
  <si>
    <r>
      <rPr>
        <b/>
        <sz val="10"/>
        <rFont val="Times New Roman"/>
        <family val="1"/>
      </rPr>
      <t>Print Pattern Outer Diameter
Requirement:</t>
    </r>
    <r>
      <rPr>
        <sz val="10"/>
        <rFont val="Times New Roman"/>
        <family val="1"/>
      </rPr>
      <t xml:space="preserve"> manufacturer defined at  13.01 ±0.30 mm</t>
    </r>
    <r>
      <rPr>
        <b/>
        <sz val="10"/>
        <rFont val="Times New Roman"/>
        <family val="1"/>
      </rPr>
      <t xml:space="preserve">
</t>
    </r>
    <r>
      <rPr>
        <sz val="10"/>
        <rFont val="Times New Roman"/>
        <family val="1"/>
      </rPr>
      <t xml:space="preserve">
</t>
    </r>
    <r>
      <rPr>
        <b/>
        <sz val="10"/>
        <rFont val="Times New Roman"/>
        <family val="1"/>
      </rPr>
      <t xml:space="preserve">Per:
</t>
    </r>
    <r>
      <rPr>
        <sz val="10"/>
        <rFont val="Times New Roman"/>
        <family val="1"/>
      </rPr>
      <t xml:space="preserve">Internal requirement
</t>
    </r>
  </si>
  <si>
    <t>VIS-UR-000456 
VIS-UR-000461</t>
  </si>
  <si>
    <t>Enhance or Alter the Appearance of the Eye
Eye Health</t>
  </si>
  <si>
    <t>VIS-DI-002641</t>
  </si>
  <si>
    <t>CHR-75</t>
  </si>
  <si>
    <r>
      <rPr>
        <b/>
        <sz val="10"/>
        <rFont val="Times New Roman"/>
        <family val="1"/>
      </rPr>
      <t xml:space="preserve">Pattern Colorant
</t>
    </r>
    <r>
      <rPr>
        <sz val="10"/>
        <rFont val="Times New Roman"/>
        <family val="1"/>
      </rPr>
      <t xml:space="preserve">
</t>
    </r>
    <r>
      <rPr>
        <b/>
        <sz val="10"/>
        <rFont val="Times New Roman"/>
        <family val="1"/>
      </rPr>
      <t>Requirement:</t>
    </r>
    <r>
      <rPr>
        <sz val="10"/>
        <rFont val="Times New Roman"/>
        <family val="1"/>
      </rPr>
      <t xml:space="preserve"> every pattern colorant (i.e., final color formulation) must have a colorant part name and number defined and assigned to it
</t>
    </r>
    <r>
      <rPr>
        <b/>
        <sz val="10"/>
        <rFont val="Times New Roman"/>
        <family val="1"/>
      </rPr>
      <t xml:space="preserve">Per:
</t>
    </r>
    <r>
      <rPr>
        <sz val="10"/>
        <rFont val="Times New Roman"/>
        <family val="1"/>
      </rPr>
      <t xml:space="preserve">Internal requirement
</t>
    </r>
  </si>
  <si>
    <t>R-3267</t>
  </si>
  <si>
    <r>
      <rPr>
        <b/>
        <sz val="10"/>
        <color indexed="12"/>
        <rFont val="Times New Roman"/>
        <family val="1"/>
      </rPr>
      <t>R-3267</t>
    </r>
    <r>
      <rPr>
        <sz val="10"/>
        <rFont val="Times New Roman"/>
        <family val="1"/>
      </rPr>
      <t>: 1D Colourants for Cosmetic Tint Lenses</t>
    </r>
  </si>
  <si>
    <t>VIS-UR-000455 
VIS-UR-000461</t>
  </si>
  <si>
    <t>VIS-DI-002642</t>
  </si>
  <si>
    <t>CHR-76</t>
  </si>
  <si>
    <r>
      <rPr>
        <b/>
        <sz val="10"/>
        <rFont val="Times New Roman"/>
        <family val="1"/>
      </rPr>
      <t xml:space="preserve">Reactive Monomer Mix (RMM) Type and Shelf Life
Requirement: </t>
    </r>
    <r>
      <rPr>
        <sz val="10"/>
        <rFont val="Times New Roman"/>
        <family val="1"/>
      </rPr>
      <t xml:space="preserve">formulation to be used and expiry period per </t>
    </r>
    <r>
      <rPr>
        <b/>
        <sz val="10"/>
        <color rgb="FF0000FF"/>
        <rFont val="Times New Roman"/>
        <family val="1"/>
      </rPr>
      <t>R-3204</t>
    </r>
    <r>
      <rPr>
        <sz val="10"/>
        <rFont val="Times New Roman"/>
        <family val="1"/>
      </rPr>
      <t xml:space="preserve"> 
</t>
    </r>
    <r>
      <rPr>
        <b/>
        <sz val="10"/>
        <rFont val="Times New Roman"/>
        <family val="1"/>
      </rPr>
      <t xml:space="preserve">Per:
</t>
    </r>
    <r>
      <rPr>
        <sz val="10"/>
        <rFont val="Times New Roman"/>
        <family val="1"/>
      </rPr>
      <t xml:space="preserve">Internal requirement
</t>
    </r>
  </si>
  <si>
    <t>R-3204</t>
  </si>
  <si>
    <r>
      <rPr>
        <b/>
        <sz val="10"/>
        <color indexed="12"/>
        <rFont val="Times New Roman"/>
        <family val="1"/>
      </rPr>
      <t>R-3204</t>
    </r>
    <r>
      <rPr>
        <sz val="10"/>
        <rFont val="Times New Roman"/>
        <family val="1"/>
      </rPr>
      <t>: UV Blocking Reactive Monomer Mix With and Without Visibility Tint - AUVT 3X and TUVT 3X</t>
    </r>
  </si>
  <si>
    <t xml:space="preserve">VIS-UR-000455 
VIS-UR-000460 
VIS-UR-000459
</t>
  </si>
  <si>
    <t>Clear Crisp Vision
Easy to Insert and Remove
Comfort throughout Wear Time</t>
  </si>
  <si>
    <t>VIS-DI-002643</t>
  </si>
  <si>
    <t>CHR-77</t>
  </si>
  <si>
    <r>
      <rPr>
        <b/>
        <sz val="10"/>
        <rFont val="Times New Roman"/>
        <family val="1"/>
      </rPr>
      <t>Finished Package Solution Conductivity</t>
    </r>
    <r>
      <rPr>
        <sz val="10"/>
        <rFont val="Times New Roman"/>
        <family val="1"/>
      </rPr>
      <t xml:space="preserve">
Range:  12.0 to 20.0 x10</t>
    </r>
    <r>
      <rPr>
        <vertAlign val="superscript"/>
        <sz val="10"/>
        <rFont val="Times New Roman"/>
        <family val="1"/>
      </rPr>
      <t>3</t>
    </r>
    <r>
      <rPr>
        <sz val="10"/>
        <rFont val="Times New Roman"/>
        <family val="1"/>
      </rPr>
      <t xml:space="preserve"> µS/cm
</t>
    </r>
    <r>
      <rPr>
        <b/>
        <sz val="10"/>
        <rFont val="Times New Roman"/>
        <family val="1"/>
      </rPr>
      <t>Requirement:</t>
    </r>
    <r>
      <rPr>
        <sz val="10"/>
        <rFont val="Times New Roman"/>
        <family val="1"/>
      </rPr>
      <t xml:space="preserve"> manufacturer defined
</t>
    </r>
    <r>
      <rPr>
        <b/>
        <sz val="10"/>
        <rFont val="Times New Roman"/>
        <family val="1"/>
      </rPr>
      <t xml:space="preserve">Per:
</t>
    </r>
    <r>
      <rPr>
        <sz val="10"/>
        <rFont val="Times New Roman"/>
        <family val="1"/>
      </rPr>
      <t xml:space="preserve">Internal requirement
</t>
    </r>
  </si>
  <si>
    <t>TM-0478</t>
  </si>
  <si>
    <r>
      <rPr>
        <b/>
        <sz val="10"/>
        <color indexed="12"/>
        <rFont val="Times New Roman"/>
        <family val="1"/>
      </rPr>
      <t>R-3283</t>
    </r>
    <r>
      <rPr>
        <sz val="10"/>
        <rFont val="Times New Roman"/>
        <family val="1"/>
      </rPr>
      <t xml:space="preserve">: Packing Solution Containing Polyvinylpyrrolidone (PVP K-90)  
</t>
    </r>
    <r>
      <rPr>
        <b/>
        <sz val="10"/>
        <rFont val="Times New Roman"/>
        <family val="1"/>
      </rPr>
      <t>VIS-DO-001541</t>
    </r>
    <r>
      <rPr>
        <sz val="10"/>
        <rFont val="Times New Roman"/>
        <family val="1"/>
      </rPr>
      <t xml:space="preserve">: Chroma Contact Lens Product Characteristics  </t>
    </r>
  </si>
  <si>
    <t>VIS-DI-002644</t>
  </si>
  <si>
    <t>CHR-78</t>
  </si>
  <si>
    <r>
      <rPr>
        <b/>
        <sz val="10"/>
        <rFont val="Times New Roman"/>
        <family val="1"/>
      </rPr>
      <t>Finished Package Solution pH</t>
    </r>
    <r>
      <rPr>
        <sz val="10"/>
        <rFont val="Times New Roman"/>
        <family val="1"/>
      </rPr>
      <t xml:space="preserve">
</t>
    </r>
    <r>
      <rPr>
        <b/>
        <sz val="10"/>
        <rFont val="Times New Roman"/>
        <family val="1"/>
      </rPr>
      <t>Requirement:</t>
    </r>
    <r>
      <rPr>
        <sz val="10"/>
        <rFont val="Times New Roman"/>
        <family val="1"/>
      </rPr>
      <t xml:space="preserve"> manufacturer defined
Range: 6.9 to 7.5 pH units
</t>
    </r>
    <r>
      <rPr>
        <b/>
        <sz val="10"/>
        <rFont val="Times New Roman"/>
        <family val="1"/>
      </rPr>
      <t xml:space="preserve">Per:
</t>
    </r>
    <r>
      <rPr>
        <sz val="10"/>
        <rFont val="Times New Roman"/>
        <family val="1"/>
      </rPr>
      <t xml:space="preserve">Internal requirement 
</t>
    </r>
  </si>
  <si>
    <r>
      <rPr>
        <b/>
        <sz val="10"/>
        <color indexed="12"/>
        <rFont val="Times New Roman"/>
        <family val="1"/>
      </rPr>
      <t>R-3283</t>
    </r>
    <r>
      <rPr>
        <sz val="10"/>
        <rFont val="Times New Roman"/>
        <family val="1"/>
      </rPr>
      <t xml:space="preserve">: Packing Solution Containing Polyvinylpyrrolidone (PVP K-90)  
</t>
    </r>
    <r>
      <rPr>
        <b/>
        <sz val="10"/>
        <rFont val="Times New Roman"/>
        <family val="1"/>
      </rPr>
      <t>VIS-DO-001541</t>
    </r>
    <r>
      <rPr>
        <sz val="10"/>
        <rFont val="Times New Roman"/>
        <family val="1"/>
      </rPr>
      <t>: Chroma Contact Lens Product Characteristics</t>
    </r>
  </si>
  <si>
    <t xml:space="preserve">VIS-UR-000455 
VIS-UR-000460 
VIS-UR-000459
</t>
  </si>
  <si>
    <t>VIS-DI-002645</t>
  </si>
  <si>
    <t>CHR-79</t>
  </si>
  <si>
    <r>
      <t xml:space="preserve">Finished Packing Solution Type and Shelf Life
Requirement: </t>
    </r>
    <r>
      <rPr>
        <sz val="10"/>
        <rFont val="Times New Roman"/>
        <family val="1"/>
      </rPr>
      <t xml:space="preserve">formulation to be used and expiry period per </t>
    </r>
    <r>
      <rPr>
        <b/>
        <sz val="10"/>
        <color rgb="FF0000FF"/>
        <rFont val="Times New Roman"/>
        <family val="1"/>
      </rPr>
      <t>R-3283</t>
    </r>
    <r>
      <rPr>
        <b/>
        <sz val="10"/>
        <rFont val="Times New Roman"/>
        <family val="1"/>
      </rPr>
      <t xml:space="preserve">
Per:
</t>
    </r>
    <r>
      <rPr>
        <sz val="10"/>
        <rFont val="Times New Roman"/>
        <family val="1"/>
      </rPr>
      <t xml:space="preserve">Internal requirement
</t>
    </r>
  </si>
  <si>
    <t>VIS-DI-002646</t>
  </si>
  <si>
    <t>CHR-88</t>
  </si>
  <si>
    <r>
      <rPr>
        <b/>
        <sz val="10"/>
        <rFont val="Times New Roman"/>
        <family val="1"/>
      </rPr>
      <t>Center Thickness (t</t>
    </r>
    <r>
      <rPr>
        <b/>
        <vertAlign val="subscript"/>
        <sz val="10"/>
        <rFont val="Times New Roman"/>
        <family val="1"/>
      </rPr>
      <t>c</t>
    </r>
    <r>
      <rPr>
        <b/>
        <sz val="10"/>
        <rFont val="Times New Roman"/>
        <family val="1"/>
      </rPr>
      <t>)
Target</t>
    </r>
    <r>
      <rPr>
        <sz val="10"/>
        <rFont val="Times New Roman"/>
        <family val="1"/>
      </rPr>
      <t xml:space="preserve"> (mm) = manufacturer defined
</t>
    </r>
    <r>
      <rPr>
        <b/>
        <sz val="10"/>
        <rFont val="Times New Roman"/>
        <family val="1"/>
      </rPr>
      <t xml:space="preserve">Tolerance: </t>
    </r>
    <r>
      <rPr>
        <sz val="10"/>
        <rFont val="Times New Roman"/>
        <family val="1"/>
      </rPr>
      <t xml:space="preserve">±0.030 mm
</t>
    </r>
    <r>
      <rPr>
        <b/>
        <sz val="10"/>
        <rFont val="Times New Roman"/>
        <family val="1"/>
      </rPr>
      <t xml:space="preserve">Per:
</t>
    </r>
    <r>
      <rPr>
        <sz val="10"/>
        <rFont val="Times New Roman"/>
        <family val="1"/>
      </rPr>
      <t xml:space="preserve">Internal requirement
</t>
    </r>
  </si>
  <si>
    <t xml:space="preserve">VIS-UR-000456 </t>
  </si>
  <si>
    <t>Enhance or Alter the Appearance of the Eye</t>
  </si>
  <si>
    <t>VIS-DI-002647</t>
  </si>
  <si>
    <t>CHR-89</t>
  </si>
  <si>
    <r>
      <rPr>
        <b/>
        <sz val="10"/>
        <rFont val="Times New Roman"/>
        <family val="1"/>
      </rPr>
      <t xml:space="preserve">Print Variant 
</t>
    </r>
    <r>
      <rPr>
        <sz val="10"/>
        <color indexed="10"/>
        <rFont val="Times New Roman"/>
        <family val="1"/>
      </rPr>
      <t xml:space="preserve">
</t>
    </r>
    <r>
      <rPr>
        <b/>
        <sz val="10"/>
        <rFont val="Times New Roman"/>
        <family val="1"/>
      </rPr>
      <t xml:space="preserve">Requirement: </t>
    </r>
    <r>
      <rPr>
        <sz val="10"/>
        <rFont val="Times New Roman"/>
        <family val="1"/>
      </rPr>
      <t xml:space="preserve">manufacturer defined
</t>
    </r>
    <r>
      <rPr>
        <b/>
        <sz val="10"/>
        <rFont val="Times New Roman"/>
        <family val="1"/>
      </rPr>
      <t>Per:</t>
    </r>
    <r>
      <rPr>
        <sz val="10"/>
        <rFont val="Times New Roman"/>
        <family val="1"/>
      </rPr>
      <t xml:space="preserve">
Internal requirement</t>
    </r>
  </si>
  <si>
    <t>VIS-DI-002583</t>
  </si>
  <si>
    <t>VIS-DI-002623</t>
  </si>
  <si>
    <t>Legacy ID</t>
  </si>
  <si>
    <t>CHR-18</t>
  </si>
  <si>
    <t>CHR-57</t>
  </si>
  <si>
    <t>Attachment A: Critical To Quality Flowdown (Functional Requirements to Design Inputs)</t>
  </si>
  <si>
    <t>House of Quality 2 Rev 1 (DITM Rev8)</t>
  </si>
  <si>
    <t>House of Quality 2</t>
  </si>
  <si>
    <t>Product Requirements</t>
  </si>
  <si>
    <t xml:space="preserve">Functional Requirements  </t>
  </si>
  <si>
    <t>VIS-DI-002575 Sphere (Label Back Vertex) Power (F'L)</t>
  </si>
  <si>
    <t>VIS-DI-002576 Diameter</t>
  </si>
  <si>
    <t>VIS-DI-002577 Base Curve Radius</t>
  </si>
  <si>
    <t>VIS-DI-002578 Center Thickness (tc)
(ISO Tolerance)</t>
  </si>
  <si>
    <t xml:space="preserve">VIS-DI-002646 Center Thickness (tc)
(± 0.030 mm Tolerance) </t>
  </si>
  <si>
    <t>VIS-DI-002579 Optic Zone Diameter</t>
  </si>
  <si>
    <t>VIS-DI-002580 Average Luminous Transmittance in the Visible Region (τV)</t>
  </si>
  <si>
    <t>VIS-DI-002581 Average Spectral Transmittance in the Visible Region (τVIS)</t>
  </si>
  <si>
    <t>VIS-DI-002582 Average Ultraviolet Radiation Transmittance Class 2 Absorber:</t>
  </si>
  <si>
    <t>VIS-DI-002584 Mechanical Properties, Modulus</t>
  </si>
  <si>
    <t>VIS-DI-002585 Mechanical Properties, Elongation</t>
  </si>
  <si>
    <t>VIS-DI-002586 Mechanical Properties, Tensile Strength</t>
  </si>
  <si>
    <t>VIS-DI-002587 Mechanical Properties, Toughness</t>
  </si>
  <si>
    <t>VIS-DI-002588 Water Content</t>
  </si>
  <si>
    <t>VIS-DI-002589 Specific Gravity</t>
  </si>
  <si>
    <t>VIS-DI-002590 Refractive Index (n)</t>
  </si>
  <si>
    <t>VIS-DI-002591 Oxygen Transmissibility (Dk/t), Edge Corrected</t>
  </si>
  <si>
    <t>VIS-DI-002592 Oxygen Permeability (Dk), Edge Corrected</t>
  </si>
  <si>
    <t>VIS-DI-002593 Oxygen Permeability (Dk), Non-edge Corrected</t>
  </si>
  <si>
    <t>VIS-DI-002595 Oxygen Permeability (Dk), Edge Corrected and/or Non-edge Corrected</t>
  </si>
  <si>
    <t>VIS-DI-002596 Oxygen Permeability (Dk) / Transmissibility (Dk/t), Edge Corrected and/or Non-edge Corrected</t>
  </si>
  <si>
    <t>VIS-DI-002597 Ionic</t>
  </si>
  <si>
    <t>VIS-DI-002598 Extractables (Leachables) HEMA</t>
  </si>
  <si>
    <t>VIS-DI-002599 Extractables (Leachables) TMPTMA</t>
  </si>
  <si>
    <t>VIS-DI-002600 Extractables (Leachables) EGDMA</t>
  </si>
  <si>
    <t>VIS-DI-002601 Extractables (Leachables) MAA</t>
  </si>
  <si>
    <t>VIS-DI-002602 Extractables (Leachables) DAROCUR 1173</t>
  </si>
  <si>
    <t>VIS-DI-002603 Extractables (Leachables) CGI403</t>
  </si>
  <si>
    <t>VIS-DI-002604 Extractables (Leachables) NORBLOC 7966</t>
  </si>
  <si>
    <t>VIS-DI-002605 Extractables (Leachables) BLUE HEMA</t>
  </si>
  <si>
    <t>VIS-DI-002606 Extractables (Leachables) Total Leachable Pigments</t>
  </si>
  <si>
    <t>VIS-DI-002607 Extractables (Leachables) BAGE</t>
  </si>
  <si>
    <t xml:space="preserve">VIS-DI-002608 Extractables (Leachables) TWEEN 80 </t>
  </si>
  <si>
    <t>VIS-DI-002609 Extractables (Leachables) Span 80 (leachable)</t>
  </si>
  <si>
    <t>VIS-DI-002610 Extractables (Leachables) Leachable Processing aid component- 1-propanol (leachable)</t>
  </si>
  <si>
    <t>VIS-DI-002611 Extractables (Leachables) Leachable Processing aid component - 1-ethoxy-2-propanol (leachable)</t>
  </si>
  <si>
    <t>VIS-DI-002612 Extractables (Leachables)   Leachable Processing aid component - Isopropyl lactate (leachable</t>
  </si>
  <si>
    <t>VIS-DI-002613 Total Extractables</t>
  </si>
  <si>
    <t>VIS-DI-002614 Shape and Appearance</t>
  </si>
  <si>
    <t>VIS-DI-002615 Packaging for Terminally Sterilized Medical Devices</t>
  </si>
  <si>
    <t>VIS-DI-002616 Symbols and Symbols Glossary</t>
  </si>
  <si>
    <t>VIS-DI-002617 Primary Container Labeling</t>
  </si>
  <si>
    <t>VIS-DI-002618 Secondary Container labeling</t>
  </si>
  <si>
    <t>VIS-DI-002619 Patient Instruction Guide (PIG)</t>
  </si>
  <si>
    <t>VIS-DI-002620 Package Insert and Fitting Guide (PIFG)</t>
  </si>
  <si>
    <t>VIS-DI-002621 Classification of UV Absorptive Contact Lens</t>
  </si>
  <si>
    <t>VIS-DI-002622 The product labeling must meet the requirements of the Unique Device Identification (UDI)</t>
  </si>
  <si>
    <t>VIS-DI-002624 Sterility Assurance Level (SAL)</t>
  </si>
  <si>
    <t>VIS-DI-002625 Lens compatible with rewetting drops</t>
  </si>
  <si>
    <t>VIS-DI-002626 Genotoxicity</t>
  </si>
  <si>
    <t>VIS-DI-002627 Systemic Toxicity</t>
  </si>
  <si>
    <t>VIS-DI-002628 Cytotoxicity</t>
  </si>
  <si>
    <t>VIS-DI-002629 Sensitization</t>
  </si>
  <si>
    <t>VIS-DI-002630 22-Day Ocular Irritation Study (also known as Rabbit Eye Compatibility Test)</t>
  </si>
  <si>
    <t>VIS-DI-002631 Acute Ocular Irritation</t>
  </si>
  <si>
    <t>VIS-DI-002632 Shelf-Life</t>
  </si>
  <si>
    <t>VIS-DI-002633 Material Description</t>
  </si>
  <si>
    <t>VIS-DI-002634 Fading Test</t>
  </si>
  <si>
    <t>VIS-DI-002635 Visibility Tint Color</t>
  </si>
  <si>
    <t xml:space="preserve">VIS-DI-002636 Clear Layer Coverage </t>
  </si>
  <si>
    <t>VIS-DI-002637 Concentricity</t>
  </si>
  <si>
    <t>VIS-DI-002638 Relative Center Distance</t>
  </si>
  <si>
    <t>VIS-DI-002639 Print Pattern Inner Diameter</t>
  </si>
  <si>
    <t>VIS-DI-002640 Print Pattern Outer Diameter</t>
  </si>
  <si>
    <t>VIS-DI-002641 Pattern Colorant</t>
  </si>
  <si>
    <t>VIS-DI-002642 Reactive Monomer Mix (RMM) Type and Shelf Life</t>
  </si>
  <si>
    <t>VIS-DI-002643 Finished Package Solution Conductivity</t>
  </si>
  <si>
    <t>VIS-DI-002644 Finished Package Solution pH</t>
  </si>
  <si>
    <t>VIS-DI-002645 Finished Packing Solution Type and Shelf Life</t>
  </si>
  <si>
    <t>Objective Vision</t>
  </si>
  <si>
    <t>Subjective Vision: Overall Vision</t>
  </si>
  <si>
    <t>Subjective Handling</t>
  </si>
  <si>
    <t>Subjective Comfort</t>
  </si>
  <si>
    <t>Ocular Physiology</t>
  </si>
  <si>
    <t>Fit Acceptance - Mechanical</t>
  </si>
  <si>
    <t>Fit Acceptance - Cosmetic</t>
  </si>
  <si>
    <t>Enhance or Alter Appearance of Eye</t>
  </si>
  <si>
    <t>Rating Legend:</t>
  </si>
  <si>
    <t>blank</t>
  </si>
  <si>
    <r>
      <rPr>
        <b/>
        <sz val="10"/>
        <rFont val="Arial"/>
        <family val="2"/>
      </rPr>
      <t>Not</t>
    </r>
    <r>
      <rPr>
        <sz val="10"/>
        <rFont val="Arial"/>
        <family val="2"/>
      </rPr>
      <t xml:space="preserve"> linked to the functional requirement</t>
    </r>
  </si>
  <si>
    <r>
      <rPr>
        <b/>
        <sz val="10"/>
        <rFont val="Arial"/>
        <family val="2"/>
      </rPr>
      <t>Weakly</t>
    </r>
    <r>
      <rPr>
        <sz val="10"/>
        <rFont val="Arial"/>
        <family val="2"/>
      </rPr>
      <t xml:space="preserve"> linked to the functional requirement.</t>
    </r>
  </si>
  <si>
    <r>
      <rPr>
        <b/>
        <sz val="10"/>
        <rFont val="Arial"/>
        <family val="2"/>
      </rPr>
      <t xml:space="preserve">Moderately </t>
    </r>
    <r>
      <rPr>
        <sz val="10"/>
        <rFont val="Arial"/>
        <family val="2"/>
      </rPr>
      <t>linked to the functional requirement.</t>
    </r>
  </si>
  <si>
    <r>
      <rPr>
        <b/>
        <sz val="10"/>
        <rFont val="Arial"/>
        <family val="2"/>
      </rPr>
      <t>Strongly</t>
    </r>
    <r>
      <rPr>
        <sz val="10"/>
        <rFont val="Arial"/>
        <family val="2"/>
      </rPr>
      <t xml:space="preserve"> linked to the functional requirement.</t>
    </r>
  </si>
  <si>
    <r>
      <rPr>
        <b/>
        <u/>
        <sz val="10"/>
        <rFont val="Arial"/>
        <family val="2"/>
      </rPr>
      <t>Additional Notes on Determination of Essential Design Inputs:</t>
    </r>
    <r>
      <rPr>
        <sz val="10"/>
        <rFont val="Arial"/>
        <family val="2"/>
      </rPr>
      <t xml:space="preserve">
In accordance with </t>
    </r>
    <r>
      <rPr>
        <b/>
        <sz val="10"/>
        <color rgb="FF0000FF"/>
        <rFont val="Arial"/>
        <family val="2"/>
      </rPr>
      <t>QP-0160</t>
    </r>
    <r>
      <rPr>
        <sz val="10"/>
        <rFont val="Arial"/>
        <family val="2"/>
      </rPr>
      <t xml:space="preserve"> Design Input Procedure and using the Critical to Quality (CTQ) flowdown process in the current revision of </t>
    </r>
    <r>
      <rPr>
        <b/>
        <sz val="10"/>
        <color rgb="FF0000FF"/>
        <rFont val="Arial"/>
        <family val="2"/>
      </rPr>
      <t>QP-0152</t>
    </r>
    <r>
      <rPr>
        <sz val="10"/>
        <rFont val="Arial"/>
        <family val="2"/>
      </rPr>
      <t xml:space="preserve"> – the determination of essential requirements includes the mapping of design inputs to Design Validation Core Requirements (Table 1 in Customer Requirements Document) as shown in the above House of Quality (HOQ) table. Further consideration has been given to international regulatory standards, which in combination with anticipated regulatory submissions, may designate certain design inputs as essential despite having only a weak link to functional requirements.</t>
    </r>
  </si>
  <si>
    <t>realizes:</t>
  </si>
  <si>
    <t>realizes:CHR-14</t>
  </si>
  <si>
    <t>realizes:CHR-17</t>
  </si>
  <si>
    <t>realizes:CHR-26</t>
  </si>
  <si>
    <t>realizes:CHR-31</t>
  </si>
  <si>
    <t>realizes:CHR-47</t>
  </si>
  <si>
    <t>realizes:CHR-49</t>
  </si>
  <si>
    <t>realizes:CHR-50</t>
  </si>
  <si>
    <t>realizes:CHR-51</t>
  </si>
  <si>
    <t>realizes:CHR-52</t>
  </si>
  <si>
    <t>realizes:CHR-56</t>
  </si>
  <si>
    <t>realizes:CHR-66</t>
  </si>
  <si>
    <t>realizes:CHR-67</t>
  </si>
  <si>
    <t>realizes:CHR-68</t>
  </si>
  <si>
    <t>realizes:CHR-69</t>
  </si>
  <si>
    <t>realizes:CHR-75</t>
  </si>
  <si>
    <t>realizes:CHR-76</t>
  </si>
  <si>
    <t>realizes:CHR-10, realizes:CHR-11, realizes:CHR-12, realizes:CHR-13, realizes:CHR-15, realizes:CHR-16, realizes:CHR-23, realizes:CHR-24, realizes:CHR-25, realizes:CHR-48, realizes:CHR-58, realizes:CHR-88, realizes:CHR-89</t>
  </si>
  <si>
    <t>realizes:CHR-19, realizes:CHR-20, realizes:CHR-21, realizes:CHR-22, realizes:CHR-27, realizes:CHR-30, realizes:CHR-32, realizes:CHR-33, realizes:CHR-34, realizes:CHR-35, realizes:CHR-36, realizes:CHR-37, realizes:CHR-38, realizes:CHR-39, realizes:CHR-40, realizes:CHR-41, realizes:CHR-42, realizes:CHR-43, realizes:CHR-44, realizes:CHR-45, realizes:CHR-46, realizes:CHR-70, realizes:CHR-71, realizes:CHR-72, realizes:CHR-73, realizes:CHR-74</t>
  </si>
  <si>
    <t>realizes:CHR-28, realizes:CHR-29</t>
  </si>
  <si>
    <t>realizes:CHR-53, realizes:CHR-54, realizes:CHR-55</t>
  </si>
  <si>
    <t>realizes:CHR-59, realizes:CHR-60, realizes:CHR-61, realizes:CHR-62, realizes:CHR-63, realizes:CHR-64, realizes:CHR-65</t>
  </si>
  <si>
    <t>realizes:CHR-77, realizes:CHR-78, realizes:CHR-79, realizes:CHR-78, realizes:CHR-79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</si>
</sst>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0" x14ac:knownFonts="1">
    <font>
      <sz val="11"/>
      <color theme="1"/>
      <name val="Calibri"/>
      <family val="2"/>
      <scheme val="minor"/>
    </font>
    <font>
      <sz val="11"/>
      <color theme="1"/>
      <name val="Calibri"/>
      <family val="2"/>
      <scheme val="minor"/>
    </font>
    <font>
      <sz val="10"/>
      <name val="Arial"/>
      <family val="2"/>
    </font>
    <font>
      <b/>
      <sz val="20"/>
      <color theme="1"/>
      <name val="Calibri"/>
      <family val="2"/>
      <scheme val="minor"/>
    </font>
    <font>
      <sz val="11"/>
      <color rgb="FF000000"/>
      <name val="Calibri"/>
      <family val="2"/>
    </font>
    <font>
      <sz val="10"/>
      <color theme="1"/>
      <name val="Times New Roman"/>
      <family val="1"/>
    </font>
    <font>
      <sz val="10"/>
      <name val="Times New Roman"/>
      <family val="1"/>
    </font>
    <font>
      <sz val="10"/>
      <color rgb="FF000000"/>
      <name val="Times New Roman"/>
      <family val="1"/>
    </font>
    <font>
      <b/>
      <sz val="10"/>
      <name val="Times New Roman"/>
      <family val="1"/>
    </font>
    <font>
      <b/>
      <sz val="10"/>
      <color rgb="FF0000FF"/>
      <name val="Times New Roman"/>
      <family val="1"/>
    </font>
    <font>
      <b/>
      <sz val="10"/>
      <color rgb="FF000000"/>
      <name val="Times New Roman"/>
      <family val="1"/>
    </font>
    <font>
      <sz val="10"/>
      <color rgb="FFFF0000"/>
      <name val="Times New Roman"/>
      <family val="1"/>
    </font>
    <font>
      <sz val="10"/>
      <color rgb="FF7030A0"/>
      <name val="Times New Roman"/>
      <family val="1"/>
    </font>
    <font>
      <strike/>
      <sz val="10"/>
      <name val="Times New Roman"/>
      <family val="1"/>
    </font>
    <font>
      <b/>
      <sz val="10"/>
      <name val="Arial"/>
      <family val="2"/>
    </font>
    <font>
      <sz val="10"/>
      <color theme="1"/>
      <name val="Tahoma"/>
      <family val="2"/>
    </font>
    <font>
      <sz val="10"/>
      <color theme="1"/>
      <name val="Arial"/>
      <family val="2"/>
      <charset val="238"/>
    </font>
    <font>
      <sz val="10"/>
      <color theme="1"/>
      <name val="Calibri"/>
      <family val="2"/>
      <charset val="238"/>
      <scheme val="minor"/>
    </font>
    <font>
      <b/>
      <sz val="11"/>
      <color theme="1"/>
      <name val="Times New Roman"/>
      <family val="1"/>
    </font>
    <font>
      <sz val="11"/>
      <color theme="1"/>
      <name val="Times New Roman"/>
      <family val="1"/>
    </font>
    <font>
      <b/>
      <sz val="11"/>
      <name val="Times New Roman"/>
      <family val="1"/>
    </font>
    <font>
      <sz val="11"/>
      <name val="Times New Roman"/>
      <family val="1"/>
    </font>
    <font>
      <sz val="10"/>
      <color indexed="8"/>
      <name val="Times New Roman"/>
      <family val="1"/>
    </font>
    <font>
      <sz val="10"/>
      <color indexed="10"/>
      <name val="Times New Roman"/>
      <family val="1"/>
    </font>
    <font>
      <sz val="11"/>
      <color indexed="8"/>
      <name val="Times New Roman"/>
      <family val="1"/>
    </font>
    <font>
      <b/>
      <sz val="12"/>
      <color rgb="FF000000"/>
      <name val="Times New Roman"/>
      <family val="1"/>
    </font>
    <font>
      <b/>
      <sz val="12"/>
      <color indexed="17"/>
      <name val="Times New Roman"/>
      <family val="1"/>
    </font>
    <font>
      <b/>
      <sz val="12"/>
      <color indexed="8"/>
      <name val="Times New Roman"/>
      <family val="1"/>
    </font>
    <font>
      <sz val="12"/>
      <name val="Times New Roman"/>
      <family val="1"/>
    </font>
    <font>
      <sz val="12"/>
      <color indexed="10"/>
      <name val="Times New Roman"/>
      <family val="1"/>
    </font>
    <font>
      <b/>
      <sz val="12"/>
      <name val="Times New Roman"/>
      <family val="1"/>
    </font>
    <font>
      <b/>
      <sz val="12"/>
      <color theme="1"/>
      <name val="Times New Roman"/>
      <family val="1"/>
    </font>
    <font>
      <i/>
      <sz val="11"/>
      <color rgb="FF0070C0"/>
      <name val="Times New Roman"/>
      <family val="1"/>
    </font>
    <font>
      <b/>
      <sz val="10"/>
      <color indexed="17"/>
      <name val="Times New Roman"/>
      <family val="1"/>
    </font>
    <font>
      <sz val="11"/>
      <color rgb="FF000000"/>
      <name val="Times New Roman"/>
      <family val="1"/>
    </font>
    <font>
      <b/>
      <sz val="11"/>
      <color rgb="FF000000"/>
      <name val="Times New Roman"/>
      <family val="1"/>
    </font>
    <font>
      <i/>
      <sz val="11"/>
      <color indexed="8"/>
      <name val="Times New Roman"/>
      <family val="1"/>
    </font>
    <font>
      <sz val="5"/>
      <color indexed="8"/>
      <name val="Times New Roman"/>
      <family val="1"/>
    </font>
    <font>
      <b/>
      <sz val="11"/>
      <color indexed="12"/>
      <name val="Times New Roman"/>
      <family val="1"/>
    </font>
    <font>
      <b/>
      <sz val="11"/>
      <color indexed="8"/>
      <name val="Times New Roman"/>
      <family val="1"/>
    </font>
    <font>
      <sz val="11"/>
      <color indexed="10"/>
      <name val="Times New Roman"/>
      <family val="1"/>
    </font>
    <font>
      <b/>
      <vertAlign val="subscript"/>
      <sz val="10"/>
      <name val="Times New Roman"/>
      <family val="1"/>
    </font>
    <font>
      <vertAlign val="subscript"/>
      <sz val="10"/>
      <name val="Times New Roman"/>
      <family val="1"/>
    </font>
    <font>
      <u/>
      <sz val="10"/>
      <name val="Times New Roman"/>
      <family val="1"/>
    </font>
    <font>
      <sz val="10"/>
      <name val="Constantia"/>
      <family val="1"/>
    </font>
    <font>
      <i/>
      <sz val="10"/>
      <color rgb="FF000000"/>
      <name val="Times New Roman"/>
      <family val="1"/>
    </font>
    <font>
      <u/>
      <sz val="10"/>
      <color rgb="FF000000"/>
      <name val="Times New Roman"/>
      <family val="1"/>
    </font>
    <font>
      <b/>
      <sz val="10"/>
      <color indexed="12"/>
      <name val="Times New Roman"/>
      <family val="1"/>
    </font>
    <font>
      <i/>
      <sz val="10"/>
      <name val="Times New Roman"/>
      <family val="1"/>
    </font>
    <font>
      <u/>
      <sz val="10"/>
      <color indexed="36"/>
      <name val="Times New Roman"/>
      <family val="1"/>
    </font>
    <font>
      <sz val="5"/>
      <name val="Times New Roman"/>
      <family val="1"/>
    </font>
    <font>
      <sz val="5"/>
      <color rgb="FF000000"/>
      <name val="Times New Roman"/>
      <family val="1"/>
    </font>
    <font>
      <b/>
      <i/>
      <sz val="10"/>
      <name val="Times New Roman"/>
      <family val="1"/>
    </font>
    <font>
      <b/>
      <vertAlign val="superscript"/>
      <sz val="10"/>
      <name val="Times New Roman"/>
      <family val="1"/>
    </font>
    <font>
      <vertAlign val="superscript"/>
      <sz val="10"/>
      <name val="Times New Roman"/>
      <family val="1"/>
    </font>
    <font>
      <b/>
      <sz val="5"/>
      <name val="Times New Roman"/>
      <family val="1"/>
    </font>
    <font>
      <b/>
      <u/>
      <sz val="10"/>
      <name val="Times New Roman"/>
      <family val="1"/>
    </font>
    <font>
      <b/>
      <sz val="10"/>
      <color indexed="8"/>
      <name val="Times New Roman"/>
      <family val="1"/>
    </font>
    <font>
      <u/>
      <sz val="10"/>
      <color indexed="8"/>
      <name val="Times New Roman"/>
      <family val="1"/>
    </font>
    <font>
      <sz val="10"/>
      <color indexed="36"/>
      <name val="Times New Roman"/>
      <family val="1"/>
    </font>
    <font>
      <b/>
      <sz val="10"/>
      <color theme="9" tint="-0.249977111117893"/>
      <name val="Times New Roman"/>
      <family val="1"/>
    </font>
    <font>
      <sz val="10"/>
      <color rgb="FF0070C0"/>
      <name val="Times New Roman"/>
      <family val="1"/>
    </font>
    <font>
      <sz val="10"/>
      <color rgb="FF2E01FF"/>
      <name val="Times New Roman"/>
      <family val="1"/>
    </font>
    <font>
      <sz val="10"/>
      <color indexed="30"/>
      <name val="Times New Roman"/>
      <family val="1"/>
    </font>
    <font>
      <b/>
      <sz val="10"/>
      <color rgb="FF2E01FF"/>
      <name val="Times New Roman"/>
      <family val="1"/>
    </font>
    <font>
      <b/>
      <sz val="10"/>
      <color indexed="10"/>
      <name val="Times New Roman"/>
      <family val="1"/>
    </font>
    <font>
      <b/>
      <sz val="11"/>
      <name val="Calibri"/>
      <family val="2"/>
    </font>
    <font>
      <sz val="11"/>
      <name val="Calibri"/>
      <family val="2"/>
    </font>
    <font>
      <b/>
      <u/>
      <sz val="10"/>
      <name val="Arial"/>
      <family val="2"/>
    </font>
    <font>
      <b/>
      <sz val="10"/>
      <color rgb="FF0000FF"/>
      <name val="Arial"/>
      <family val="2"/>
    </font>
  </fonts>
  <fills count="9">
    <fill>
      <patternFill patternType="none"/>
    </fill>
    <fill>
      <patternFill patternType="gray125"/>
    </fill>
    <fill>
      <patternFill patternType="solid">
        <fgColor rgb="FFFFC000"/>
        <bgColor indexed="64"/>
      </patternFill>
    </fill>
    <fill>
      <patternFill patternType="solid">
        <fgColor theme="0"/>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0" tint="-0.249977111117893"/>
        <bgColor indexed="64"/>
      </patternFill>
    </fill>
  </fills>
  <borders count="41">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style="thin">
        <color rgb="FF000000"/>
      </left>
      <right style="thin">
        <color rgb="FF000000"/>
      </right>
      <top style="thin">
        <color rgb="FF000000"/>
      </top>
      <bottom style="thin">
        <color rgb="FF000000"/>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rgb="FF000000"/>
      </right>
      <top/>
      <bottom/>
      <diagonal/>
    </border>
    <border>
      <left/>
      <right style="thin">
        <color rgb="FF000000"/>
      </right>
      <top/>
      <bottom style="thin">
        <color indexed="64"/>
      </bottom>
      <diagonal/>
    </border>
    <border>
      <left style="thin">
        <color rgb="FF000000"/>
      </left>
      <right style="thin">
        <color rgb="FF000000"/>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s>
  <cellStyleXfs count="12">
    <xf numFmtId="0" fontId="0" fillId="0" borderId="0"/>
    <xf numFmtId="0" fontId="1" fillId="0" borderId="0"/>
    <xf numFmtId="0" fontId="2" fillId="0" borderId="0"/>
    <xf numFmtId="0" fontId="1" fillId="0" borderId="0"/>
    <xf numFmtId="0" fontId="15" fillId="0" borderId="0"/>
    <xf numFmtId="0" fontId="15" fillId="0" borderId="0"/>
    <xf numFmtId="0" fontId="16" fillId="0" borderId="0"/>
    <xf numFmtId="0" fontId="1" fillId="0" borderId="0"/>
    <xf numFmtId="0" fontId="2" fillId="0" borderId="0"/>
    <xf numFmtId="0" fontId="2" fillId="0" borderId="0"/>
    <xf numFmtId="0" fontId="16" fillId="0" borderId="0"/>
    <xf numFmtId="0" fontId="1" fillId="0" borderId="0"/>
  </cellStyleXfs>
  <cellXfs count="175">
    <xf numFmtId="0" fontId="0" fillId="0" borderId="0" xfId="0"/>
    <xf numFmtId="0" fontId="3" fillId="2" borderId="0" xfId="0" applyFont="1" applyFill="1" applyAlignment="1">
      <alignment horizontal="center" vertical="center"/>
    </xf>
    <xf numFmtId="0" fontId="6" fillId="0" borderId="0" xfId="2" applyFont="1"/>
    <xf numFmtId="0" fontId="23" fillId="0" borderId="0" xfId="2" applyFont="1" applyAlignment="1">
      <alignment horizontal="left" vertical="top"/>
    </xf>
    <xf numFmtId="0" fontId="23" fillId="0" borderId="0" xfId="2" applyFont="1"/>
    <xf numFmtId="0" fontId="25" fillId="0" borderId="0" xfId="2" applyFont="1" applyAlignment="1">
      <alignment horizontal="left" vertical="center"/>
    </xf>
    <xf numFmtId="0" fontId="28" fillId="0" borderId="0" xfId="2" applyFont="1"/>
    <xf numFmtId="0" fontId="29" fillId="0" borderId="0" xfId="2" applyFont="1" applyAlignment="1">
      <alignment horizontal="left" vertical="top"/>
    </xf>
    <xf numFmtId="0" fontId="29" fillId="0" borderId="0" xfId="2" applyFont="1"/>
    <xf numFmtId="0" fontId="30" fillId="0" borderId="0" xfId="2" applyFont="1" applyAlignment="1">
      <alignment horizontal="left" vertical="center"/>
    </xf>
    <xf numFmtId="0" fontId="25" fillId="5" borderId="0" xfId="2" applyFont="1" applyFill="1" applyAlignment="1">
      <alignment horizontal="left" vertical="center"/>
    </xf>
    <xf numFmtId="0" fontId="31" fillId="6" borderId="12" xfId="2" applyFont="1" applyFill="1" applyBorder="1" applyAlignment="1">
      <alignment horizontal="center" vertical="center" wrapText="1"/>
    </xf>
    <xf numFmtId="0" fontId="31" fillId="6" borderId="13" xfId="2" applyFont="1" applyFill="1" applyBorder="1" applyAlignment="1">
      <alignment horizontal="center" vertical="center" wrapText="1"/>
    </xf>
    <xf numFmtId="0" fontId="25" fillId="6" borderId="13" xfId="2" applyFont="1" applyFill="1" applyBorder="1" applyAlignment="1">
      <alignment horizontal="center" vertical="center" wrapText="1"/>
    </xf>
    <xf numFmtId="0" fontId="25" fillId="6" borderId="14" xfId="2" applyFont="1" applyFill="1" applyBorder="1" applyAlignment="1">
      <alignment horizontal="center" vertical="center" wrapText="1"/>
    </xf>
    <xf numFmtId="0" fontId="18" fillId="7" borderId="15" xfId="2" applyFont="1" applyFill="1" applyBorder="1" applyAlignment="1">
      <alignment horizontal="left" vertical="center" wrapText="1"/>
    </xf>
    <xf numFmtId="0" fontId="18" fillId="7" borderId="16" xfId="2" applyFont="1" applyFill="1" applyBorder="1" applyAlignment="1">
      <alignment horizontal="left" vertical="center" wrapText="1"/>
    </xf>
    <xf numFmtId="0" fontId="18" fillId="7" borderId="17" xfId="2" applyFont="1" applyFill="1" applyBorder="1" applyAlignment="1">
      <alignment horizontal="left" vertical="center" wrapText="1"/>
    </xf>
    <xf numFmtId="0" fontId="19" fillId="4" borderId="7" xfId="2" applyFont="1" applyFill="1" applyBorder="1" applyAlignment="1">
      <alignment horizontal="left" vertical="center" wrapText="1"/>
    </xf>
    <xf numFmtId="0" fontId="19" fillId="4" borderId="2" xfId="2" applyFont="1" applyFill="1" applyBorder="1" applyAlignment="1">
      <alignment horizontal="left" vertical="center" wrapText="1"/>
    </xf>
    <xf numFmtId="0" fontId="19" fillId="4" borderId="2" xfId="2" applyFont="1" applyFill="1" applyBorder="1" applyAlignment="1">
      <alignment horizontal="left" vertical="center" wrapText="1"/>
    </xf>
    <xf numFmtId="0" fontId="32" fillId="4" borderId="8" xfId="2" applyFont="1" applyFill="1" applyBorder="1" applyAlignment="1">
      <alignment horizontal="left" vertical="center" wrapText="1"/>
    </xf>
    <xf numFmtId="0" fontId="19" fillId="0" borderId="7" xfId="2" applyFont="1" applyBorder="1" applyAlignment="1">
      <alignment horizontal="left" vertical="center" wrapText="1"/>
    </xf>
    <xf numFmtId="0" fontId="19" fillId="0" borderId="2" xfId="2" applyFont="1" applyBorder="1" applyAlignment="1">
      <alignment horizontal="left" vertical="center" wrapText="1"/>
    </xf>
    <xf numFmtId="0" fontId="19" fillId="0" borderId="2" xfId="2" applyFont="1" applyBorder="1" applyAlignment="1">
      <alignment horizontal="left" vertical="center" wrapText="1"/>
    </xf>
    <xf numFmtId="0" fontId="32" fillId="0" borderId="8" xfId="2" applyFont="1" applyBorder="1" applyAlignment="1">
      <alignment horizontal="left" vertical="center" wrapText="1"/>
    </xf>
    <xf numFmtId="0" fontId="18" fillId="7" borderId="7" xfId="2" applyFont="1" applyFill="1" applyBorder="1" applyAlignment="1">
      <alignment horizontal="left" vertical="center" wrapText="1"/>
    </xf>
    <xf numFmtId="0" fontId="18" fillId="7" borderId="2" xfId="2" applyFont="1" applyFill="1" applyBorder="1" applyAlignment="1">
      <alignment horizontal="left" vertical="center" wrapText="1"/>
    </xf>
    <xf numFmtId="0" fontId="18" fillId="7" borderId="8" xfId="2" applyFont="1" applyFill="1" applyBorder="1" applyAlignment="1">
      <alignment horizontal="left" vertical="center" wrapText="1"/>
    </xf>
    <xf numFmtId="0" fontId="25" fillId="5" borderId="0" xfId="2" applyFont="1" applyFill="1" applyAlignment="1">
      <alignment horizontal="left" vertical="top" wrapText="1"/>
    </xf>
    <xf numFmtId="0" fontId="25" fillId="6" borderId="18" xfId="2" applyFont="1" applyFill="1" applyBorder="1" applyAlignment="1">
      <alignment horizontal="center" vertical="center" wrapText="1"/>
    </xf>
    <xf numFmtId="0" fontId="25" fillId="6" borderId="19" xfId="2" applyFont="1" applyFill="1" applyBorder="1" applyAlignment="1">
      <alignment horizontal="center" vertical="center" wrapText="1"/>
    </xf>
    <xf numFmtId="0" fontId="25" fillId="6" borderId="20" xfId="2" applyFont="1" applyFill="1" applyBorder="1" applyAlignment="1">
      <alignment horizontal="center" vertical="center" wrapText="1"/>
    </xf>
    <xf numFmtId="0" fontId="34" fillId="0" borderId="1" xfId="2" applyFont="1" applyBorder="1" applyAlignment="1">
      <alignment horizontal="center" vertical="center" wrapText="1"/>
    </xf>
    <xf numFmtId="0" fontId="34" fillId="0" borderId="2" xfId="2" applyFont="1" applyBorder="1" applyAlignment="1">
      <alignment horizontal="left" vertical="top" wrapText="1"/>
    </xf>
    <xf numFmtId="0" fontId="30" fillId="5" borderId="21" xfId="2" applyFont="1" applyFill="1" applyBorder="1" applyAlignment="1">
      <alignment horizontal="left" vertical="top" wrapText="1"/>
    </xf>
    <xf numFmtId="0" fontId="30" fillId="6" borderId="12" xfId="2" applyFont="1" applyFill="1" applyBorder="1" applyAlignment="1">
      <alignment horizontal="center" vertical="center" wrapText="1"/>
    </xf>
    <xf numFmtId="0" fontId="30" fillId="6" borderId="13" xfId="2" applyFont="1" applyFill="1" applyBorder="1" applyAlignment="1">
      <alignment horizontal="center" vertical="center" wrapText="1"/>
    </xf>
    <xf numFmtId="0" fontId="30" fillId="6" borderId="14" xfId="2" applyFont="1" applyFill="1" applyBorder="1" applyAlignment="1">
      <alignment horizontal="center" vertical="center" wrapText="1"/>
    </xf>
    <xf numFmtId="0" fontId="19" fillId="0" borderId="5" xfId="7" applyFont="1" applyBorder="1" applyAlignment="1">
      <alignment horizontal="left" vertical="top"/>
    </xf>
    <xf numFmtId="0" fontId="19" fillId="0" borderId="1" xfId="7" applyFont="1" applyBorder="1" applyAlignment="1">
      <alignment horizontal="left" vertical="top"/>
    </xf>
    <xf numFmtId="0" fontId="19" fillId="0" borderId="1" xfId="7" applyFont="1" applyBorder="1" applyAlignment="1">
      <alignment horizontal="center" vertical="top"/>
    </xf>
    <xf numFmtId="0" fontId="19" fillId="0" borderId="1" xfId="7" applyFont="1" applyBorder="1" applyAlignment="1">
      <alignment horizontal="left" vertical="top" wrapText="1"/>
    </xf>
    <xf numFmtId="0" fontId="19" fillId="0" borderId="6" xfId="7" applyFont="1" applyBorder="1" applyAlignment="1">
      <alignment horizontal="left" vertical="top" wrapText="1"/>
    </xf>
    <xf numFmtId="0" fontId="22" fillId="0" borderId="0" xfId="2" applyFont="1"/>
    <xf numFmtId="0" fontId="21" fillId="0" borderId="0" xfId="2" applyFont="1"/>
    <xf numFmtId="0" fontId="31" fillId="5" borderId="0" xfId="2" applyFont="1" applyFill="1" applyAlignment="1">
      <alignment horizontal="left"/>
    </xf>
    <xf numFmtId="0" fontId="18" fillId="6" borderId="15" xfId="2" applyFont="1" applyFill="1" applyBorder="1" applyAlignment="1">
      <alignment horizontal="center" vertical="center"/>
    </xf>
    <xf numFmtId="0" fontId="34" fillId="0" borderId="17" xfId="2" applyFont="1" applyBorder="1" applyAlignment="1">
      <alignment horizontal="left" vertical="center" wrapText="1"/>
    </xf>
    <xf numFmtId="0" fontId="18" fillId="6" borderId="7" xfId="2" applyFont="1" applyFill="1" applyBorder="1" applyAlignment="1">
      <alignment horizontal="center" vertical="center"/>
    </xf>
    <xf numFmtId="0" fontId="19" fillId="0" borderId="8" xfId="2" applyFont="1" applyBorder="1" applyAlignment="1">
      <alignment horizontal="left" vertical="center" wrapText="1"/>
    </xf>
    <xf numFmtId="0" fontId="18" fillId="6" borderId="9" xfId="2" applyFont="1" applyFill="1" applyBorder="1" applyAlignment="1">
      <alignment horizontal="center" vertical="center"/>
    </xf>
    <xf numFmtId="0" fontId="34" fillId="0" borderId="11" xfId="2" applyFont="1" applyBorder="1" applyAlignment="1">
      <alignment horizontal="left" vertical="center" wrapText="1"/>
    </xf>
    <xf numFmtId="0" fontId="28" fillId="0" borderId="0" xfId="2" applyFont="1" applyAlignment="1">
      <alignment horizontal="left" vertical="center" wrapText="1"/>
    </xf>
    <xf numFmtId="0" fontId="29" fillId="0" borderId="0" xfId="2" applyFont="1" applyAlignment="1">
      <alignment horizontal="center" vertical="center"/>
    </xf>
    <xf numFmtId="0" fontId="28" fillId="0" borderId="0" xfId="2" applyFont="1" applyAlignment="1">
      <alignment horizontal="center" vertical="center"/>
    </xf>
    <xf numFmtId="0" fontId="29" fillId="0" borderId="0" xfId="2" applyFont="1" applyAlignment="1">
      <alignment vertical="top"/>
    </xf>
    <xf numFmtId="0" fontId="6" fillId="0" borderId="0" xfId="2" applyFont="1" applyAlignment="1">
      <alignment horizontal="left" vertical="center"/>
    </xf>
    <xf numFmtId="0" fontId="6" fillId="0" borderId="0" xfId="2" applyFont="1" applyAlignment="1">
      <alignment horizontal="left" vertical="center" wrapText="1"/>
    </xf>
    <xf numFmtId="0" fontId="23" fillId="0" borderId="0" xfId="2" applyFont="1" applyAlignment="1">
      <alignment horizontal="center" vertical="center"/>
    </xf>
    <xf numFmtId="0" fontId="6" fillId="0" borderId="0" xfId="2" applyFont="1" applyAlignment="1">
      <alignment horizontal="center" vertical="center"/>
    </xf>
    <xf numFmtId="0" fontId="23" fillId="0" borderId="0" xfId="2" applyFont="1" applyAlignment="1">
      <alignment vertical="top"/>
    </xf>
    <xf numFmtId="0" fontId="20" fillId="6" borderId="12" xfId="2" applyFont="1" applyFill="1" applyBorder="1" applyAlignment="1">
      <alignment horizontal="center" vertical="center" wrapText="1"/>
    </xf>
    <xf numFmtId="0" fontId="20" fillId="6" borderId="13" xfId="2" applyFont="1" applyFill="1" applyBorder="1" applyAlignment="1">
      <alignment horizontal="center" vertical="center" wrapText="1"/>
    </xf>
    <xf numFmtId="0" fontId="20" fillId="6" borderId="13" xfId="2" applyFont="1" applyFill="1" applyBorder="1" applyAlignment="1">
      <alignment horizontal="center" vertical="center"/>
    </xf>
    <xf numFmtId="0" fontId="20" fillId="6" borderId="14" xfId="2" applyFont="1" applyFill="1" applyBorder="1" applyAlignment="1">
      <alignment horizontal="center" vertical="center" wrapText="1"/>
    </xf>
    <xf numFmtId="0" fontId="40" fillId="0" borderId="0" xfId="2" applyFont="1" applyAlignment="1">
      <alignment vertical="top"/>
    </xf>
    <xf numFmtId="0" fontId="24" fillId="0" borderId="0" xfId="2" applyFont="1" applyAlignment="1">
      <alignment vertical="top"/>
    </xf>
    <xf numFmtId="0" fontId="7" fillId="0" borderId="0" xfId="2" applyFont="1" applyAlignment="1">
      <alignment horizontal="center" vertical="center"/>
    </xf>
    <xf numFmtId="0" fontId="21" fillId="0" borderId="2" xfId="8" applyFont="1" applyBorder="1" applyAlignment="1">
      <alignment horizontal="left" vertical="center" wrapText="1"/>
    </xf>
    <xf numFmtId="49" fontId="2" fillId="0" borderId="22" xfId="2" applyNumberFormat="1" applyBorder="1" applyAlignment="1">
      <alignment horizontal="center" vertical="center"/>
    </xf>
    <xf numFmtId="0" fontId="2" fillId="0" borderId="0" xfId="2"/>
    <xf numFmtId="0" fontId="6" fillId="5" borderId="2" xfId="8" applyFont="1" applyFill="1" applyBorder="1" applyAlignment="1">
      <alignment horizontal="left" vertical="top" wrapText="1"/>
    </xf>
    <xf numFmtId="0" fontId="9" fillId="0" borderId="2" xfId="8" applyFont="1" applyBorder="1" applyAlignment="1">
      <alignment horizontal="center" vertical="center" wrapText="1"/>
    </xf>
    <xf numFmtId="0" fontId="6" fillId="0" borderId="2" xfId="2" applyFont="1" applyBorder="1" applyAlignment="1">
      <alignment horizontal="center" vertical="center" wrapText="1"/>
    </xf>
    <xf numFmtId="0" fontId="6" fillId="0" borderId="2" xfId="8" applyFont="1" applyBorder="1" applyAlignment="1">
      <alignment horizontal="left" vertical="center" wrapText="1"/>
    </xf>
    <xf numFmtId="0" fontId="6" fillId="0" borderId="2" xfId="8" applyFont="1" applyBorder="1" applyAlignment="1">
      <alignment horizontal="center" vertical="center" wrapText="1"/>
    </xf>
    <xf numFmtId="0" fontId="22" fillId="0" borderId="0" xfId="2" applyFont="1" applyAlignment="1">
      <alignment vertical="top"/>
    </xf>
    <xf numFmtId="0" fontId="6" fillId="0" borderId="2" xfId="2" applyFont="1" applyBorder="1" applyAlignment="1">
      <alignment horizontal="left" vertical="center" wrapText="1"/>
    </xf>
    <xf numFmtId="0" fontId="8" fillId="5" borderId="2" xfId="8" applyFont="1" applyFill="1" applyBorder="1" applyAlignment="1">
      <alignment vertical="top" wrapText="1"/>
    </xf>
    <xf numFmtId="0" fontId="44" fillId="0" borderId="2" xfId="2" applyFont="1" applyBorder="1" applyAlignment="1">
      <alignment horizontal="center" vertical="center" wrapText="1"/>
    </xf>
    <xf numFmtId="0" fontId="22" fillId="0" borderId="0" xfId="2" applyFont="1" applyAlignment="1">
      <alignment wrapText="1"/>
    </xf>
    <xf numFmtId="0" fontId="6" fillId="0" borderId="23" xfId="2" applyFont="1" applyBorder="1" applyAlignment="1">
      <alignment vertical="center" wrapText="1"/>
    </xf>
    <xf numFmtId="0" fontId="6" fillId="0" borderId="3" xfId="2" applyFont="1" applyBorder="1" applyAlignment="1">
      <alignment horizontal="left" vertical="center" wrapText="1"/>
    </xf>
    <xf numFmtId="0" fontId="7" fillId="0" borderId="22" xfId="2" applyFont="1" applyBorder="1" applyAlignment="1">
      <alignment vertical="center"/>
    </xf>
    <xf numFmtId="0" fontId="6" fillId="0" borderId="23" xfId="2" applyFont="1" applyBorder="1" applyAlignment="1">
      <alignment horizontal="left" vertical="center" wrapText="1"/>
    </xf>
    <xf numFmtId="0" fontId="7" fillId="5" borderId="2" xfId="8" applyFont="1" applyFill="1" applyBorder="1" applyAlignment="1">
      <alignment horizontal="left" vertical="top" wrapText="1"/>
    </xf>
    <xf numFmtId="0" fontId="6" fillId="0" borderId="1" xfId="2" applyFont="1" applyBorder="1" applyAlignment="1">
      <alignment horizontal="left" vertical="center" wrapText="1"/>
    </xf>
    <xf numFmtId="0" fontId="6" fillId="5" borderId="2" xfId="9" applyFont="1" applyFill="1" applyBorder="1" applyAlignment="1">
      <alignment horizontal="left" vertical="top" wrapText="1"/>
    </xf>
    <xf numFmtId="0" fontId="6" fillId="0" borderId="2" xfId="2" applyFont="1" applyBorder="1" applyAlignment="1">
      <alignment horizontal="center" vertical="center"/>
    </xf>
    <xf numFmtId="0" fontId="34" fillId="0" borderId="22" xfId="2" applyFont="1" applyBorder="1" applyAlignment="1">
      <alignment vertical="center"/>
    </xf>
    <xf numFmtId="0" fontId="6" fillId="0" borderId="24" xfId="2" applyFont="1" applyBorder="1" applyAlignment="1">
      <alignment horizontal="left" vertical="center" wrapText="1"/>
    </xf>
    <xf numFmtId="0" fontId="6" fillId="0" borderId="24" xfId="2" applyFont="1" applyBorder="1" applyAlignment="1">
      <alignment vertical="center" wrapText="1"/>
    </xf>
    <xf numFmtId="0" fontId="9" fillId="0" borderId="23" xfId="8" applyFont="1" applyBorder="1" applyAlignment="1">
      <alignment horizontal="center" vertical="center" wrapText="1"/>
    </xf>
    <xf numFmtId="0" fontId="6" fillId="0" borderId="2" xfId="2" applyFont="1" applyBorder="1" applyAlignment="1">
      <alignment vertical="center" wrapText="1"/>
    </xf>
    <xf numFmtId="0" fontId="6" fillId="0" borderId="1" xfId="2" applyFont="1" applyBorder="1" applyAlignment="1">
      <alignment vertical="center" wrapText="1"/>
    </xf>
    <xf numFmtId="0" fontId="6" fillId="0" borderId="25" xfId="2" applyFont="1" applyBorder="1" applyAlignment="1">
      <alignment vertical="center" wrapText="1"/>
    </xf>
    <xf numFmtId="0" fontId="6" fillId="0" borderId="26" xfId="2" applyFont="1" applyBorder="1" applyAlignment="1">
      <alignment vertical="center" wrapText="1"/>
    </xf>
    <xf numFmtId="0" fontId="7" fillId="0" borderId="22" xfId="2" applyFont="1" applyBorder="1" applyAlignment="1">
      <alignment vertical="center" wrapText="1"/>
    </xf>
    <xf numFmtId="0" fontId="7" fillId="0" borderId="27" xfId="2" applyFont="1" applyBorder="1" applyAlignment="1">
      <alignment vertical="center" wrapText="1"/>
    </xf>
    <xf numFmtId="0" fontId="7" fillId="0" borderId="2" xfId="2" applyFont="1" applyBorder="1" applyAlignment="1">
      <alignment vertical="center"/>
    </xf>
    <xf numFmtId="0" fontId="7" fillId="0" borderId="0" xfId="2" applyFont="1" applyAlignment="1">
      <alignment vertical="center" wrapText="1"/>
    </xf>
    <xf numFmtId="0" fontId="7" fillId="0" borderId="2" xfId="2" applyFont="1" applyBorder="1" applyAlignment="1">
      <alignment vertical="center" wrapText="1"/>
    </xf>
    <xf numFmtId="0" fontId="6" fillId="5" borderId="1" xfId="8" applyFont="1" applyFill="1" applyBorder="1" applyAlignment="1">
      <alignment horizontal="left" vertical="top" wrapText="1"/>
    </xf>
    <xf numFmtId="0" fontId="7" fillId="0" borderId="28" xfId="2" applyFont="1" applyBorder="1" applyAlignment="1">
      <alignment vertical="center" wrapText="1"/>
    </xf>
    <xf numFmtId="0" fontId="8" fillId="5" borderId="2" xfId="8" applyFont="1" applyFill="1" applyBorder="1" applyAlignment="1">
      <alignment horizontal="left" vertical="top" wrapText="1"/>
    </xf>
    <xf numFmtId="0" fontId="34" fillId="0" borderId="29" xfId="2" applyFont="1" applyBorder="1" applyAlignment="1">
      <alignment vertical="center"/>
    </xf>
    <xf numFmtId="0" fontId="47" fillId="0" borderId="2" xfId="8" applyFont="1" applyBorder="1" applyAlignment="1">
      <alignment horizontal="center" vertical="center" wrapText="1"/>
    </xf>
    <xf numFmtId="0" fontId="8" fillId="0" borderId="2" xfId="8" applyFont="1" applyBorder="1" applyAlignment="1">
      <alignment horizontal="center" vertical="center" wrapText="1"/>
    </xf>
    <xf numFmtId="0" fontId="6" fillId="5" borderId="2" xfId="8" applyFont="1" applyFill="1" applyBorder="1" applyAlignment="1">
      <alignment vertical="top" wrapText="1"/>
    </xf>
    <xf numFmtId="0" fontId="9" fillId="0" borderId="1" xfId="2" applyFont="1" applyBorder="1" applyAlignment="1">
      <alignment horizontal="center" vertical="center" wrapText="1"/>
    </xf>
    <xf numFmtId="0" fontId="61" fillId="0" borderId="2" xfId="2" quotePrefix="1" applyFont="1" applyBorder="1" applyAlignment="1">
      <alignment horizontal="left" vertical="center" wrapText="1"/>
    </xf>
    <xf numFmtId="0" fontId="34" fillId="0" borderId="0" xfId="2" applyFont="1" applyAlignment="1">
      <alignment vertical="center"/>
    </xf>
    <xf numFmtId="0" fontId="12" fillId="5" borderId="2" xfId="8" applyFont="1" applyFill="1" applyBorder="1" applyAlignment="1">
      <alignment horizontal="left" vertical="top" wrapText="1"/>
    </xf>
    <xf numFmtId="0" fontId="34" fillId="0" borderId="2" xfId="2" applyFont="1" applyBorder="1" applyAlignment="1">
      <alignment vertical="center"/>
    </xf>
    <xf numFmtId="0" fontId="6" fillId="0" borderId="23" xfId="8" applyFont="1" applyBorder="1" applyAlignment="1">
      <alignment horizontal="center" vertical="center" wrapText="1"/>
    </xf>
    <xf numFmtId="0" fontId="34" fillId="0" borderId="0" xfId="2" applyFont="1" applyAlignment="1">
      <alignment horizontal="center" vertical="center"/>
    </xf>
    <xf numFmtId="0" fontId="12" fillId="5" borderId="2" xfId="8" applyFont="1" applyFill="1" applyBorder="1" applyAlignment="1">
      <alignment vertical="top" wrapText="1"/>
    </xf>
    <xf numFmtId="0" fontId="34" fillId="0" borderId="23" xfId="2" applyFont="1" applyBorder="1" applyAlignment="1">
      <alignment horizontal="center" vertical="center"/>
    </xf>
    <xf numFmtId="0" fontId="5" fillId="5" borderId="2" xfId="8" applyFont="1" applyFill="1" applyBorder="1" applyAlignment="1">
      <alignment vertical="top" wrapText="1"/>
    </xf>
    <xf numFmtId="0" fontId="7" fillId="0" borderId="0" xfId="2" applyFont="1" applyAlignment="1">
      <alignment vertical="center"/>
    </xf>
    <xf numFmtId="0" fontId="7" fillId="0" borderId="29" xfId="2" applyFont="1" applyBorder="1" applyAlignment="1">
      <alignment vertical="center" wrapText="1"/>
    </xf>
    <xf numFmtId="0" fontId="34" fillId="0" borderId="22" xfId="2" applyFont="1" applyBorder="1" applyAlignment="1">
      <alignment vertical="center" wrapText="1"/>
    </xf>
    <xf numFmtId="0" fontId="34" fillId="0" borderId="0" xfId="2" applyFont="1" applyAlignment="1">
      <alignment vertical="center" wrapText="1"/>
    </xf>
    <xf numFmtId="0" fontId="34" fillId="0" borderId="30" xfId="2" applyFont="1" applyBorder="1" applyAlignment="1">
      <alignment vertical="center" wrapText="1"/>
    </xf>
    <xf numFmtId="0" fontId="7" fillId="0" borderId="31" xfId="2" applyFont="1" applyBorder="1" applyAlignment="1">
      <alignment vertical="center" wrapText="1"/>
    </xf>
    <xf numFmtId="0" fontId="9" fillId="0" borderId="2" xfId="2" applyFont="1" applyBorder="1" applyAlignment="1">
      <alignment horizontal="center" vertical="center"/>
    </xf>
    <xf numFmtId="0" fontId="21" fillId="0" borderId="3" xfId="8" applyFont="1" applyBorder="1" applyAlignment="1">
      <alignment horizontal="left" vertical="center" wrapText="1"/>
    </xf>
    <xf numFmtId="0" fontId="6" fillId="5" borderId="3" xfId="8" applyFont="1" applyFill="1" applyBorder="1" applyAlignment="1">
      <alignment horizontal="left" vertical="top" wrapText="1"/>
    </xf>
    <xf numFmtId="0" fontId="9" fillId="0" borderId="3" xfId="8" applyFont="1" applyBorder="1" applyAlignment="1">
      <alignment horizontal="center" vertical="center" wrapText="1"/>
    </xf>
    <xf numFmtId="0" fontId="6" fillId="0" borderId="3" xfId="2" applyFont="1" applyBorder="1" applyAlignment="1">
      <alignment horizontal="center" vertical="center"/>
    </xf>
    <xf numFmtId="49" fontId="2" fillId="0" borderId="29" xfId="2" applyNumberFormat="1" applyBorder="1" applyAlignment="1">
      <alignment horizontal="center" vertical="center"/>
    </xf>
    <xf numFmtId="0" fontId="44" fillId="0" borderId="3" xfId="2" applyFont="1" applyBorder="1" applyAlignment="1">
      <alignment horizontal="center" vertical="center" wrapText="1"/>
    </xf>
    <xf numFmtId="0" fontId="6" fillId="0" borderId="2" xfId="2" applyFont="1" applyBorder="1" applyAlignment="1">
      <alignment horizontal="left" vertical="center"/>
    </xf>
    <xf numFmtId="49" fontId="2" fillId="0" borderId="2" xfId="2" applyNumberFormat="1" applyBorder="1" applyAlignment="1">
      <alignment horizontal="center" vertical="center"/>
    </xf>
    <xf numFmtId="0" fontId="23" fillId="5" borderId="2" xfId="2" applyFont="1" applyFill="1" applyBorder="1" applyAlignment="1">
      <alignment horizontal="left" vertical="top" wrapText="1"/>
    </xf>
    <xf numFmtId="49" fontId="2" fillId="0" borderId="22" xfId="8" applyNumberFormat="1" applyBorder="1" applyAlignment="1">
      <alignment horizontal="center" vertical="center"/>
    </xf>
    <xf numFmtId="0" fontId="2" fillId="0" borderId="0" xfId="8"/>
    <xf numFmtId="49" fontId="2" fillId="0" borderId="29" xfId="8" applyNumberFormat="1" applyBorder="1" applyAlignment="1">
      <alignment horizontal="center" vertical="center"/>
    </xf>
    <xf numFmtId="49" fontId="2" fillId="0" borderId="2" xfId="8" applyNumberFormat="1" applyBorder="1" applyAlignment="1">
      <alignment horizontal="center" vertical="center"/>
    </xf>
    <xf numFmtId="0" fontId="17" fillId="0" borderId="0" xfId="10" applyFont="1"/>
    <xf numFmtId="0" fontId="16" fillId="0" borderId="0" xfId="10" applyProtection="1">
      <protection locked="0"/>
    </xf>
    <xf numFmtId="0" fontId="16" fillId="0" borderId="0" xfId="10"/>
    <xf numFmtId="0" fontId="18" fillId="0" borderId="0" xfId="11" applyFont="1"/>
    <xf numFmtId="0" fontId="14" fillId="0" borderId="32" xfId="8" applyFont="1" applyBorder="1" applyAlignment="1">
      <alignment horizontal="center"/>
    </xf>
    <xf numFmtId="0" fontId="14" fillId="0" borderId="33" xfId="8" applyFont="1" applyBorder="1" applyAlignment="1">
      <alignment horizontal="center"/>
    </xf>
    <xf numFmtId="0" fontId="14" fillId="0" borderId="34" xfId="8" applyFont="1" applyBorder="1" applyAlignment="1">
      <alignment horizontal="center"/>
    </xf>
    <xf numFmtId="0" fontId="66" fillId="0" borderId="4" xfId="8" applyFont="1" applyBorder="1"/>
    <xf numFmtId="0" fontId="66" fillId="0" borderId="35" xfId="8" applyFont="1" applyBorder="1" applyAlignment="1">
      <alignment horizontal="center"/>
    </xf>
    <xf numFmtId="0" fontId="66" fillId="0" borderId="36" xfId="8" applyFont="1" applyBorder="1" applyAlignment="1">
      <alignment horizontal="center"/>
    </xf>
    <xf numFmtId="0" fontId="66" fillId="0" borderId="4" xfId="8" applyFont="1" applyBorder="1" applyAlignment="1">
      <alignment horizontal="center" wrapText="1"/>
    </xf>
    <xf numFmtId="0" fontId="67" fillId="8" borderId="25" xfId="8" applyFont="1" applyFill="1" applyBorder="1" applyAlignment="1">
      <alignment horizontal="left" textRotation="90" wrapText="1"/>
    </xf>
    <xf numFmtId="0" fontId="67" fillId="8" borderId="1" xfId="8" applyFont="1" applyFill="1" applyBorder="1" applyAlignment="1">
      <alignment horizontal="left" textRotation="90" wrapText="1"/>
    </xf>
    <xf numFmtId="0" fontId="2" fillId="0" borderId="0" xfId="8" applyAlignment="1">
      <alignment wrapText="1"/>
    </xf>
    <xf numFmtId="0" fontId="67" fillId="0" borderId="37" xfId="8" applyFont="1" applyBorder="1"/>
    <xf numFmtId="0" fontId="67" fillId="0" borderId="23" xfId="8" applyFont="1" applyBorder="1" applyAlignment="1">
      <alignment horizontal="center"/>
    </xf>
    <xf numFmtId="0" fontId="67" fillId="0" borderId="2" xfId="8" applyFont="1" applyBorder="1" applyAlignment="1">
      <alignment horizontal="center"/>
    </xf>
    <xf numFmtId="0" fontId="4" fillId="0" borderId="8" xfId="8" applyFont="1" applyBorder="1" applyAlignment="1">
      <alignment horizontal="center"/>
    </xf>
    <xf numFmtId="0" fontId="4" fillId="0" borderId="2" xfId="8" applyFont="1" applyBorder="1" applyAlignment="1">
      <alignment horizontal="center"/>
    </xf>
    <xf numFmtId="0" fontId="67" fillId="0" borderId="38" xfId="8" applyFont="1" applyBorder="1"/>
    <xf numFmtId="0" fontId="67" fillId="0" borderId="38" xfId="8" applyFont="1" applyBorder="1" applyAlignment="1">
      <alignment horizontal="left"/>
    </xf>
    <xf numFmtId="0" fontId="2" fillId="0" borderId="0" xfId="8" applyAlignment="1">
      <alignment horizontal="center"/>
    </xf>
    <xf numFmtId="0" fontId="67" fillId="0" borderId="39" xfId="8" applyFont="1" applyBorder="1"/>
    <xf numFmtId="0" fontId="67" fillId="0" borderId="40" xfId="8" applyFont="1" applyBorder="1"/>
    <xf numFmtId="0" fontId="67" fillId="0" borderId="10" xfId="8" applyFont="1" applyBorder="1"/>
    <xf numFmtId="0" fontId="4" fillId="0" borderId="11" xfId="8" applyFont="1" applyBorder="1" applyAlignment="1">
      <alignment horizontal="center"/>
    </xf>
    <xf numFmtId="0" fontId="67" fillId="0" borderId="10" xfId="8" applyFont="1" applyBorder="1" applyAlignment="1">
      <alignment horizontal="center"/>
    </xf>
    <xf numFmtId="0" fontId="4" fillId="0" borderId="10" xfId="8" applyFont="1" applyBorder="1" applyAlignment="1">
      <alignment horizontal="center"/>
    </xf>
    <xf numFmtId="0" fontId="14" fillId="3" borderId="2" xfId="2" applyFont="1" applyFill="1" applyBorder="1" applyAlignment="1">
      <alignment horizontal="left"/>
    </xf>
    <xf numFmtId="0" fontId="14" fillId="3" borderId="2" xfId="2" applyFont="1" applyFill="1" applyBorder="1" applyAlignment="1">
      <alignment horizontal="center"/>
    </xf>
    <xf numFmtId="0" fontId="2" fillId="3" borderId="2" xfId="2" applyFill="1" applyBorder="1" applyAlignment="1">
      <alignment horizontal="left"/>
    </xf>
    <xf numFmtId="0" fontId="2" fillId="0" borderId="0" xfId="8" applyAlignment="1">
      <alignment horizontal="left" vertical="top" wrapText="1"/>
    </xf>
    <xf numFmtId="0" fontId="2" fillId="0" borderId="0" xfId="8" applyAlignment="1">
      <alignment horizontal="left" vertical="top"/>
    </xf>
    <xf numFmtId="0" fontId="0" fillId="0" borderId="0" xfId="0" applyAlignment="1">
      <alignment wrapText="1"/>
    </xf>
    <xf numFmtId="0" fontId="2" fillId="0" borderId="0" xfId="2" applyAlignment="1">
      <alignment wrapText="1"/>
    </xf>
  </cellXfs>
  <cellStyles count="12">
    <cellStyle name="Normal" xfId="0" builtinId="0"/>
    <cellStyle name="Normal 10" xfId="3" xr:uid="{5AFBFB11-66B4-4E70-BAF1-E62338A7BAB0}"/>
    <cellStyle name="Normal 2" xfId="6" xr:uid="{9DD9C7A5-10F3-43AE-A9BC-70065F9A587D}"/>
    <cellStyle name="Normal 2 15" xfId="5" xr:uid="{2223557A-CBB6-46AD-B099-521AAD954325}"/>
    <cellStyle name="Normal 2 2" xfId="8" xr:uid="{5AE5270C-7F91-42BC-BCCB-4ECB8ED432CF}"/>
    <cellStyle name="Normal 2 5" xfId="1" xr:uid="{67A54698-5E1A-47EC-B0E9-900245B651D5}"/>
    <cellStyle name="Normal 3" xfId="7" xr:uid="{BB5981A1-D8AB-402F-AAD5-3E58E2C21403}"/>
    <cellStyle name="Normal 3 3" xfId="4" xr:uid="{A453610B-7D91-4258-AF77-41BF60F88085}"/>
    <cellStyle name="Normal 4" xfId="2" xr:uid="{D78FFC30-C4ED-4E65-937A-89536228E765}"/>
    <cellStyle name="Normal 6" xfId="9" xr:uid="{F707D6C7-DC2F-4023-9A84-07A45527FE5A}"/>
    <cellStyle name="Normal 7" xfId="11" xr:uid="{91BA4150-F07E-45A9-9652-4CCB0BB593E3}"/>
    <cellStyle name="Normal 8" xfId="10" xr:uid="{03702FE7-8B15-4E52-A5AF-B020FCAAAB25}"/>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bottom style="thin">
          <color theme="0" tint="-4.9989318521683403E-2"/>
        </bottom>
      </border>
    </dxf>
    <dxf>
      <fill>
        <patternFill patternType="none">
          <fgColor indexed="64"/>
          <bgColor auto="1"/>
        </patternFill>
      </fill>
      <border>
        <bottom style="thin">
          <color theme="0" tint="-4.9989318521683403E-2"/>
        </bottom>
      </border>
    </dxf>
    <dxf>
      <font>
        <b/>
        <color theme="0"/>
      </font>
      <fill>
        <patternFill patternType="none">
          <fgColor auto="1"/>
          <bgColor auto="1"/>
        </patternFill>
      </fill>
      <border>
        <top style="thick">
          <color rgb="FF00B0F0"/>
        </top>
      </border>
    </dxf>
    <dxf>
      <font>
        <b/>
        <i val="0"/>
        <strike val="0"/>
        <color theme="3"/>
      </font>
      <fill>
        <patternFill patternType="solid">
          <fgColor theme="0"/>
          <bgColor theme="0"/>
        </patternFill>
      </fill>
      <border>
        <bottom style="thick">
          <color rgb="FF00B0F0"/>
        </bottom>
      </border>
    </dxf>
    <dxf>
      <font>
        <color theme="1"/>
      </font>
      <fill>
        <patternFill patternType="none">
          <fgColor indexed="64"/>
          <bgColor auto="1"/>
        </patternFill>
      </fill>
      <border>
        <vertical style="thin">
          <color theme="0"/>
        </vertical>
        <horizontal style="thin">
          <color theme="0"/>
        </horizontal>
      </border>
    </dxf>
  </dxfs>
  <tableStyles count="1" defaultTableStyle="TableStyleMedium2" defaultPivotStyle="PivotStyleLight16">
    <tableStyle name="POLARION" pivot="0" count="5" xr9:uid="{B399BD6C-E021-42F7-A392-D2B92A8F1913}">
      <tableStyleElement type="wholeTable" dxfId="8"/>
      <tableStyleElement type="headerRow" dxfId="7"/>
      <tableStyleElement type="total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180975</xdr:rowOff>
        </xdr:from>
        <xdr:to>
          <xdr:col>12</xdr:col>
          <xdr:colOff>0</xdr:colOff>
          <xdr:row>8</xdr:row>
          <xdr:rowOff>180975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Copy Master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0</xdr:rowOff>
        </xdr:from>
        <xdr:to>
          <xdr:col>12</xdr:col>
          <xdr:colOff>9525</xdr:colOff>
          <xdr:row>13</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Click here to goto Creation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1</xdr:col>
      <xdr:colOff>2038350</xdr:colOff>
      <xdr:row>5</xdr:row>
      <xdr:rowOff>2289</xdr:rowOff>
    </xdr:to>
    <xdr:pic>
      <xdr:nvPicPr>
        <xdr:cNvPr id="2" name="Picture 1" descr="JJ_MT_Logo_SingleLine_Red_RGB">
          <a:extLst>
            <a:ext uri="{FF2B5EF4-FFF2-40B4-BE49-F238E27FC236}">
              <a16:creationId xmlns:a16="http://schemas.microsoft.com/office/drawing/2014/main" id="{45D51C01-6792-45C9-9FD4-21AA0C2D1CD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0"/>
          <a:ext cx="2800350" cy="811914"/>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88440-7B59-4110-A00C-D54989942B92}">
  <sheetPr codeName="Sheet1"/>
  <dimension ref="A1:L5"/>
  <sheetViews>
    <sheetView workbookViewId="0">
      <selection activeCell="G28" sqref="G28"/>
    </sheetView>
  </sheetViews>
  <sheetFormatPr defaultRowHeight="15" x14ac:dyDescent="0.25"/>
  <sheetData>
    <row r="1" spans="1:12" ht="15" customHeight="1" x14ac:dyDescent="0.25">
      <c r="A1" s="1"/>
      <c r="B1" s="1"/>
      <c r="C1" s="1"/>
      <c r="D1" s="1"/>
      <c r="E1" s="1"/>
      <c r="F1" s="1"/>
      <c r="G1" s="1"/>
      <c r="H1" s="1"/>
      <c r="I1" s="1"/>
      <c r="J1" s="1"/>
      <c r="K1" s="1"/>
      <c r="L1" s="1"/>
    </row>
    <row r="2" spans="1:12" ht="15" customHeight="1" x14ac:dyDescent="0.25">
      <c r="A2" s="1"/>
      <c r="B2" s="1"/>
      <c r="C2" s="1"/>
      <c r="D2" s="1"/>
      <c r="E2" s="1"/>
      <c r="F2" s="1"/>
      <c r="G2" s="1"/>
      <c r="H2" s="1"/>
      <c r="I2" s="1"/>
      <c r="J2" s="1"/>
      <c r="K2" s="1"/>
      <c r="L2" s="1"/>
    </row>
    <row r="3" spans="1:12" ht="15" customHeight="1" x14ac:dyDescent="0.25">
      <c r="A3" s="1"/>
      <c r="B3" s="1"/>
      <c r="C3" s="1"/>
      <c r="D3" s="1"/>
      <c r="E3" s="1"/>
      <c r="F3" s="1"/>
      <c r="G3" s="1"/>
      <c r="H3" s="1"/>
      <c r="I3" s="1"/>
      <c r="J3" s="1"/>
      <c r="K3" s="1"/>
      <c r="L3" s="1"/>
    </row>
    <row r="4" spans="1:12" ht="15" customHeight="1" x14ac:dyDescent="0.25">
      <c r="A4" s="1"/>
      <c r="B4" s="1"/>
      <c r="C4" s="1"/>
      <c r="D4" s="1"/>
      <c r="E4" s="1"/>
      <c r="F4" s="1"/>
      <c r="G4" s="1"/>
      <c r="H4" s="1"/>
      <c r="I4" s="1"/>
      <c r="J4" s="1"/>
      <c r="K4" s="1"/>
      <c r="L4" s="1"/>
    </row>
    <row r="5" spans="1:12" ht="15" customHeight="1" x14ac:dyDescent="0.25">
      <c r="A5" s="1"/>
      <c r="B5" s="1"/>
      <c r="C5" s="1"/>
      <c r="D5" s="1"/>
      <c r="E5" s="1"/>
      <c r="F5" s="1"/>
      <c r="G5" s="1"/>
      <c r="H5" s="1"/>
      <c r="I5" s="1"/>
      <c r="J5" s="1"/>
      <c r="K5" s="1"/>
      <c r="L5" s="1"/>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Main.main">
                <anchor moveWithCells="1" sizeWithCells="1">
                  <from>
                    <xdr:col>0</xdr:col>
                    <xdr:colOff>38100</xdr:colOff>
                    <xdr:row>4</xdr:row>
                    <xdr:rowOff>180975</xdr:rowOff>
                  </from>
                  <to>
                    <xdr:col>12</xdr:col>
                    <xdr:colOff>0</xdr:colOff>
                    <xdr:row>8</xdr:row>
                    <xdr:rowOff>180975</xdr:rowOff>
                  </to>
                </anchor>
              </controlPr>
            </control>
          </mc:Choice>
        </mc:AlternateContent>
        <mc:AlternateContent xmlns:mc="http://schemas.openxmlformats.org/markup-compatibility/2006">
          <mc:Choice Requires="x14">
            <control shapeId="1033" r:id="rId5" name="Button 9">
              <controlPr defaultSize="0" print="0" autoFill="0" autoPict="0" macro="[0]!Module1.input_doc">
                <anchor moveWithCells="1" sizeWithCells="1">
                  <from>
                    <xdr:col>0</xdr:col>
                    <xdr:colOff>19050</xdr:colOff>
                    <xdr:row>9</xdr:row>
                    <xdr:rowOff>0</xdr:rowOff>
                  </from>
                  <to>
                    <xdr:col>12</xdr:col>
                    <xdr:colOff>9525</xdr:colOff>
                    <xdr:row>13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75126-DAAD-42BD-8565-EE2B3B7C23D7}">
  <sheetPr codeName="Sheet3"/>
  <dimension ref="A1"/>
  <sheetViews>
    <sheetView workbookViewId="0">
      <selection activeCell="E12" sqref="E12"/>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7C5EB-F35A-4DC1-BEF6-E611F360EFBD}">
  <sheetPr>
    <pageSetUpPr fitToPage="1"/>
  </sheetPr>
  <dimension ref="A1:G57"/>
  <sheetViews>
    <sheetView showGridLines="0" topLeftCell="A17" zoomScaleNormal="100" zoomScaleSheetLayoutView="100" zoomScalePageLayoutView="120" workbookViewId="0">
      <selection activeCell="C25" sqref="C25:D25"/>
    </sheetView>
  </sheetViews>
  <sheetFormatPr defaultColWidth="9.140625" defaultRowHeight="12.75" x14ac:dyDescent="0.2"/>
  <cols>
    <col min="1" max="1" width="12.28515625" style="4" customWidth="1"/>
    <col min="2" max="2" width="31.42578125" style="3" customWidth="1"/>
    <col min="3" max="3" width="42.42578125" style="3" customWidth="1"/>
    <col min="4" max="6" width="37.140625" style="3" customWidth="1"/>
    <col min="7" max="16384" width="9.140625" style="4"/>
  </cols>
  <sheetData>
    <row r="1" spans="1:7" x14ac:dyDescent="0.2">
      <c r="A1" s="2"/>
      <c r="B1" s="2"/>
      <c r="C1" s="2"/>
      <c r="D1" s="2"/>
    </row>
    <row r="2" spans="1:7" x14ac:dyDescent="0.2">
      <c r="A2" s="2"/>
      <c r="B2" s="2"/>
      <c r="C2" s="2"/>
      <c r="D2" s="2"/>
    </row>
    <row r="3" spans="1:7" x14ac:dyDescent="0.2">
      <c r="A3" s="2"/>
      <c r="B3" s="2"/>
      <c r="C3" s="2"/>
      <c r="D3" s="2"/>
    </row>
    <row r="4" spans="1:7" x14ac:dyDescent="0.2">
      <c r="A4" s="2"/>
      <c r="B4" s="2"/>
      <c r="C4" s="2"/>
      <c r="D4" s="2"/>
    </row>
    <row r="5" spans="1:7" x14ac:dyDescent="0.2">
      <c r="A5" s="2"/>
      <c r="B5" s="2"/>
      <c r="C5" s="2"/>
      <c r="D5" s="2"/>
    </row>
    <row r="6" spans="1:7" s="8" customFormat="1" ht="15.75" x14ac:dyDescent="0.25">
      <c r="A6" s="5" t="s">
        <v>2</v>
      </c>
      <c r="B6" s="6"/>
      <c r="C6" s="6"/>
      <c r="D6" s="6"/>
      <c r="E6" s="7"/>
      <c r="F6" s="7"/>
    </row>
    <row r="7" spans="1:7" s="8" customFormat="1" ht="15.75" x14ac:dyDescent="0.25">
      <c r="A7" s="5" t="s">
        <v>3</v>
      </c>
      <c r="B7" s="6"/>
      <c r="C7" s="6"/>
      <c r="D7" s="6"/>
      <c r="E7" s="7"/>
      <c r="F7" s="7"/>
    </row>
    <row r="8" spans="1:7" s="8" customFormat="1" ht="15.75" x14ac:dyDescent="0.25">
      <c r="A8" s="9" t="s">
        <v>4</v>
      </c>
      <c r="B8" s="6"/>
      <c r="C8" s="6"/>
      <c r="D8" s="6"/>
      <c r="E8" s="7"/>
      <c r="F8" s="7"/>
    </row>
    <row r="9" spans="1:7" s="8" customFormat="1" ht="15.75" x14ac:dyDescent="0.25">
      <c r="A9" s="5" t="s">
        <v>5</v>
      </c>
      <c r="B9" s="6"/>
      <c r="C9" s="6"/>
      <c r="D9" s="6"/>
      <c r="E9" s="7"/>
      <c r="F9" s="7"/>
    </row>
    <row r="10" spans="1:7" ht="22.5" customHeight="1" x14ac:dyDescent="0.2">
      <c r="A10" s="2"/>
      <c r="B10" s="2"/>
      <c r="C10" s="2"/>
      <c r="D10" s="2"/>
    </row>
    <row r="11" spans="1:7" ht="16.5" thickBot="1" x14ac:dyDescent="0.25">
      <c r="A11" s="10" t="s">
        <v>6</v>
      </c>
      <c r="B11" s="10"/>
      <c r="C11" s="10"/>
      <c r="D11" s="10"/>
    </row>
    <row r="12" spans="1:7" ht="16.5" thickBot="1" x14ac:dyDescent="0.25">
      <c r="A12" s="11" t="s">
        <v>7</v>
      </c>
      <c r="B12" s="12"/>
      <c r="C12" s="13" t="s">
        <v>8</v>
      </c>
      <c r="D12" s="14" t="s">
        <v>9</v>
      </c>
      <c r="E12" s="2"/>
      <c r="G12" s="3"/>
    </row>
    <row r="13" spans="1:7" ht="14.25" x14ac:dyDescent="0.2">
      <c r="A13" s="15" t="s">
        <v>10</v>
      </c>
      <c r="B13" s="16"/>
      <c r="C13" s="16"/>
      <c r="D13" s="17"/>
      <c r="E13" s="2"/>
      <c r="G13" s="3"/>
    </row>
    <row r="14" spans="1:7" ht="30" x14ac:dyDescent="0.2">
      <c r="A14" s="18" t="s">
        <v>11</v>
      </c>
      <c r="B14" s="19"/>
      <c r="C14" s="20" t="s">
        <v>12</v>
      </c>
      <c r="D14" s="21" t="s">
        <v>13</v>
      </c>
      <c r="E14" s="2"/>
      <c r="G14" s="3"/>
    </row>
    <row r="15" spans="1:7" ht="30" x14ac:dyDescent="0.2">
      <c r="A15" s="22" t="s">
        <v>14</v>
      </c>
      <c r="B15" s="23"/>
      <c r="C15" s="24" t="s">
        <v>15</v>
      </c>
      <c r="D15" s="25" t="s">
        <v>13</v>
      </c>
      <c r="E15" s="2"/>
      <c r="G15" s="3"/>
    </row>
    <row r="16" spans="1:7" ht="30" x14ac:dyDescent="0.2">
      <c r="A16" s="22" t="s">
        <v>16</v>
      </c>
      <c r="B16" s="23"/>
      <c r="C16" s="24" t="s">
        <v>17</v>
      </c>
      <c r="D16" s="21" t="s">
        <v>13</v>
      </c>
      <c r="E16" s="2"/>
      <c r="G16" s="3"/>
    </row>
    <row r="17" spans="1:7" ht="30" x14ac:dyDescent="0.2">
      <c r="A17" s="22" t="s">
        <v>18</v>
      </c>
      <c r="B17" s="23"/>
      <c r="C17" s="24" t="s">
        <v>19</v>
      </c>
      <c r="D17" s="21" t="s">
        <v>13</v>
      </c>
      <c r="E17" s="2"/>
      <c r="G17" s="3"/>
    </row>
    <row r="18" spans="1:7" ht="14.25" x14ac:dyDescent="0.2">
      <c r="A18" s="26" t="s">
        <v>20</v>
      </c>
      <c r="B18" s="27"/>
      <c r="C18" s="27"/>
      <c r="D18" s="28"/>
      <c r="E18" s="2"/>
      <c r="G18" s="3"/>
    </row>
    <row r="19" spans="1:7" ht="15" x14ac:dyDescent="0.2">
      <c r="A19" s="22" t="s">
        <v>21</v>
      </c>
      <c r="B19" s="23"/>
      <c r="C19" s="24" t="s">
        <v>0</v>
      </c>
      <c r="D19" s="24" t="s">
        <v>0</v>
      </c>
      <c r="E19" s="2"/>
      <c r="G19" s="3"/>
    </row>
    <row r="20" spans="1:7" ht="15" x14ac:dyDescent="0.2">
      <c r="A20" s="22" t="s">
        <v>22</v>
      </c>
      <c r="B20" s="23"/>
      <c r="C20" s="24" t="s">
        <v>0</v>
      </c>
      <c r="D20" s="24" t="s">
        <v>0</v>
      </c>
      <c r="E20" s="2"/>
      <c r="G20" s="3"/>
    </row>
    <row r="21" spans="1:7" ht="22.5" customHeight="1" x14ac:dyDescent="0.2">
      <c r="A21" s="2"/>
      <c r="B21" s="2"/>
      <c r="C21" s="2"/>
      <c r="D21" s="2"/>
    </row>
    <row r="22" spans="1:7" ht="43.5" customHeight="1" thickBot="1" x14ac:dyDescent="0.25">
      <c r="A22" s="29" t="s">
        <v>23</v>
      </c>
      <c r="B22" s="29"/>
      <c r="C22" s="29"/>
      <c r="D22" s="29"/>
    </row>
    <row r="23" spans="1:7" ht="15.75" x14ac:dyDescent="0.2">
      <c r="A23" s="30" t="s">
        <v>24</v>
      </c>
      <c r="B23" s="31"/>
      <c r="C23" s="31" t="s">
        <v>25</v>
      </c>
      <c r="D23" s="32"/>
      <c r="E23" s="2"/>
      <c r="G23" s="3"/>
    </row>
    <row r="24" spans="1:7" ht="15" x14ac:dyDescent="0.2">
      <c r="A24" s="33">
        <v>1</v>
      </c>
      <c r="B24" s="33"/>
      <c r="C24" s="33" t="s">
        <v>26</v>
      </c>
      <c r="D24" s="33"/>
      <c r="E24" s="2"/>
      <c r="G24" s="3"/>
    </row>
    <row r="25" spans="1:7" ht="180" customHeight="1" x14ac:dyDescent="0.2">
      <c r="A25" s="33">
        <v>2</v>
      </c>
      <c r="B25" s="33"/>
      <c r="C25" s="34" t="s">
        <v>27</v>
      </c>
      <c r="D25" s="34"/>
      <c r="E25" s="2"/>
      <c r="G25" s="3"/>
    </row>
    <row r="26" spans="1:7" ht="22.5" customHeight="1" x14ac:dyDescent="0.2"/>
    <row r="27" spans="1:7" ht="31.5" customHeight="1" thickBot="1" x14ac:dyDescent="0.25">
      <c r="A27" s="35" t="s">
        <v>28</v>
      </c>
      <c r="B27" s="35"/>
      <c r="C27" s="35"/>
      <c r="D27" s="35"/>
      <c r="E27" s="35"/>
      <c r="F27" s="35"/>
    </row>
    <row r="28" spans="1:7" s="2" customFormat="1" ht="16.5" thickBot="1" x14ac:dyDescent="0.25">
      <c r="A28" s="36" t="s">
        <v>29</v>
      </c>
      <c r="B28" s="37" t="s">
        <v>30</v>
      </c>
      <c r="C28" s="37" t="s">
        <v>31</v>
      </c>
      <c r="D28" s="37" t="s">
        <v>32</v>
      </c>
      <c r="E28" s="37" t="s">
        <v>33</v>
      </c>
      <c r="F28" s="38" t="s">
        <v>34</v>
      </c>
    </row>
    <row r="29" spans="1:7" ht="15" x14ac:dyDescent="0.2">
      <c r="A29" s="39"/>
      <c r="B29" s="40"/>
      <c r="C29" s="41"/>
      <c r="D29" s="42"/>
      <c r="E29" s="42"/>
      <c r="F29" s="43"/>
    </row>
    <row r="30" spans="1:7" s="44" customFormat="1" ht="12.75" customHeight="1" x14ac:dyDescent="0.2">
      <c r="A30" s="4"/>
      <c r="B30" s="3"/>
      <c r="C30" s="3"/>
      <c r="D30" s="3"/>
      <c r="E30" s="3"/>
      <c r="F30" s="4"/>
    </row>
    <row r="31" spans="1:7" ht="12.75" customHeight="1" x14ac:dyDescent="0.2">
      <c r="A31" s="44"/>
      <c r="F31" s="4"/>
    </row>
    <row r="32" spans="1:7" ht="12.75" customHeight="1" x14ac:dyDescent="0.2">
      <c r="A32" s="44"/>
    </row>
    <row r="33" spans="1:6" s="44" customFormat="1" ht="12.75" customHeight="1" x14ac:dyDescent="0.2">
      <c r="A33" s="4"/>
      <c r="B33" s="3"/>
      <c r="C33" s="3"/>
      <c r="D33" s="3"/>
      <c r="E33" s="3"/>
      <c r="F33" s="3"/>
    </row>
    <row r="34" spans="1:6" s="44" customFormat="1" ht="12.75" customHeight="1" x14ac:dyDescent="0.2">
      <c r="A34" s="4"/>
      <c r="B34" s="3"/>
      <c r="C34" s="3"/>
      <c r="D34" s="3"/>
      <c r="E34" s="3"/>
      <c r="F34" s="3"/>
    </row>
    <row r="35" spans="1:6" ht="12.75" customHeight="1" x14ac:dyDescent="0.2">
      <c r="A35" s="44"/>
    </row>
    <row r="36" spans="1:6" ht="12.75" customHeight="1" x14ac:dyDescent="0.2"/>
    <row r="37" spans="1:6" s="44" customFormat="1" ht="12.75" customHeight="1" x14ac:dyDescent="0.2">
      <c r="A37" s="4"/>
      <c r="B37" s="3"/>
      <c r="C37" s="3"/>
      <c r="D37" s="3"/>
      <c r="E37" s="3"/>
      <c r="F37" s="3"/>
    </row>
    <row r="38" spans="1:6" ht="12.75" customHeight="1" x14ac:dyDescent="0.2"/>
    <row r="39" spans="1:6" ht="12.75" customHeight="1" x14ac:dyDescent="0.2">
      <c r="A39" s="44"/>
    </row>
    <row r="40" spans="1:6" ht="12.75" customHeight="1" x14ac:dyDescent="0.2"/>
    <row r="41" spans="1:6" s="44" customFormat="1" ht="12.75" customHeight="1" x14ac:dyDescent="0.2">
      <c r="A41" s="4"/>
      <c r="B41" s="3"/>
      <c r="C41" s="3"/>
      <c r="D41" s="3"/>
      <c r="E41" s="3"/>
      <c r="F41" s="3"/>
    </row>
    <row r="42" spans="1:6" ht="12.75" customHeight="1" x14ac:dyDescent="0.2"/>
    <row r="43" spans="1:6" ht="12.75" customHeight="1" x14ac:dyDescent="0.2"/>
    <row r="44" spans="1:6" ht="12.75" customHeight="1" x14ac:dyDescent="0.2"/>
    <row r="45" spans="1:6" ht="12.75" customHeight="1" x14ac:dyDescent="0.2"/>
    <row r="46" spans="1:6" ht="12.75" customHeight="1" x14ac:dyDescent="0.2"/>
    <row r="47" spans="1:6" ht="12.75" customHeight="1" x14ac:dyDescent="0.2"/>
    <row r="48" spans="1:6"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sheetData>
  <mergeCells count="18">
    <mergeCell ref="A24:B24"/>
    <mergeCell ref="C24:D24"/>
    <mergeCell ref="A25:B25"/>
    <mergeCell ref="C25:D25"/>
    <mergeCell ref="A27:F27"/>
    <mergeCell ref="A17:B17"/>
    <mergeCell ref="A18:D18"/>
    <mergeCell ref="A19:B19"/>
    <mergeCell ref="A20:B20"/>
    <mergeCell ref="A22:D22"/>
    <mergeCell ref="A23:B23"/>
    <mergeCell ref="C23:D23"/>
    <mergeCell ref="A11:D11"/>
    <mergeCell ref="A12:B12"/>
    <mergeCell ref="A13:D13"/>
    <mergeCell ref="A14:B14"/>
    <mergeCell ref="A15:B15"/>
    <mergeCell ref="A16:B16"/>
  </mergeCells>
  <printOptions horizontalCentered="1"/>
  <pageMargins left="0.5" right="0.5" top="0.7" bottom="0.5" header="0.38" footer="0.25"/>
  <pageSetup scale="65" fitToHeight="0" orientation="landscape" r:id="rId1"/>
  <headerFooter alignWithMargins="0">
    <oddHeader>&amp;C&amp;"Times New Roman,Bold"&amp;12Project Chroma Design Input Traceability Matrix (DITM)</oddHeader>
    <oddFooter>&amp;L&amp;"Times New Roman,Bold"&amp;9Title Page&amp;C&amp;"Times New Roman,Bold"&amp;9VCF-2468 (15)&amp;K000000
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634F4-BFDB-46A2-904A-787A886335F0}">
  <sheetPr>
    <pageSetUpPr fitToPage="1"/>
  </sheetPr>
  <dimension ref="A1:B6"/>
  <sheetViews>
    <sheetView showGridLines="0" zoomScaleNormal="100" zoomScaleSheetLayoutView="100" workbookViewId="0">
      <selection activeCell="B5" sqref="B5"/>
    </sheetView>
  </sheetViews>
  <sheetFormatPr defaultColWidth="9.140625" defaultRowHeight="15" x14ac:dyDescent="0.25"/>
  <cols>
    <col min="1" max="1" width="24.28515625" style="45" bestFit="1" customWidth="1"/>
    <col min="2" max="2" width="90.28515625" style="45" customWidth="1"/>
    <col min="3" max="16384" width="9.140625" style="45"/>
  </cols>
  <sheetData>
    <row r="1" spans="1:2" s="6" customFormat="1" ht="15.75" x14ac:dyDescent="0.25">
      <c r="A1" s="5" t="s">
        <v>35</v>
      </c>
    </row>
    <row r="2" spans="1:2" ht="22.5" customHeight="1" x14ac:dyDescent="0.25"/>
    <row r="3" spans="1:2" ht="15" customHeight="1" thickBot="1" x14ac:dyDescent="0.3">
      <c r="A3" s="46" t="s">
        <v>36</v>
      </c>
      <c r="B3" s="46"/>
    </row>
    <row r="4" spans="1:2" ht="30" x14ac:dyDescent="0.25">
      <c r="A4" s="47" t="s">
        <v>37</v>
      </c>
      <c r="B4" s="48" t="s">
        <v>38</v>
      </c>
    </row>
    <row r="5" spans="1:2" ht="68.25" x14ac:dyDescent="0.25">
      <c r="A5" s="49" t="s">
        <v>39</v>
      </c>
      <c r="B5" s="50" t="s">
        <v>40</v>
      </c>
    </row>
    <row r="6" spans="1:2" ht="75.75" thickBot="1" x14ac:dyDescent="0.3">
      <c r="A6" s="51" t="s">
        <v>41</v>
      </c>
      <c r="B6" s="52" t="s">
        <v>42</v>
      </c>
    </row>
  </sheetData>
  <mergeCells count="1">
    <mergeCell ref="A3:B3"/>
  </mergeCells>
  <pageMargins left="0.7" right="0.7" top="0.75" bottom="0.75" header="0.3" footer="0.3"/>
  <pageSetup scale="80" fitToHeight="0" orientation="portrait" r:id="rId1"/>
  <headerFooter>
    <oddHeader>&amp;C&amp;"Times New Roman,Bold"&amp;12Project Chroma Design Input Traceability Matrix (DITM)</oddHeader>
    <oddFooter>&amp;L&amp;"Times New Roman,Bold"&amp;9Background&amp;C&amp;"Times New Roman,Bold"&amp;9VCF-2468 (15)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2AEE5-4BE9-4EC6-9CC8-252813AA834D}">
  <dimension ref="A1:B70"/>
  <sheetViews>
    <sheetView tabSelected="1" workbookViewId="0">
      <selection activeCell="B4" sqref="B4"/>
    </sheetView>
  </sheetViews>
  <sheetFormatPr defaultRowHeight="15" x14ac:dyDescent="0.25"/>
  <cols>
    <col min="1" max="1" width="39.7109375" style="60" customWidth="1"/>
    <col min="2" max="2" width="96.140625" style="58" customWidth="1"/>
  </cols>
  <sheetData>
    <row r="1" spans="1:2" ht="15.75" thickBot="1" x14ac:dyDescent="0.3">
      <c r="A1" s="63" t="s">
        <v>48</v>
      </c>
      <c r="B1" s="63" t="s">
        <v>451</v>
      </c>
    </row>
    <row r="2" spans="1:2" ht="39" x14ac:dyDescent="0.25">
      <c r="A2" s="75" t="s">
        <v>59</v>
      </c>
      <c r="B2" s="174" t="s">
        <v>468</v>
      </c>
    </row>
    <row r="3" spans="1:2" ht="63.75" x14ac:dyDescent="0.25">
      <c r="A3" s="78" t="s">
        <v>81</v>
      </c>
      <c r="B3" s="174" t="s">
        <v>452</v>
      </c>
    </row>
    <row r="4" spans="1:2" ht="63.75" x14ac:dyDescent="0.25">
      <c r="A4" s="78" t="s">
        <v>94</v>
      </c>
      <c r="B4" s="174" t="s">
        <v>453</v>
      </c>
    </row>
    <row r="5" spans="1:2" ht="64.5" x14ac:dyDescent="0.25">
      <c r="A5" s="75" t="s">
        <v>101</v>
      </c>
      <c r="B5" s="174" t="s">
        <v>469</v>
      </c>
    </row>
    <row r="6" spans="1:2" ht="76.5" x14ac:dyDescent="0.25">
      <c r="A6" s="87" t="s">
        <v>128</v>
      </c>
      <c r="B6" s="174" t="s">
        <v>454</v>
      </c>
    </row>
    <row r="7" spans="1:2" ht="63.75" x14ac:dyDescent="0.25">
      <c r="A7" s="78" t="s">
        <v>136</v>
      </c>
      <c r="B7" s="174" t="s">
        <v>470</v>
      </c>
    </row>
    <row r="8" spans="1:2" ht="25.5" x14ac:dyDescent="0.25">
      <c r="A8" s="78" t="s">
        <v>146</v>
      </c>
      <c r="B8" s="174" t="s">
        <v>455</v>
      </c>
    </row>
    <row r="9" spans="1:2" ht="63.75" x14ac:dyDescent="0.25">
      <c r="A9" s="75" t="s">
        <v>205</v>
      </c>
      <c r="B9" s="174" t="s">
        <v>456</v>
      </c>
    </row>
    <row r="10" spans="1:2" ht="127.5" x14ac:dyDescent="0.25">
      <c r="A10" s="78" t="s">
        <v>216</v>
      </c>
      <c r="B10" s="174" t="s">
        <v>457</v>
      </c>
    </row>
    <row r="11" spans="1:2" ht="127.5" x14ac:dyDescent="0.25">
      <c r="A11" s="111" t="s">
        <v>221</v>
      </c>
      <c r="B11" s="174" t="s">
        <v>458</v>
      </c>
    </row>
    <row r="12" spans="1:2" ht="25.5" x14ac:dyDescent="0.25">
      <c r="A12" s="75" t="s">
        <v>228</v>
      </c>
      <c r="B12" s="174" t="s">
        <v>459</v>
      </c>
    </row>
    <row r="13" spans="1:2" ht="51" x14ac:dyDescent="0.25">
      <c r="A13" s="78" t="s">
        <v>232</v>
      </c>
      <c r="B13" s="174" t="s">
        <v>460</v>
      </c>
    </row>
    <row r="14" spans="1:2" ht="25.5" x14ac:dyDescent="0.25">
      <c r="A14" s="78" t="s">
        <v>239</v>
      </c>
      <c r="B14" s="174" t="s">
        <v>471</v>
      </c>
    </row>
    <row r="15" spans="1:2" ht="63.75" x14ac:dyDescent="0.25">
      <c r="A15" s="78" t="s">
        <v>250</v>
      </c>
      <c r="B15" s="174" t="s">
        <v>461</v>
      </c>
    </row>
    <row r="16" spans="1:2" ht="51" x14ac:dyDescent="0.25">
      <c r="A16" s="75" t="s">
        <v>258</v>
      </c>
      <c r="B16" s="174" t="s">
        <v>472</v>
      </c>
    </row>
    <row r="17" spans="1:2" ht="89.25" x14ac:dyDescent="0.25">
      <c r="A17" s="78" t="s">
        <v>286</v>
      </c>
      <c r="B17" s="174" t="s">
        <v>462</v>
      </c>
    </row>
    <row r="18" spans="1:2" ht="51" x14ac:dyDescent="0.25">
      <c r="A18" s="78" t="s">
        <v>291</v>
      </c>
      <c r="B18" s="174" t="s">
        <v>463</v>
      </c>
    </row>
    <row r="19" spans="1:2" x14ac:dyDescent="0.25">
      <c r="A19" s="78" t="s">
        <v>295</v>
      </c>
      <c r="B19" s="174" t="s">
        <v>464</v>
      </c>
    </row>
    <row r="20" spans="1:2" ht="89.25" x14ac:dyDescent="0.25">
      <c r="A20" s="78" t="s">
        <v>303</v>
      </c>
      <c r="B20" s="174" t="s">
        <v>465</v>
      </c>
    </row>
    <row r="21" spans="1:2" x14ac:dyDescent="0.25">
      <c r="A21" s="78" t="s">
        <v>327</v>
      </c>
      <c r="B21" s="174" t="s">
        <v>466</v>
      </c>
    </row>
    <row r="22" spans="1:2" ht="38.25" x14ac:dyDescent="0.25">
      <c r="A22" s="78" t="s">
        <v>333</v>
      </c>
      <c r="B22" s="174" t="s">
        <v>467</v>
      </c>
    </row>
    <row r="23" spans="1:2" ht="63.75" x14ac:dyDescent="0.25">
      <c r="A23" s="78" t="s">
        <v>340</v>
      </c>
      <c r="B23" s="174" t="s">
        <v>473</v>
      </c>
    </row>
    <row r="24" spans="1:2" x14ac:dyDescent="0.25">
      <c r="A24"/>
      <c r="B24" s="173"/>
    </row>
    <row r="25" spans="1:2" x14ac:dyDescent="0.25">
      <c r="A25"/>
      <c r="B25" s="173"/>
    </row>
    <row r="26" spans="1:2" x14ac:dyDescent="0.25">
      <c r="A26"/>
      <c r="B26" s="173"/>
    </row>
    <row r="27" spans="1:2" x14ac:dyDescent="0.25">
      <c r="A27"/>
      <c r="B27" s="173"/>
    </row>
    <row r="28" spans="1:2" x14ac:dyDescent="0.25">
      <c r="A28"/>
      <c r="B28" s="173"/>
    </row>
    <row r="29" spans="1:2" x14ac:dyDescent="0.25">
      <c r="A29"/>
      <c r="B29" s="173"/>
    </row>
    <row r="30" spans="1:2" x14ac:dyDescent="0.25">
      <c r="A30"/>
      <c r="B30" s="173"/>
    </row>
    <row r="31" spans="1:2" x14ac:dyDescent="0.25">
      <c r="A31"/>
      <c r="B31" s="173"/>
    </row>
    <row r="32" spans="1:2" x14ac:dyDescent="0.25">
      <c r="A32"/>
      <c r="B32" s="173"/>
    </row>
    <row r="33" spans="1:2" x14ac:dyDescent="0.25">
      <c r="A33"/>
      <c r="B33" s="173"/>
    </row>
    <row r="34" spans="1:2" x14ac:dyDescent="0.25">
      <c r="A34"/>
      <c r="B34" s="173"/>
    </row>
    <row r="35" spans="1:2" x14ac:dyDescent="0.25">
      <c r="A35"/>
      <c r="B35" s="173"/>
    </row>
    <row r="36" spans="1:2" x14ac:dyDescent="0.25">
      <c r="A36"/>
      <c r="B36" s="173"/>
    </row>
    <row r="37" spans="1:2" x14ac:dyDescent="0.25">
      <c r="A37"/>
      <c r="B37" s="173"/>
    </row>
    <row r="38" spans="1:2" x14ac:dyDescent="0.25">
      <c r="A38"/>
      <c r="B38" s="173"/>
    </row>
    <row r="39" spans="1:2" x14ac:dyDescent="0.25">
      <c r="A39"/>
      <c r="B39" s="173"/>
    </row>
    <row r="40" spans="1:2" x14ac:dyDescent="0.25">
      <c r="A40"/>
      <c r="B40" s="173"/>
    </row>
    <row r="41" spans="1:2" x14ac:dyDescent="0.25">
      <c r="A41"/>
      <c r="B41" s="173"/>
    </row>
    <row r="42" spans="1:2" x14ac:dyDescent="0.25">
      <c r="A42"/>
      <c r="B42" s="173"/>
    </row>
    <row r="43" spans="1:2" x14ac:dyDescent="0.25">
      <c r="A43"/>
      <c r="B43" s="173"/>
    </row>
    <row r="44" spans="1:2" x14ac:dyDescent="0.25">
      <c r="A44"/>
      <c r="B44" s="173"/>
    </row>
    <row r="45" spans="1:2" x14ac:dyDescent="0.25">
      <c r="A45"/>
      <c r="B45" s="173"/>
    </row>
    <row r="46" spans="1:2" x14ac:dyDescent="0.25">
      <c r="A46"/>
      <c r="B46" s="173"/>
    </row>
    <row r="47" spans="1:2" x14ac:dyDescent="0.25">
      <c r="A47"/>
      <c r="B47" s="173"/>
    </row>
    <row r="48" spans="1:2" x14ac:dyDescent="0.25">
      <c r="A48"/>
      <c r="B48" s="173"/>
    </row>
    <row r="49" spans="1:2" x14ac:dyDescent="0.25">
      <c r="A49"/>
      <c r="B49" s="173"/>
    </row>
    <row r="50" spans="1:2" x14ac:dyDescent="0.25">
      <c r="A50"/>
      <c r="B50" s="173"/>
    </row>
    <row r="51" spans="1:2" x14ac:dyDescent="0.25">
      <c r="A51"/>
      <c r="B51" s="173"/>
    </row>
    <row r="52" spans="1:2" x14ac:dyDescent="0.25">
      <c r="A52"/>
      <c r="B52" s="173"/>
    </row>
    <row r="53" spans="1:2" x14ac:dyDescent="0.25">
      <c r="A53"/>
      <c r="B53" s="173"/>
    </row>
    <row r="54" spans="1:2" x14ac:dyDescent="0.25">
      <c r="A54"/>
      <c r="B54" s="173"/>
    </row>
    <row r="55" spans="1:2" x14ac:dyDescent="0.25">
      <c r="A55"/>
      <c r="B55" s="173"/>
    </row>
    <row r="56" spans="1:2" x14ac:dyDescent="0.25">
      <c r="A56"/>
      <c r="B56" s="173"/>
    </row>
    <row r="57" spans="1:2" x14ac:dyDescent="0.25">
      <c r="A57"/>
      <c r="B57" s="173"/>
    </row>
    <row r="58" spans="1:2" x14ac:dyDescent="0.25">
      <c r="A58"/>
      <c r="B58" s="173"/>
    </row>
    <row r="59" spans="1:2" x14ac:dyDescent="0.25">
      <c r="A59"/>
      <c r="B59" s="173"/>
    </row>
    <row r="60" spans="1:2" x14ac:dyDescent="0.25">
      <c r="A60"/>
      <c r="B60" s="173"/>
    </row>
    <row r="61" spans="1:2" x14ac:dyDescent="0.25">
      <c r="A61"/>
      <c r="B61" s="173"/>
    </row>
    <row r="62" spans="1:2" x14ac:dyDescent="0.25">
      <c r="A62"/>
      <c r="B62" s="173"/>
    </row>
    <row r="63" spans="1:2" x14ac:dyDescent="0.25">
      <c r="A63"/>
      <c r="B63" s="173"/>
    </row>
    <row r="64" spans="1:2" x14ac:dyDescent="0.25">
      <c r="A64"/>
      <c r="B64" s="173"/>
    </row>
    <row r="65" spans="1:2" x14ac:dyDescent="0.25">
      <c r="A65"/>
      <c r="B65" s="173"/>
    </row>
    <row r="66" spans="1:2" x14ac:dyDescent="0.25">
      <c r="A66"/>
      <c r="B66" s="173"/>
    </row>
    <row r="67" spans="1:2" x14ac:dyDescent="0.25">
      <c r="A67"/>
      <c r="B67" s="173"/>
    </row>
    <row r="68" spans="1:2" x14ac:dyDescent="0.25">
      <c r="A68"/>
      <c r="B68" s="173"/>
    </row>
    <row r="69" spans="1:2" x14ac:dyDescent="0.25">
      <c r="A69"/>
      <c r="B69" s="173"/>
    </row>
    <row r="70" spans="1:2" x14ac:dyDescent="0.25">
      <c r="A70"/>
      <c r="B70" s="173"/>
    </row>
  </sheetData>
  <autoFilter ref="A1:B23" xr:uid="{2F62AEE5-4BE9-4EC6-9CC8-252813AA834D}"/>
  <conditionalFormatting sqref="B2:B23">
    <cfRule type="duplicateValues" dxfId="0"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EAE9-6028-4A69-9602-0EAE0F589D73}">
  <dimension ref="A1:M73"/>
  <sheetViews>
    <sheetView showGridLines="0" zoomScaleNormal="100" zoomScaleSheetLayoutView="100" zoomScalePageLayoutView="70" workbookViewId="0">
      <selection activeCell="A4" sqref="A4"/>
    </sheetView>
  </sheetViews>
  <sheetFormatPr defaultColWidth="9.140625" defaultRowHeight="12.75" x14ac:dyDescent="0.25"/>
  <cols>
    <col min="1" max="1" width="19" style="57" customWidth="1"/>
    <col min="2" max="2" width="28" style="58" customWidth="1"/>
    <col min="3" max="3" width="13.85546875" style="58" bestFit="1" customWidth="1"/>
    <col min="4" max="4" width="13.85546875" style="58" customWidth="1"/>
    <col min="5" max="5" width="75" style="3" customWidth="1"/>
    <col min="6" max="6" width="15.85546875" style="59" bestFit="1" customWidth="1"/>
    <col min="7" max="7" width="17.5703125" style="60" bestFit="1" customWidth="1"/>
    <col min="8" max="10" width="39.7109375" style="60" customWidth="1"/>
    <col min="11" max="11" width="41.42578125" style="60" customWidth="1"/>
    <col min="12" max="16384" width="9.140625" style="61"/>
  </cols>
  <sheetData>
    <row r="1" spans="1:13" s="56" customFormat="1" ht="13.5" customHeight="1" x14ac:dyDescent="0.25">
      <c r="A1" s="9" t="s">
        <v>35</v>
      </c>
      <c r="B1" s="53"/>
      <c r="C1" s="53"/>
      <c r="D1" s="53"/>
      <c r="E1" s="7"/>
      <c r="F1" s="54"/>
      <c r="G1" s="55"/>
      <c r="H1" s="55"/>
      <c r="I1" s="55"/>
      <c r="J1" s="55"/>
      <c r="K1" s="55"/>
    </row>
    <row r="2" spans="1:13" ht="24" customHeight="1" thickBot="1" x14ac:dyDescent="0.3"/>
    <row r="3" spans="1:13" s="66" customFormat="1" ht="45" customHeight="1" thickBot="1" x14ac:dyDescent="0.3">
      <c r="A3" s="62" t="s">
        <v>43</v>
      </c>
      <c r="B3" s="63" t="s">
        <v>44</v>
      </c>
      <c r="C3" s="63" t="s">
        <v>30</v>
      </c>
      <c r="D3" s="63"/>
      <c r="E3" s="63" t="s">
        <v>45</v>
      </c>
      <c r="F3" s="63" t="s">
        <v>46</v>
      </c>
      <c r="G3" s="63" t="s">
        <v>47</v>
      </c>
      <c r="H3" s="63" t="s">
        <v>48</v>
      </c>
      <c r="I3" s="63" t="s">
        <v>49</v>
      </c>
      <c r="J3" s="64" t="s">
        <v>50</v>
      </c>
      <c r="K3" s="65" t="s">
        <v>51</v>
      </c>
      <c r="M3" s="67"/>
    </row>
    <row r="4" spans="1:13" ht="273.75" x14ac:dyDescent="0.2">
      <c r="A4" s="68" t="s">
        <v>52</v>
      </c>
      <c r="B4" s="69" t="s">
        <v>53</v>
      </c>
      <c r="C4" s="70" t="s">
        <v>54</v>
      </c>
      <c r="D4" s="71" t="s">
        <v>55</v>
      </c>
      <c r="E4" s="72" t="s">
        <v>56</v>
      </c>
      <c r="F4" s="73" t="s">
        <v>57</v>
      </c>
      <c r="G4" s="74" t="s">
        <v>58</v>
      </c>
      <c r="H4" s="75" t="s">
        <v>59</v>
      </c>
      <c r="I4" s="76" t="s">
        <v>60</v>
      </c>
      <c r="J4" s="69" t="s">
        <v>61</v>
      </c>
      <c r="K4" s="69" t="s">
        <v>61</v>
      </c>
      <c r="M4" s="77"/>
    </row>
    <row r="5" spans="1:13" s="81" customFormat="1" ht="216.75" x14ac:dyDescent="0.2">
      <c r="A5" s="78" t="s">
        <v>62</v>
      </c>
      <c r="B5" s="78" t="s">
        <v>63</v>
      </c>
      <c r="C5" s="70" t="s">
        <v>64</v>
      </c>
      <c r="D5" s="71" t="s">
        <v>65</v>
      </c>
      <c r="E5" s="79" t="s">
        <v>66</v>
      </c>
      <c r="F5" s="73" t="s">
        <v>57</v>
      </c>
      <c r="G5" s="80" t="s">
        <v>58</v>
      </c>
      <c r="H5" s="75" t="s">
        <v>59</v>
      </c>
      <c r="I5" s="76" t="s">
        <v>60</v>
      </c>
      <c r="J5" s="69" t="s">
        <v>61</v>
      </c>
      <c r="K5" s="69" t="s">
        <v>61</v>
      </c>
    </row>
    <row r="6" spans="1:13" s="81" customFormat="1" ht="216.75" x14ac:dyDescent="0.2">
      <c r="A6" s="78" t="s">
        <v>67</v>
      </c>
      <c r="B6" s="82" t="s">
        <v>68</v>
      </c>
      <c r="C6" s="70" t="s">
        <v>69</v>
      </c>
      <c r="D6" s="71" t="s">
        <v>70</v>
      </c>
      <c r="E6" s="72" t="s">
        <v>71</v>
      </c>
      <c r="F6" s="73" t="s">
        <v>57</v>
      </c>
      <c r="G6" s="80" t="s">
        <v>58</v>
      </c>
      <c r="H6" s="75" t="s">
        <v>59</v>
      </c>
      <c r="I6" s="76" t="s">
        <v>60</v>
      </c>
      <c r="J6" s="69" t="s">
        <v>61</v>
      </c>
      <c r="K6" s="69" t="s">
        <v>61</v>
      </c>
    </row>
    <row r="7" spans="1:13" s="81" customFormat="1" ht="259.5" x14ac:dyDescent="0.2">
      <c r="A7" s="83" t="s">
        <v>72</v>
      </c>
      <c r="B7" s="69" t="s">
        <v>73</v>
      </c>
      <c r="C7" s="70" t="s">
        <v>74</v>
      </c>
      <c r="D7" s="71" t="s">
        <v>75</v>
      </c>
      <c r="E7" s="72" t="s">
        <v>76</v>
      </c>
      <c r="F7" s="73" t="s">
        <v>57</v>
      </c>
      <c r="G7" s="80" t="s">
        <v>58</v>
      </c>
      <c r="H7" s="75" t="s">
        <v>59</v>
      </c>
      <c r="I7" s="76" t="s">
        <v>60</v>
      </c>
      <c r="J7" s="69" t="s">
        <v>61</v>
      </c>
      <c r="K7" s="69" t="s">
        <v>61</v>
      </c>
    </row>
    <row r="8" spans="1:13" ht="140.25" x14ac:dyDescent="0.2">
      <c r="A8" s="84" t="s">
        <v>77</v>
      </c>
      <c r="B8" s="85" t="s">
        <v>53</v>
      </c>
      <c r="C8" s="70" t="s">
        <v>78</v>
      </c>
      <c r="D8" s="71" t="s">
        <v>79</v>
      </c>
      <c r="E8" s="86" t="s">
        <v>80</v>
      </c>
      <c r="F8" s="74" t="s">
        <v>0</v>
      </c>
      <c r="G8" s="74" t="s">
        <v>58</v>
      </c>
      <c r="H8" s="87" t="s">
        <v>81</v>
      </c>
      <c r="I8" s="76" t="s">
        <v>60</v>
      </c>
      <c r="J8" s="69" t="s">
        <v>61</v>
      </c>
      <c r="K8" s="69" t="s">
        <v>61</v>
      </c>
      <c r="M8" s="77"/>
    </row>
    <row r="9" spans="1:13" ht="141.75" x14ac:dyDescent="0.2">
      <c r="A9" s="84" t="s">
        <v>77</v>
      </c>
      <c r="B9" s="85" t="s">
        <v>53</v>
      </c>
      <c r="C9" s="70" t="s">
        <v>82</v>
      </c>
      <c r="D9" s="71" t="s">
        <v>83</v>
      </c>
      <c r="E9" s="88" t="s">
        <v>84</v>
      </c>
      <c r="F9" s="73" t="s">
        <v>85</v>
      </c>
      <c r="G9" s="74" t="s">
        <v>58</v>
      </c>
      <c r="H9" s="75" t="s">
        <v>59</v>
      </c>
      <c r="I9" s="89" t="s">
        <v>60</v>
      </c>
      <c r="J9" s="89" t="s">
        <v>61</v>
      </c>
      <c r="K9" s="89" t="s">
        <v>61</v>
      </c>
      <c r="M9" s="77"/>
    </row>
    <row r="10" spans="1:13" ht="315.75" x14ac:dyDescent="0.2">
      <c r="A10" s="84" t="s">
        <v>77</v>
      </c>
      <c r="B10" s="85" t="s">
        <v>53</v>
      </c>
      <c r="C10" s="70" t="s">
        <v>86</v>
      </c>
      <c r="D10" s="71" t="s">
        <v>87</v>
      </c>
      <c r="E10" s="72" t="s">
        <v>88</v>
      </c>
      <c r="F10" s="73" t="s">
        <v>85</v>
      </c>
      <c r="G10" s="74" t="s">
        <v>58</v>
      </c>
      <c r="H10" s="75" t="s">
        <v>59</v>
      </c>
      <c r="I10" s="89" t="s">
        <v>60</v>
      </c>
      <c r="J10" s="89" t="s">
        <v>61</v>
      </c>
      <c r="K10" s="89" t="s">
        <v>61</v>
      </c>
    </row>
    <row r="11" spans="1:13" ht="264" x14ac:dyDescent="0.2">
      <c r="A11" s="90" t="s">
        <v>89</v>
      </c>
      <c r="B11" s="91" t="s">
        <v>90</v>
      </c>
      <c r="C11" s="70" t="s">
        <v>91</v>
      </c>
      <c r="D11" s="71" t="s">
        <v>92</v>
      </c>
      <c r="E11" s="72" t="s">
        <v>93</v>
      </c>
      <c r="F11" s="73" t="s">
        <v>85</v>
      </c>
      <c r="G11" s="89" t="s">
        <v>58</v>
      </c>
      <c r="H11" s="78" t="s">
        <v>94</v>
      </c>
      <c r="I11" s="76" t="s">
        <v>60</v>
      </c>
      <c r="J11" s="69" t="s">
        <v>61</v>
      </c>
      <c r="K11" s="69" t="s">
        <v>61</v>
      </c>
    </row>
    <row r="12" spans="1:13" ht="102" x14ac:dyDescent="0.2">
      <c r="A12" s="87" t="s">
        <v>95</v>
      </c>
      <c r="B12" s="92" t="s">
        <v>96</v>
      </c>
      <c r="C12" s="70" t="s">
        <v>97</v>
      </c>
      <c r="D12" s="71" t="s">
        <v>98</v>
      </c>
      <c r="E12" s="72" t="s">
        <v>99</v>
      </c>
      <c r="F12" s="93" t="s">
        <v>100</v>
      </c>
      <c r="G12" s="89" t="s">
        <v>58</v>
      </c>
      <c r="H12" s="75" t="s">
        <v>101</v>
      </c>
      <c r="I12" s="76" t="s">
        <v>60</v>
      </c>
      <c r="J12" s="69" t="s">
        <v>61</v>
      </c>
      <c r="K12" s="69" t="s">
        <v>61</v>
      </c>
    </row>
    <row r="13" spans="1:13" ht="102" x14ac:dyDescent="0.2">
      <c r="A13" s="94" t="s">
        <v>95</v>
      </c>
      <c r="B13" s="82" t="s">
        <v>96</v>
      </c>
      <c r="C13" s="70" t="s">
        <v>102</v>
      </c>
      <c r="D13" s="71" t="s">
        <v>103</v>
      </c>
      <c r="E13" s="72" t="s">
        <v>104</v>
      </c>
      <c r="F13" s="93" t="s">
        <v>100</v>
      </c>
      <c r="G13" s="89" t="s">
        <v>58</v>
      </c>
      <c r="H13" s="75" t="s">
        <v>101</v>
      </c>
      <c r="I13" s="76" t="s">
        <v>60</v>
      </c>
      <c r="J13" s="69" t="s">
        <v>61</v>
      </c>
      <c r="K13" s="69" t="s">
        <v>61</v>
      </c>
    </row>
    <row r="14" spans="1:13" ht="127.5" x14ac:dyDescent="0.2">
      <c r="A14" s="95" t="s">
        <v>95</v>
      </c>
      <c r="B14" s="96" t="s">
        <v>96</v>
      </c>
      <c r="C14" s="70" t="s">
        <v>105</v>
      </c>
      <c r="D14" s="71" t="s">
        <v>106</v>
      </c>
      <c r="E14" s="72" t="s">
        <v>107</v>
      </c>
      <c r="F14" s="93" t="s">
        <v>100</v>
      </c>
      <c r="G14" s="89" t="s">
        <v>58</v>
      </c>
      <c r="H14" s="75" t="s">
        <v>101</v>
      </c>
      <c r="I14" s="76" t="s">
        <v>60</v>
      </c>
      <c r="J14" s="69" t="s">
        <v>61</v>
      </c>
      <c r="K14" s="69" t="s">
        <v>61</v>
      </c>
    </row>
    <row r="15" spans="1:13" ht="105" x14ac:dyDescent="0.2">
      <c r="A15" s="97" t="s">
        <v>95</v>
      </c>
      <c r="B15" s="96" t="s">
        <v>96</v>
      </c>
      <c r="C15" s="70" t="s">
        <v>108</v>
      </c>
      <c r="D15" s="71" t="s">
        <v>109</v>
      </c>
      <c r="E15" s="72" t="s">
        <v>110</v>
      </c>
      <c r="F15" s="93" t="s">
        <v>100</v>
      </c>
      <c r="G15" s="89" t="s">
        <v>58</v>
      </c>
      <c r="H15" s="75" t="s">
        <v>101</v>
      </c>
      <c r="I15" s="76" t="s">
        <v>60</v>
      </c>
      <c r="J15" s="69" t="s">
        <v>61</v>
      </c>
      <c r="K15" s="69" t="s">
        <v>61</v>
      </c>
    </row>
    <row r="16" spans="1:13" ht="229.5" x14ac:dyDescent="0.2">
      <c r="A16" s="98" t="s">
        <v>111</v>
      </c>
      <c r="B16" s="85" t="s">
        <v>112</v>
      </c>
      <c r="C16" s="70" t="s">
        <v>113</v>
      </c>
      <c r="D16" s="71" t="s">
        <v>114</v>
      </c>
      <c r="E16" s="72" t="s">
        <v>115</v>
      </c>
      <c r="F16" s="73" t="s">
        <v>116</v>
      </c>
      <c r="G16" s="89" t="s">
        <v>58</v>
      </c>
      <c r="H16" s="75" t="s">
        <v>59</v>
      </c>
      <c r="I16" s="76" t="s">
        <v>60</v>
      </c>
      <c r="J16" s="69" t="s">
        <v>61</v>
      </c>
      <c r="K16" s="69" t="s">
        <v>61</v>
      </c>
    </row>
    <row r="17" spans="1:11" ht="114.75" x14ac:dyDescent="0.2">
      <c r="A17" s="99" t="s">
        <v>111</v>
      </c>
      <c r="B17" s="92" t="s">
        <v>112</v>
      </c>
      <c r="C17" s="70" t="s">
        <v>117</v>
      </c>
      <c r="D17" s="71" t="s">
        <v>118</v>
      </c>
      <c r="E17" s="72" t="s">
        <v>119</v>
      </c>
      <c r="F17" s="93" t="s">
        <v>120</v>
      </c>
      <c r="G17" s="89" t="s">
        <v>58</v>
      </c>
      <c r="H17" s="75" t="s">
        <v>59</v>
      </c>
      <c r="I17" s="76" t="s">
        <v>60</v>
      </c>
      <c r="J17" s="69" t="s">
        <v>61</v>
      </c>
      <c r="K17" s="69" t="s">
        <v>61</v>
      </c>
    </row>
    <row r="18" spans="1:11" ht="300" customHeight="1" x14ac:dyDescent="0.2">
      <c r="A18" s="100" t="s">
        <v>77</v>
      </c>
      <c r="B18" s="78" t="s">
        <v>53</v>
      </c>
      <c r="C18" s="70" t="s">
        <v>121</v>
      </c>
      <c r="D18" s="71" t="s">
        <v>122</v>
      </c>
      <c r="E18" s="72" t="s">
        <v>123</v>
      </c>
      <c r="F18" s="93" t="s">
        <v>124</v>
      </c>
      <c r="G18" s="89" t="s">
        <v>58</v>
      </c>
      <c r="H18" s="75" t="s">
        <v>59</v>
      </c>
      <c r="I18" s="76" t="s">
        <v>60</v>
      </c>
      <c r="J18" s="69" t="s">
        <v>61</v>
      </c>
      <c r="K18" s="69" t="s">
        <v>61</v>
      </c>
    </row>
    <row r="19" spans="1:11" ht="127.5" x14ac:dyDescent="0.2">
      <c r="A19" s="101" t="s">
        <v>89</v>
      </c>
      <c r="B19" s="94" t="s">
        <v>90</v>
      </c>
      <c r="C19" s="70" t="s">
        <v>125</v>
      </c>
      <c r="D19" s="71" t="s">
        <v>126</v>
      </c>
      <c r="E19" s="72" t="s">
        <v>127</v>
      </c>
      <c r="F19" s="89" t="s">
        <v>0</v>
      </c>
      <c r="G19" s="89" t="s">
        <v>58</v>
      </c>
      <c r="H19" s="78" t="s">
        <v>128</v>
      </c>
      <c r="I19" s="76" t="s">
        <v>60</v>
      </c>
      <c r="J19" s="89" t="s">
        <v>61</v>
      </c>
      <c r="K19" s="89" t="s">
        <v>61</v>
      </c>
    </row>
    <row r="20" spans="1:11" ht="212.1" customHeight="1" x14ac:dyDescent="0.2">
      <c r="A20" s="102" t="s">
        <v>89</v>
      </c>
      <c r="B20" s="92" t="s">
        <v>90</v>
      </c>
      <c r="C20" s="70" t="s">
        <v>129</v>
      </c>
      <c r="D20" s="71" t="s">
        <v>130</v>
      </c>
      <c r="E20" s="103" t="s">
        <v>131</v>
      </c>
      <c r="F20" s="73" t="s">
        <v>132</v>
      </c>
      <c r="G20" s="89" t="s">
        <v>58</v>
      </c>
      <c r="H20" s="75" t="s">
        <v>101</v>
      </c>
      <c r="I20" s="76" t="s">
        <v>60</v>
      </c>
      <c r="J20" s="89" t="s">
        <v>61</v>
      </c>
      <c r="K20" s="89" t="s">
        <v>61</v>
      </c>
    </row>
    <row r="21" spans="1:11" ht="215.45" customHeight="1" x14ac:dyDescent="0.2">
      <c r="A21" s="104" t="s">
        <v>89</v>
      </c>
      <c r="B21" s="92" t="s">
        <v>90</v>
      </c>
      <c r="C21" s="70" t="s">
        <v>133</v>
      </c>
      <c r="D21" s="71" t="s">
        <v>134</v>
      </c>
      <c r="E21" s="72" t="s">
        <v>135</v>
      </c>
      <c r="F21" s="73" t="s">
        <v>132</v>
      </c>
      <c r="G21" s="89" t="s">
        <v>58</v>
      </c>
      <c r="H21" s="78" t="s">
        <v>136</v>
      </c>
      <c r="I21" s="76" t="s">
        <v>60</v>
      </c>
      <c r="J21" s="89" t="s">
        <v>61</v>
      </c>
      <c r="K21" s="89" t="s">
        <v>61</v>
      </c>
    </row>
    <row r="22" spans="1:11" ht="153" x14ac:dyDescent="0.2">
      <c r="A22" s="99" t="s">
        <v>89</v>
      </c>
      <c r="B22" s="92" t="s">
        <v>90</v>
      </c>
      <c r="C22" s="70" t="s">
        <v>137</v>
      </c>
      <c r="D22" s="71" t="s">
        <v>138</v>
      </c>
      <c r="E22" s="105" t="s">
        <v>139</v>
      </c>
      <c r="F22" s="73" t="s">
        <v>132</v>
      </c>
      <c r="G22" s="89" t="s">
        <v>58</v>
      </c>
      <c r="H22" s="78" t="s">
        <v>136</v>
      </c>
      <c r="I22" s="76" t="s">
        <v>60</v>
      </c>
      <c r="J22" s="69" t="s">
        <v>61</v>
      </c>
      <c r="K22" s="69" t="s">
        <v>61</v>
      </c>
    </row>
    <row r="23" spans="1:11" ht="264.95" customHeight="1" x14ac:dyDescent="0.2">
      <c r="A23" s="106" t="s">
        <v>89</v>
      </c>
      <c r="B23" s="85" t="s">
        <v>90</v>
      </c>
      <c r="C23" s="70" t="s">
        <v>140</v>
      </c>
      <c r="D23" s="71" t="s">
        <v>141</v>
      </c>
      <c r="E23" s="105" t="s">
        <v>142</v>
      </c>
      <c r="F23" s="73" t="s">
        <v>132</v>
      </c>
      <c r="G23" s="89" t="s">
        <v>58</v>
      </c>
      <c r="H23" s="75" t="s">
        <v>101</v>
      </c>
      <c r="I23" s="76" t="s">
        <v>60</v>
      </c>
      <c r="J23" s="69" t="s">
        <v>61</v>
      </c>
      <c r="K23" s="69" t="s">
        <v>61</v>
      </c>
    </row>
    <row r="24" spans="1:11" ht="161.25" x14ac:dyDescent="0.2">
      <c r="A24" s="102" t="s">
        <v>89</v>
      </c>
      <c r="B24" s="92" t="s">
        <v>90</v>
      </c>
      <c r="C24" s="70" t="s">
        <v>143</v>
      </c>
      <c r="D24" s="71" t="s">
        <v>144</v>
      </c>
      <c r="E24" s="72" t="s">
        <v>145</v>
      </c>
      <c r="F24" s="89" t="s">
        <v>0</v>
      </c>
      <c r="G24" s="89" t="s">
        <v>58</v>
      </c>
      <c r="H24" s="78" t="s">
        <v>146</v>
      </c>
      <c r="I24" s="76" t="s">
        <v>60</v>
      </c>
      <c r="J24" s="69" t="s">
        <v>61</v>
      </c>
      <c r="K24" s="69" t="s">
        <v>61</v>
      </c>
    </row>
    <row r="25" spans="1:11" ht="276" x14ac:dyDescent="0.2">
      <c r="A25" s="102" t="s">
        <v>111</v>
      </c>
      <c r="B25" s="92" t="s">
        <v>112</v>
      </c>
      <c r="C25" s="70" t="s">
        <v>147</v>
      </c>
      <c r="D25" s="71" t="s">
        <v>148</v>
      </c>
      <c r="E25" s="72" t="s">
        <v>149</v>
      </c>
      <c r="F25" s="107" t="s">
        <v>150</v>
      </c>
      <c r="G25" s="89" t="s">
        <v>58</v>
      </c>
      <c r="H25" s="75" t="s">
        <v>101</v>
      </c>
      <c r="I25" s="76" t="s">
        <v>60</v>
      </c>
      <c r="J25" s="69" t="s">
        <v>61</v>
      </c>
      <c r="K25" s="69" t="s">
        <v>61</v>
      </c>
    </row>
    <row r="26" spans="1:11" ht="276" x14ac:dyDescent="0.2">
      <c r="A26" s="102" t="s">
        <v>111</v>
      </c>
      <c r="B26" s="92" t="s">
        <v>112</v>
      </c>
      <c r="C26" s="70" t="s">
        <v>151</v>
      </c>
      <c r="D26" s="71" t="s">
        <v>152</v>
      </c>
      <c r="E26" s="72" t="s">
        <v>153</v>
      </c>
      <c r="F26" s="107" t="s">
        <v>154</v>
      </c>
      <c r="G26" s="89" t="s">
        <v>58</v>
      </c>
      <c r="H26" s="75" t="s">
        <v>101</v>
      </c>
      <c r="I26" s="76" t="s">
        <v>60</v>
      </c>
      <c r="J26" s="69" t="s">
        <v>61</v>
      </c>
      <c r="K26" s="69" t="s">
        <v>61</v>
      </c>
    </row>
    <row r="27" spans="1:11" ht="276" x14ac:dyDescent="0.2">
      <c r="A27" s="102" t="s">
        <v>111</v>
      </c>
      <c r="B27" s="92" t="s">
        <v>112</v>
      </c>
      <c r="C27" s="70" t="s">
        <v>155</v>
      </c>
      <c r="D27" s="71" t="s">
        <v>156</v>
      </c>
      <c r="E27" s="72" t="s">
        <v>157</v>
      </c>
      <c r="F27" s="107" t="s">
        <v>154</v>
      </c>
      <c r="G27" s="89" t="s">
        <v>58</v>
      </c>
      <c r="H27" s="75" t="s">
        <v>101</v>
      </c>
      <c r="I27" s="76" t="s">
        <v>60</v>
      </c>
      <c r="J27" s="69" t="s">
        <v>61</v>
      </c>
      <c r="K27" s="69" t="s">
        <v>61</v>
      </c>
    </row>
    <row r="28" spans="1:11" ht="276" x14ac:dyDescent="0.2">
      <c r="A28" s="102" t="s">
        <v>111</v>
      </c>
      <c r="B28" s="92" t="s">
        <v>112</v>
      </c>
      <c r="C28" s="70" t="s">
        <v>158</v>
      </c>
      <c r="D28" s="71" t="s">
        <v>159</v>
      </c>
      <c r="E28" s="72" t="s">
        <v>160</v>
      </c>
      <c r="F28" s="107" t="s">
        <v>150</v>
      </c>
      <c r="G28" s="89" t="s">
        <v>58</v>
      </c>
      <c r="H28" s="75" t="s">
        <v>101</v>
      </c>
      <c r="I28" s="76" t="s">
        <v>60</v>
      </c>
      <c r="J28" s="69" t="s">
        <v>61</v>
      </c>
      <c r="K28" s="69" t="s">
        <v>61</v>
      </c>
    </row>
    <row r="29" spans="1:11" ht="276" x14ac:dyDescent="0.2">
      <c r="A29" s="99" t="s">
        <v>111</v>
      </c>
      <c r="B29" s="92" t="s">
        <v>112</v>
      </c>
      <c r="C29" s="70" t="s">
        <v>161</v>
      </c>
      <c r="D29" s="71" t="s">
        <v>162</v>
      </c>
      <c r="E29" s="72" t="s">
        <v>163</v>
      </c>
      <c r="F29" s="107" t="s">
        <v>154</v>
      </c>
      <c r="G29" s="89" t="s">
        <v>58</v>
      </c>
      <c r="H29" s="75" t="s">
        <v>101</v>
      </c>
      <c r="I29" s="76" t="s">
        <v>60</v>
      </c>
      <c r="J29" s="69" t="s">
        <v>61</v>
      </c>
      <c r="K29" s="69" t="s">
        <v>61</v>
      </c>
    </row>
    <row r="30" spans="1:11" ht="263.25" x14ac:dyDescent="0.2">
      <c r="A30" s="102" t="s">
        <v>111</v>
      </c>
      <c r="B30" s="92" t="s">
        <v>112</v>
      </c>
      <c r="C30" s="70" t="s">
        <v>164</v>
      </c>
      <c r="D30" s="71" t="s">
        <v>165</v>
      </c>
      <c r="E30" s="72" t="s">
        <v>166</v>
      </c>
      <c r="F30" s="107" t="s">
        <v>154</v>
      </c>
      <c r="G30" s="89" t="s">
        <v>58</v>
      </c>
      <c r="H30" s="75" t="s">
        <v>101</v>
      </c>
      <c r="I30" s="76" t="s">
        <v>60</v>
      </c>
      <c r="J30" s="69" t="s">
        <v>61</v>
      </c>
      <c r="K30" s="69" t="s">
        <v>61</v>
      </c>
    </row>
    <row r="31" spans="1:11" ht="255" x14ac:dyDescent="0.2">
      <c r="A31" s="102" t="s">
        <v>111</v>
      </c>
      <c r="B31" s="92" t="s">
        <v>112</v>
      </c>
      <c r="C31" s="70" t="s">
        <v>167</v>
      </c>
      <c r="D31" s="71" t="s">
        <v>168</v>
      </c>
      <c r="E31" s="72" t="s">
        <v>169</v>
      </c>
      <c r="F31" s="107" t="s">
        <v>170</v>
      </c>
      <c r="G31" s="89" t="s">
        <v>58</v>
      </c>
      <c r="H31" s="75" t="s">
        <v>101</v>
      </c>
      <c r="I31" s="76" t="s">
        <v>60</v>
      </c>
      <c r="J31" s="69" t="s">
        <v>61</v>
      </c>
      <c r="K31" s="69" t="s">
        <v>61</v>
      </c>
    </row>
    <row r="32" spans="1:11" ht="263.25" x14ac:dyDescent="0.2">
      <c r="A32" s="102" t="s">
        <v>111</v>
      </c>
      <c r="B32" s="92" t="s">
        <v>112</v>
      </c>
      <c r="C32" s="70" t="s">
        <v>171</v>
      </c>
      <c r="D32" s="71" t="s">
        <v>172</v>
      </c>
      <c r="E32" s="72" t="s">
        <v>173</v>
      </c>
      <c r="F32" s="107" t="s">
        <v>174</v>
      </c>
      <c r="G32" s="89" t="s">
        <v>58</v>
      </c>
      <c r="H32" s="75" t="s">
        <v>101</v>
      </c>
      <c r="I32" s="76" t="s">
        <v>60</v>
      </c>
      <c r="J32" s="69" t="s">
        <v>61</v>
      </c>
      <c r="K32" s="69" t="s">
        <v>61</v>
      </c>
    </row>
    <row r="33" spans="1:11" ht="263.25" x14ac:dyDescent="0.2">
      <c r="A33" s="99" t="s">
        <v>111</v>
      </c>
      <c r="B33" s="92" t="s">
        <v>112</v>
      </c>
      <c r="C33" s="70" t="s">
        <v>175</v>
      </c>
      <c r="D33" s="71" t="s">
        <v>176</v>
      </c>
      <c r="E33" s="72" t="s">
        <v>177</v>
      </c>
      <c r="F33" s="107" t="s">
        <v>178</v>
      </c>
      <c r="G33" s="89" t="s">
        <v>58</v>
      </c>
      <c r="H33" s="75" t="s">
        <v>101</v>
      </c>
      <c r="I33" s="76" t="s">
        <v>60</v>
      </c>
      <c r="J33" s="69" t="s">
        <v>61</v>
      </c>
      <c r="K33" s="69" t="s">
        <v>61</v>
      </c>
    </row>
    <row r="34" spans="1:11" ht="263.25" x14ac:dyDescent="0.2">
      <c r="A34" s="102" t="s">
        <v>111</v>
      </c>
      <c r="B34" s="92" t="s">
        <v>112</v>
      </c>
      <c r="C34" s="70" t="s">
        <v>179</v>
      </c>
      <c r="D34" s="71" t="s">
        <v>180</v>
      </c>
      <c r="E34" s="72" t="s">
        <v>181</v>
      </c>
      <c r="F34" s="108" t="s">
        <v>182</v>
      </c>
      <c r="G34" s="89" t="s">
        <v>58</v>
      </c>
      <c r="H34" s="75" t="s">
        <v>101</v>
      </c>
      <c r="I34" s="76" t="s">
        <v>60</v>
      </c>
      <c r="J34" s="69" t="s">
        <v>61</v>
      </c>
      <c r="K34" s="69" t="s">
        <v>61</v>
      </c>
    </row>
    <row r="35" spans="1:11" ht="263.25" x14ac:dyDescent="0.2">
      <c r="A35" s="102" t="s">
        <v>111</v>
      </c>
      <c r="B35" s="92" t="s">
        <v>112</v>
      </c>
      <c r="C35" s="70" t="s">
        <v>183</v>
      </c>
      <c r="D35" s="71" t="s">
        <v>184</v>
      </c>
      <c r="E35" s="72" t="s">
        <v>185</v>
      </c>
      <c r="F35" s="73" t="s">
        <v>186</v>
      </c>
      <c r="G35" s="89" t="s">
        <v>58</v>
      </c>
      <c r="H35" s="75" t="s">
        <v>101</v>
      </c>
      <c r="I35" s="76" t="s">
        <v>60</v>
      </c>
      <c r="J35" s="69" t="s">
        <v>61</v>
      </c>
      <c r="K35" s="69" t="s">
        <v>61</v>
      </c>
    </row>
    <row r="36" spans="1:11" ht="263.25" x14ac:dyDescent="0.2">
      <c r="A36" s="102" t="s">
        <v>111</v>
      </c>
      <c r="B36" s="92" t="s">
        <v>112</v>
      </c>
      <c r="C36" s="70" t="s">
        <v>187</v>
      </c>
      <c r="D36" s="71" t="s">
        <v>188</v>
      </c>
      <c r="E36" s="72" t="s">
        <v>189</v>
      </c>
      <c r="F36" s="73" t="s">
        <v>190</v>
      </c>
      <c r="G36" s="89" t="s">
        <v>58</v>
      </c>
      <c r="H36" s="75" t="s">
        <v>101</v>
      </c>
      <c r="I36" s="76" t="s">
        <v>60</v>
      </c>
      <c r="J36" s="69" t="s">
        <v>61</v>
      </c>
      <c r="K36" s="69" t="s">
        <v>61</v>
      </c>
    </row>
    <row r="37" spans="1:11" ht="263.25" x14ac:dyDescent="0.2">
      <c r="A37" s="102" t="s">
        <v>111</v>
      </c>
      <c r="B37" s="92" t="s">
        <v>112</v>
      </c>
      <c r="C37" s="70" t="s">
        <v>191</v>
      </c>
      <c r="D37" s="71" t="s">
        <v>192</v>
      </c>
      <c r="E37" s="72" t="s">
        <v>193</v>
      </c>
      <c r="F37" s="73" t="s">
        <v>194</v>
      </c>
      <c r="G37" s="89" t="s">
        <v>58</v>
      </c>
      <c r="H37" s="75" t="s">
        <v>101</v>
      </c>
      <c r="I37" s="76" t="s">
        <v>60</v>
      </c>
      <c r="J37" s="69" t="s">
        <v>61</v>
      </c>
      <c r="K37" s="69" t="s">
        <v>61</v>
      </c>
    </row>
    <row r="38" spans="1:11" ht="242.25" x14ac:dyDescent="0.2">
      <c r="A38" s="102" t="s">
        <v>111</v>
      </c>
      <c r="B38" s="92" t="s">
        <v>112</v>
      </c>
      <c r="C38" s="70" t="s">
        <v>195</v>
      </c>
      <c r="D38" s="71" t="s">
        <v>196</v>
      </c>
      <c r="E38" s="72" t="s">
        <v>197</v>
      </c>
      <c r="F38" s="73" t="s">
        <v>194</v>
      </c>
      <c r="G38" s="89" t="s">
        <v>58</v>
      </c>
      <c r="H38" s="75" t="s">
        <v>101</v>
      </c>
      <c r="I38" s="76" t="s">
        <v>60</v>
      </c>
      <c r="J38" s="69" t="s">
        <v>61</v>
      </c>
      <c r="K38" s="69" t="s">
        <v>61</v>
      </c>
    </row>
    <row r="39" spans="1:11" ht="263.25" x14ac:dyDescent="0.2">
      <c r="A39" s="102" t="s">
        <v>111</v>
      </c>
      <c r="B39" s="92" t="s">
        <v>112</v>
      </c>
      <c r="C39" s="70" t="s">
        <v>198</v>
      </c>
      <c r="D39" s="71" t="s">
        <v>199</v>
      </c>
      <c r="E39" s="72" t="s">
        <v>200</v>
      </c>
      <c r="F39" s="73" t="s">
        <v>194</v>
      </c>
      <c r="G39" s="89" t="s">
        <v>58</v>
      </c>
      <c r="H39" s="75" t="s">
        <v>101</v>
      </c>
      <c r="I39" s="76" t="s">
        <v>60</v>
      </c>
      <c r="J39" s="69" t="s">
        <v>61</v>
      </c>
      <c r="K39" s="69" t="s">
        <v>61</v>
      </c>
    </row>
    <row r="40" spans="1:11" ht="258.75" x14ac:dyDescent="0.2">
      <c r="A40" s="102" t="s">
        <v>111</v>
      </c>
      <c r="B40" s="92" t="s">
        <v>112</v>
      </c>
      <c r="C40" s="70" t="s">
        <v>201</v>
      </c>
      <c r="D40" s="71" t="s">
        <v>202</v>
      </c>
      <c r="E40" s="109" t="s">
        <v>203</v>
      </c>
      <c r="F40" s="93" t="s">
        <v>204</v>
      </c>
      <c r="G40" s="89" t="s">
        <v>58</v>
      </c>
      <c r="H40" s="75" t="s">
        <v>205</v>
      </c>
      <c r="I40" s="76" t="s">
        <v>60</v>
      </c>
      <c r="J40" s="69" t="s">
        <v>61</v>
      </c>
      <c r="K40" s="69" t="s">
        <v>61</v>
      </c>
    </row>
    <row r="41" spans="1:11" ht="348" x14ac:dyDescent="0.2">
      <c r="A41" s="78" t="s">
        <v>206</v>
      </c>
      <c r="B41" s="78" t="s">
        <v>207</v>
      </c>
      <c r="C41" s="70" t="s">
        <v>208</v>
      </c>
      <c r="D41" s="71" t="s">
        <v>209</v>
      </c>
      <c r="E41" s="72" t="s">
        <v>210</v>
      </c>
      <c r="F41" s="73" t="s">
        <v>211</v>
      </c>
      <c r="G41" s="89" t="s">
        <v>58</v>
      </c>
      <c r="H41" s="75" t="s">
        <v>59</v>
      </c>
      <c r="I41" s="76" t="s">
        <v>60</v>
      </c>
      <c r="J41" s="69" t="s">
        <v>61</v>
      </c>
      <c r="K41" s="69" t="s">
        <v>61</v>
      </c>
    </row>
    <row r="42" spans="1:11" ht="204" x14ac:dyDescent="0.2">
      <c r="A42" s="102" t="s">
        <v>89</v>
      </c>
      <c r="B42" s="92" t="s">
        <v>90</v>
      </c>
      <c r="C42" s="70" t="s">
        <v>212</v>
      </c>
      <c r="D42" s="71" t="s">
        <v>213</v>
      </c>
      <c r="E42" s="72" t="s">
        <v>214</v>
      </c>
      <c r="F42" s="110" t="s">
        <v>215</v>
      </c>
      <c r="G42" s="89" t="s">
        <v>58</v>
      </c>
      <c r="H42" s="87" t="s">
        <v>216</v>
      </c>
      <c r="I42" s="76" t="s">
        <v>60</v>
      </c>
      <c r="J42" s="69" t="s">
        <v>61</v>
      </c>
      <c r="K42" s="69" t="s">
        <v>61</v>
      </c>
    </row>
    <row r="43" spans="1:11" ht="309.75" x14ac:dyDescent="0.2">
      <c r="A43" s="102" t="s">
        <v>89</v>
      </c>
      <c r="B43" s="92" t="s">
        <v>90</v>
      </c>
      <c r="C43" s="70" t="s">
        <v>217</v>
      </c>
      <c r="D43" s="71" t="s">
        <v>218</v>
      </c>
      <c r="E43" s="72" t="s">
        <v>219</v>
      </c>
      <c r="F43" s="73" t="s">
        <v>220</v>
      </c>
      <c r="G43" s="89" t="s">
        <v>58</v>
      </c>
      <c r="H43" s="111" t="s">
        <v>221</v>
      </c>
      <c r="I43" s="76" t="s">
        <v>60</v>
      </c>
      <c r="J43" s="69" t="s">
        <v>61</v>
      </c>
      <c r="K43" s="69" t="s">
        <v>61</v>
      </c>
    </row>
    <row r="44" spans="1:11" ht="267.75" x14ac:dyDescent="0.2">
      <c r="A44" s="78" t="s">
        <v>222</v>
      </c>
      <c r="B44" s="78" t="s">
        <v>223</v>
      </c>
      <c r="C44" s="70" t="s">
        <v>224</v>
      </c>
      <c r="D44" s="71" t="s">
        <v>225</v>
      </c>
      <c r="E44" s="72" t="s">
        <v>226</v>
      </c>
      <c r="F44" s="73" t="s">
        <v>227</v>
      </c>
      <c r="G44" s="89" t="s">
        <v>58</v>
      </c>
      <c r="H44" s="75" t="s">
        <v>228</v>
      </c>
      <c r="I44" s="76" t="s">
        <v>60</v>
      </c>
      <c r="J44" s="69" t="s">
        <v>61</v>
      </c>
      <c r="K44" s="69" t="s">
        <v>61</v>
      </c>
    </row>
    <row r="45" spans="1:11" ht="267.75" x14ac:dyDescent="0.2">
      <c r="A45" s="78" t="s">
        <v>222</v>
      </c>
      <c r="B45" s="78" t="s">
        <v>223</v>
      </c>
      <c r="C45" s="70" t="s">
        <v>229</v>
      </c>
      <c r="D45" s="71" t="s">
        <v>230</v>
      </c>
      <c r="E45" s="72" t="s">
        <v>231</v>
      </c>
      <c r="F45" s="73" t="s">
        <v>227</v>
      </c>
      <c r="G45" s="89" t="s">
        <v>58</v>
      </c>
      <c r="H45" s="78" t="s">
        <v>232</v>
      </c>
      <c r="I45" s="76" t="s">
        <v>60</v>
      </c>
      <c r="J45" s="69" t="s">
        <v>61</v>
      </c>
      <c r="K45" s="69" t="s">
        <v>61</v>
      </c>
    </row>
    <row r="46" spans="1:11" ht="242.25" x14ac:dyDescent="0.2">
      <c r="A46" s="78" t="s">
        <v>233</v>
      </c>
      <c r="B46" s="78" t="s">
        <v>234</v>
      </c>
      <c r="C46" s="70" t="s">
        <v>235</v>
      </c>
      <c r="D46" s="71" t="s">
        <v>236</v>
      </c>
      <c r="E46" s="72" t="s">
        <v>237</v>
      </c>
      <c r="F46" s="73" t="s">
        <v>238</v>
      </c>
      <c r="G46" s="89" t="s">
        <v>58</v>
      </c>
      <c r="H46" s="78" t="s">
        <v>239</v>
      </c>
      <c r="I46" s="76" t="s">
        <v>60</v>
      </c>
      <c r="J46" s="69" t="s">
        <v>61</v>
      </c>
      <c r="K46" s="69" t="s">
        <v>61</v>
      </c>
    </row>
    <row r="47" spans="1:11" ht="267.75" x14ac:dyDescent="0.2">
      <c r="A47" s="78" t="s">
        <v>233</v>
      </c>
      <c r="B47" s="78" t="s">
        <v>234</v>
      </c>
      <c r="C47" s="70" t="s">
        <v>240</v>
      </c>
      <c r="D47" s="71" t="s">
        <v>241</v>
      </c>
      <c r="E47" s="72" t="s">
        <v>242</v>
      </c>
      <c r="F47" s="73" t="s">
        <v>238</v>
      </c>
      <c r="G47" s="89" t="s">
        <v>58</v>
      </c>
      <c r="H47" s="78" t="s">
        <v>239</v>
      </c>
      <c r="I47" s="76" t="s">
        <v>60</v>
      </c>
      <c r="J47" s="69" t="s">
        <v>61</v>
      </c>
      <c r="K47" s="69" t="s">
        <v>61</v>
      </c>
    </row>
    <row r="48" spans="1:11" ht="76.5" x14ac:dyDescent="0.2">
      <c r="A48" s="112" t="s">
        <v>89</v>
      </c>
      <c r="B48" s="78" t="s">
        <v>90</v>
      </c>
      <c r="C48" s="70" t="s">
        <v>243</v>
      </c>
      <c r="D48" s="71" t="s">
        <v>244</v>
      </c>
      <c r="E48" s="113" t="s">
        <v>245</v>
      </c>
      <c r="F48" s="73" t="s">
        <v>238</v>
      </c>
      <c r="G48" s="89" t="s">
        <v>58</v>
      </c>
      <c r="H48" s="78" t="s">
        <v>239</v>
      </c>
      <c r="I48" s="76" t="s">
        <v>60</v>
      </c>
      <c r="J48" s="69" t="s">
        <v>61</v>
      </c>
      <c r="K48" s="69" t="s">
        <v>61</v>
      </c>
    </row>
    <row r="49" spans="1:11" ht="89.25" x14ac:dyDescent="0.2">
      <c r="A49" s="114" t="s">
        <v>89</v>
      </c>
      <c r="B49" s="78" t="s">
        <v>90</v>
      </c>
      <c r="C49" s="70" t="s">
        <v>246</v>
      </c>
      <c r="D49" s="71" t="s">
        <v>247</v>
      </c>
      <c r="E49" s="79" t="s">
        <v>248</v>
      </c>
      <c r="F49" s="93" t="s">
        <v>249</v>
      </c>
      <c r="G49" s="89" t="s">
        <v>58</v>
      </c>
      <c r="H49" s="78" t="s">
        <v>250</v>
      </c>
      <c r="I49" s="76" t="s">
        <v>60</v>
      </c>
      <c r="J49" s="69" t="s">
        <v>61</v>
      </c>
      <c r="K49" s="69" t="s">
        <v>61</v>
      </c>
    </row>
    <row r="50" spans="1:11" ht="156" x14ac:dyDescent="0.2">
      <c r="A50" s="114" t="s">
        <v>89</v>
      </c>
      <c r="B50" s="78" t="s">
        <v>90</v>
      </c>
      <c r="C50" s="70" t="s">
        <v>251</v>
      </c>
      <c r="D50" s="71" t="s">
        <v>252</v>
      </c>
      <c r="E50" s="72" t="s">
        <v>253</v>
      </c>
      <c r="F50" s="73" t="s">
        <v>254</v>
      </c>
      <c r="G50" s="89" t="s">
        <v>58</v>
      </c>
      <c r="H50" s="75" t="s">
        <v>59</v>
      </c>
      <c r="I50" s="76" t="s">
        <v>60</v>
      </c>
      <c r="J50" s="69" t="s">
        <v>61</v>
      </c>
      <c r="K50" s="69" t="s">
        <v>61</v>
      </c>
    </row>
    <row r="51" spans="1:11" ht="127.5" x14ac:dyDescent="0.2">
      <c r="A51" s="114" t="s">
        <v>89</v>
      </c>
      <c r="B51" s="78" t="s">
        <v>90</v>
      </c>
      <c r="C51" s="70" t="s">
        <v>255</v>
      </c>
      <c r="D51" s="71" t="s">
        <v>256</v>
      </c>
      <c r="E51" s="72" t="s">
        <v>257</v>
      </c>
      <c r="F51" s="89" t="s">
        <v>0</v>
      </c>
      <c r="G51" s="89" t="s">
        <v>58</v>
      </c>
      <c r="H51" s="75" t="s">
        <v>258</v>
      </c>
      <c r="I51" s="76" t="s">
        <v>60</v>
      </c>
      <c r="J51" s="69" t="s">
        <v>61</v>
      </c>
      <c r="K51" s="69" t="s">
        <v>61</v>
      </c>
    </row>
    <row r="52" spans="1:11" ht="212.25" x14ac:dyDescent="0.2">
      <c r="A52" s="114" t="s">
        <v>89</v>
      </c>
      <c r="B52" s="78" t="s">
        <v>90</v>
      </c>
      <c r="C52" s="70" t="s">
        <v>259</v>
      </c>
      <c r="D52" s="71" t="s">
        <v>260</v>
      </c>
      <c r="E52" s="72" t="s">
        <v>261</v>
      </c>
      <c r="F52" s="76" t="s">
        <v>262</v>
      </c>
      <c r="G52" s="89" t="s">
        <v>58</v>
      </c>
      <c r="H52" s="75" t="s">
        <v>258</v>
      </c>
      <c r="I52" s="76" t="s">
        <v>60</v>
      </c>
      <c r="J52" s="69" t="s">
        <v>61</v>
      </c>
      <c r="K52" s="69" t="s">
        <v>61</v>
      </c>
    </row>
    <row r="53" spans="1:11" ht="237.75" x14ac:dyDescent="0.2">
      <c r="A53" s="114" t="s">
        <v>89</v>
      </c>
      <c r="B53" s="78" t="s">
        <v>90</v>
      </c>
      <c r="C53" s="70" t="s">
        <v>263</v>
      </c>
      <c r="D53" s="71" t="s">
        <v>264</v>
      </c>
      <c r="E53" s="72" t="s">
        <v>265</v>
      </c>
      <c r="F53" s="76" t="s">
        <v>266</v>
      </c>
      <c r="G53" s="89" t="s">
        <v>58</v>
      </c>
      <c r="H53" s="75" t="s">
        <v>258</v>
      </c>
      <c r="I53" s="76" t="s">
        <v>60</v>
      </c>
      <c r="J53" s="69" t="s">
        <v>61</v>
      </c>
      <c r="K53" s="69" t="s">
        <v>61</v>
      </c>
    </row>
    <row r="54" spans="1:11" ht="237.75" x14ac:dyDescent="0.2">
      <c r="A54" s="114" t="s">
        <v>89</v>
      </c>
      <c r="B54" s="78" t="s">
        <v>90</v>
      </c>
      <c r="C54" s="70" t="s">
        <v>267</v>
      </c>
      <c r="D54" s="71" t="s">
        <v>268</v>
      </c>
      <c r="E54" s="109" t="s">
        <v>269</v>
      </c>
      <c r="F54" s="115" t="s">
        <v>270</v>
      </c>
      <c r="G54" s="89" t="s">
        <v>58</v>
      </c>
      <c r="H54" s="75" t="s">
        <v>258</v>
      </c>
      <c r="I54" s="76" t="s">
        <v>60</v>
      </c>
      <c r="J54" s="69" t="s">
        <v>61</v>
      </c>
      <c r="K54" s="69" t="s">
        <v>61</v>
      </c>
    </row>
    <row r="55" spans="1:11" ht="237.75" x14ac:dyDescent="0.2">
      <c r="A55" s="114" t="s">
        <v>89</v>
      </c>
      <c r="B55" s="78" t="s">
        <v>90</v>
      </c>
      <c r="C55" s="70" t="s">
        <v>271</v>
      </c>
      <c r="D55" s="71" t="s">
        <v>272</v>
      </c>
      <c r="E55" s="72" t="s">
        <v>273</v>
      </c>
      <c r="F55" s="76" t="s">
        <v>274</v>
      </c>
      <c r="G55" s="89" t="s">
        <v>58</v>
      </c>
      <c r="H55" s="75" t="s">
        <v>258</v>
      </c>
      <c r="I55" s="76" t="s">
        <v>60</v>
      </c>
      <c r="J55" s="69" t="s">
        <v>61</v>
      </c>
      <c r="K55" s="69" t="s">
        <v>61</v>
      </c>
    </row>
    <row r="56" spans="1:11" ht="237.75" x14ac:dyDescent="0.2">
      <c r="A56" s="114" t="s">
        <v>89</v>
      </c>
      <c r="B56" s="78" t="s">
        <v>90</v>
      </c>
      <c r="C56" s="70" t="s">
        <v>275</v>
      </c>
      <c r="D56" s="71" t="s">
        <v>276</v>
      </c>
      <c r="E56" s="72" t="s">
        <v>277</v>
      </c>
      <c r="F56" s="76" t="s">
        <v>278</v>
      </c>
      <c r="G56" s="89" t="s">
        <v>58</v>
      </c>
      <c r="H56" s="75" t="s">
        <v>258</v>
      </c>
      <c r="I56" s="76" t="s">
        <v>60</v>
      </c>
      <c r="J56" s="69" t="s">
        <v>61</v>
      </c>
      <c r="K56" s="69" t="s">
        <v>61</v>
      </c>
    </row>
    <row r="57" spans="1:11" ht="237.75" x14ac:dyDescent="0.2">
      <c r="A57" s="116" t="s">
        <v>89</v>
      </c>
      <c r="B57" s="78" t="s">
        <v>90</v>
      </c>
      <c r="C57" s="70" t="s">
        <v>279</v>
      </c>
      <c r="D57" s="71" t="s">
        <v>280</v>
      </c>
      <c r="E57" s="72" t="s">
        <v>281</v>
      </c>
      <c r="F57" s="76" t="s">
        <v>274</v>
      </c>
      <c r="G57" s="89" t="s">
        <v>58</v>
      </c>
      <c r="H57" s="75" t="s">
        <v>258</v>
      </c>
      <c r="I57" s="76" t="s">
        <v>60</v>
      </c>
      <c r="J57" s="69" t="s">
        <v>61</v>
      </c>
      <c r="K57" s="69" t="s">
        <v>61</v>
      </c>
    </row>
    <row r="58" spans="1:11" ht="242.25" x14ac:dyDescent="0.2">
      <c r="A58" s="78" t="s">
        <v>111</v>
      </c>
      <c r="B58" s="78" t="s">
        <v>112</v>
      </c>
      <c r="C58" s="70" t="s">
        <v>282</v>
      </c>
      <c r="D58" s="71" t="s">
        <v>283</v>
      </c>
      <c r="E58" s="72" t="s">
        <v>284</v>
      </c>
      <c r="F58" s="73" t="s">
        <v>285</v>
      </c>
      <c r="G58" s="89" t="s">
        <v>58</v>
      </c>
      <c r="H58" s="87" t="s">
        <v>286</v>
      </c>
      <c r="I58" s="76" t="s">
        <v>60</v>
      </c>
      <c r="J58" s="69" t="s">
        <v>61</v>
      </c>
      <c r="K58" s="69" t="s">
        <v>61</v>
      </c>
    </row>
    <row r="59" spans="1:11" ht="127.5" x14ac:dyDescent="0.2">
      <c r="A59" s="116" t="s">
        <v>89</v>
      </c>
      <c r="B59" s="78" t="s">
        <v>90</v>
      </c>
      <c r="C59" s="70" t="s">
        <v>287</v>
      </c>
      <c r="D59" s="71" t="s">
        <v>288</v>
      </c>
      <c r="E59" s="117" t="s">
        <v>289</v>
      </c>
      <c r="F59" s="73" t="s">
        <v>290</v>
      </c>
      <c r="G59" s="89" t="s">
        <v>58</v>
      </c>
      <c r="H59" s="87" t="s">
        <v>291</v>
      </c>
      <c r="I59" s="76" t="s">
        <v>60</v>
      </c>
      <c r="J59" s="69" t="s">
        <v>61</v>
      </c>
      <c r="K59" s="69" t="s">
        <v>61</v>
      </c>
    </row>
    <row r="60" spans="1:11" ht="114.75" x14ac:dyDescent="0.2">
      <c r="A60" s="118" t="s">
        <v>89</v>
      </c>
      <c r="B60" s="78" t="s">
        <v>90</v>
      </c>
      <c r="C60" s="70" t="s">
        <v>292</v>
      </c>
      <c r="D60" s="71" t="s">
        <v>293</v>
      </c>
      <c r="E60" s="119" t="s">
        <v>294</v>
      </c>
      <c r="F60" s="89" t="s">
        <v>0</v>
      </c>
      <c r="G60" s="89" t="s">
        <v>58</v>
      </c>
      <c r="H60" s="78" t="s">
        <v>295</v>
      </c>
      <c r="I60" s="76" t="s">
        <v>60</v>
      </c>
      <c r="J60" s="69" t="s">
        <v>61</v>
      </c>
      <c r="K60" s="69" t="s">
        <v>61</v>
      </c>
    </row>
    <row r="61" spans="1:11" ht="89.25" x14ac:dyDescent="0.2">
      <c r="A61" s="120" t="s">
        <v>296</v>
      </c>
      <c r="B61" s="78" t="s">
        <v>297</v>
      </c>
      <c r="C61" s="70" t="s">
        <v>298</v>
      </c>
      <c r="D61" s="71" t="s">
        <v>299</v>
      </c>
      <c r="E61" s="109" t="s">
        <v>300</v>
      </c>
      <c r="F61" s="93" t="s">
        <v>301</v>
      </c>
      <c r="G61" s="89" t="s">
        <v>302</v>
      </c>
      <c r="H61" s="78" t="s">
        <v>303</v>
      </c>
      <c r="I61" s="76" t="s">
        <v>60</v>
      </c>
      <c r="J61" s="69" t="s">
        <v>61</v>
      </c>
      <c r="K61" s="69" t="s">
        <v>61</v>
      </c>
    </row>
    <row r="62" spans="1:11" ht="89.25" x14ac:dyDescent="0.2">
      <c r="A62" s="121" t="s">
        <v>111</v>
      </c>
      <c r="B62" s="82" t="s">
        <v>112</v>
      </c>
      <c r="C62" s="70" t="s">
        <v>304</v>
      </c>
      <c r="D62" s="71" t="s">
        <v>305</v>
      </c>
      <c r="E62" s="72" t="s">
        <v>306</v>
      </c>
      <c r="F62" s="89" t="s">
        <v>0</v>
      </c>
      <c r="G62" s="89" t="s">
        <v>58</v>
      </c>
      <c r="H62" s="75" t="s">
        <v>101</v>
      </c>
      <c r="I62" s="76" t="s">
        <v>60</v>
      </c>
      <c r="J62" s="69" t="s">
        <v>61</v>
      </c>
      <c r="K62" s="69" t="s">
        <v>61</v>
      </c>
    </row>
    <row r="63" spans="1:11" ht="89.25" x14ac:dyDescent="0.2">
      <c r="A63" s="122" t="s">
        <v>307</v>
      </c>
      <c r="B63" s="82" t="s">
        <v>308</v>
      </c>
      <c r="C63" s="70" t="s">
        <v>309</v>
      </c>
      <c r="D63" s="71" t="s">
        <v>310</v>
      </c>
      <c r="E63" s="72" t="s">
        <v>311</v>
      </c>
      <c r="F63" s="73" t="s">
        <v>211</v>
      </c>
      <c r="G63" s="89" t="s">
        <v>58</v>
      </c>
      <c r="H63" s="75" t="s">
        <v>101</v>
      </c>
      <c r="I63" s="76" t="s">
        <v>60</v>
      </c>
      <c r="J63" s="69" t="s">
        <v>61</v>
      </c>
      <c r="K63" s="69" t="s">
        <v>61</v>
      </c>
    </row>
    <row r="64" spans="1:11" ht="89.25" x14ac:dyDescent="0.2">
      <c r="A64" s="123" t="s">
        <v>307</v>
      </c>
      <c r="B64" s="94" t="s">
        <v>308</v>
      </c>
      <c r="C64" s="70" t="s">
        <v>312</v>
      </c>
      <c r="D64" s="71" t="s">
        <v>313</v>
      </c>
      <c r="E64" s="72" t="s">
        <v>314</v>
      </c>
      <c r="F64" s="73" t="s">
        <v>211</v>
      </c>
      <c r="G64" s="89" t="s">
        <v>58</v>
      </c>
      <c r="H64" s="75" t="s">
        <v>101</v>
      </c>
      <c r="I64" s="76" t="s">
        <v>60</v>
      </c>
      <c r="J64" s="69" t="s">
        <v>61</v>
      </c>
      <c r="K64" s="69" t="s">
        <v>61</v>
      </c>
    </row>
    <row r="65" spans="1:11" ht="89.25" x14ac:dyDescent="0.2">
      <c r="A65" s="122" t="s">
        <v>307</v>
      </c>
      <c r="B65" s="82" t="s">
        <v>308</v>
      </c>
      <c r="C65" s="70" t="s">
        <v>315</v>
      </c>
      <c r="D65" s="71" t="s">
        <v>316</v>
      </c>
      <c r="E65" s="72" t="s">
        <v>317</v>
      </c>
      <c r="F65" s="73" t="s">
        <v>211</v>
      </c>
      <c r="G65" s="89" t="s">
        <v>58</v>
      </c>
      <c r="H65" s="75" t="s">
        <v>101</v>
      </c>
      <c r="I65" s="76" t="s">
        <v>60</v>
      </c>
      <c r="J65" s="69" t="s">
        <v>61</v>
      </c>
      <c r="K65" s="69" t="s">
        <v>61</v>
      </c>
    </row>
    <row r="66" spans="1:11" ht="89.25" x14ac:dyDescent="0.2">
      <c r="A66" s="124" t="s">
        <v>307</v>
      </c>
      <c r="B66" s="94" t="s">
        <v>308</v>
      </c>
      <c r="C66" s="70" t="s">
        <v>318</v>
      </c>
      <c r="D66" s="71" t="s">
        <v>319</v>
      </c>
      <c r="E66" s="72" t="s">
        <v>320</v>
      </c>
      <c r="F66" s="73" t="s">
        <v>211</v>
      </c>
      <c r="G66" s="89" t="s">
        <v>58</v>
      </c>
      <c r="H66" s="75" t="s">
        <v>101</v>
      </c>
      <c r="I66" s="76" t="s">
        <v>60</v>
      </c>
      <c r="J66" s="69" t="s">
        <v>61</v>
      </c>
      <c r="K66" s="69" t="s">
        <v>61</v>
      </c>
    </row>
    <row r="67" spans="1:11" ht="102" x14ac:dyDescent="0.2">
      <c r="A67" s="124" t="s">
        <v>321</v>
      </c>
      <c r="B67" s="94" t="s">
        <v>322</v>
      </c>
      <c r="C67" s="70" t="s">
        <v>323</v>
      </c>
      <c r="D67" s="71" t="s">
        <v>324</v>
      </c>
      <c r="E67" s="72" t="s">
        <v>325</v>
      </c>
      <c r="F67" s="73" t="s">
        <v>326</v>
      </c>
      <c r="G67" s="89" t="s">
        <v>58</v>
      </c>
      <c r="H67" s="78" t="s">
        <v>327</v>
      </c>
      <c r="I67" s="76" t="s">
        <v>60</v>
      </c>
      <c r="J67" s="69" t="s">
        <v>61</v>
      </c>
      <c r="K67" s="69" t="s">
        <v>61</v>
      </c>
    </row>
    <row r="68" spans="1:11" ht="89.25" x14ac:dyDescent="0.2">
      <c r="A68" s="125" t="s">
        <v>328</v>
      </c>
      <c r="B68" s="82" t="s">
        <v>223</v>
      </c>
      <c r="C68" s="70" t="s">
        <v>329</v>
      </c>
      <c r="D68" s="71" t="s">
        <v>330</v>
      </c>
      <c r="E68" s="72" t="s">
        <v>331</v>
      </c>
      <c r="F68" s="126" t="s">
        <v>332</v>
      </c>
      <c r="G68" s="89" t="s">
        <v>58</v>
      </c>
      <c r="H68" s="78" t="s">
        <v>333</v>
      </c>
      <c r="I68" s="76" t="s">
        <v>60</v>
      </c>
      <c r="J68" s="69" t="s">
        <v>61</v>
      </c>
      <c r="K68" s="69" t="s">
        <v>61</v>
      </c>
    </row>
    <row r="69" spans="1:11" ht="92.25" x14ac:dyDescent="0.2">
      <c r="A69" s="101" t="s">
        <v>334</v>
      </c>
      <c r="B69" s="94" t="s">
        <v>335</v>
      </c>
      <c r="C69" s="70" t="s">
        <v>336</v>
      </c>
      <c r="D69" s="71" t="s">
        <v>337</v>
      </c>
      <c r="E69" s="72" t="s">
        <v>338</v>
      </c>
      <c r="F69" s="73" t="s">
        <v>339</v>
      </c>
      <c r="G69" s="89" t="s">
        <v>58</v>
      </c>
      <c r="H69" s="83" t="s">
        <v>340</v>
      </c>
      <c r="I69" s="76" t="s">
        <v>60</v>
      </c>
      <c r="J69" s="69" t="s">
        <v>61</v>
      </c>
      <c r="K69" s="69" t="s">
        <v>61</v>
      </c>
    </row>
    <row r="70" spans="1:11" ht="89.25" x14ac:dyDescent="0.2">
      <c r="A70" s="83" t="s">
        <v>111</v>
      </c>
      <c r="B70" s="127" t="s">
        <v>112</v>
      </c>
      <c r="C70" s="70" t="s">
        <v>341</v>
      </c>
      <c r="D70" s="71" t="s">
        <v>342</v>
      </c>
      <c r="E70" s="128" t="s">
        <v>343</v>
      </c>
      <c r="F70" s="129" t="s">
        <v>339</v>
      </c>
      <c r="G70" s="130" t="s">
        <v>58</v>
      </c>
      <c r="H70" s="83" t="s">
        <v>344</v>
      </c>
      <c r="I70" s="76" t="s">
        <v>60</v>
      </c>
      <c r="J70" s="127" t="s">
        <v>61</v>
      </c>
      <c r="K70" s="127" t="s">
        <v>61</v>
      </c>
    </row>
    <row r="71" spans="1:11" ht="89.25" x14ac:dyDescent="0.2">
      <c r="A71" s="102" t="s">
        <v>345</v>
      </c>
      <c r="B71" s="78" t="s">
        <v>335</v>
      </c>
      <c r="C71" s="70" t="s">
        <v>346</v>
      </c>
      <c r="D71" s="71" t="s">
        <v>347</v>
      </c>
      <c r="E71" s="79" t="s">
        <v>348</v>
      </c>
      <c r="F71" s="89" t="s">
        <v>0</v>
      </c>
      <c r="G71" s="89" t="s">
        <v>58</v>
      </c>
      <c r="H71" s="83" t="s">
        <v>344</v>
      </c>
      <c r="I71" s="76" t="s">
        <v>60</v>
      </c>
      <c r="J71" s="69" t="s">
        <v>61</v>
      </c>
      <c r="K71" s="69" t="s">
        <v>61</v>
      </c>
    </row>
    <row r="72" spans="1:11" ht="105" x14ac:dyDescent="0.2">
      <c r="A72" s="83" t="s">
        <v>72</v>
      </c>
      <c r="B72" s="127" t="s">
        <v>73</v>
      </c>
      <c r="C72" s="131" t="s">
        <v>349</v>
      </c>
      <c r="D72" s="71" t="s">
        <v>350</v>
      </c>
      <c r="E72" s="128" t="s">
        <v>351</v>
      </c>
      <c r="F72" s="129" t="s">
        <v>57</v>
      </c>
      <c r="G72" s="132" t="s">
        <v>58</v>
      </c>
      <c r="H72" s="75" t="s">
        <v>59</v>
      </c>
      <c r="I72" s="76" t="s">
        <v>60</v>
      </c>
      <c r="J72" s="127" t="s">
        <v>61</v>
      </c>
      <c r="K72" s="127" t="s">
        <v>61</v>
      </c>
    </row>
    <row r="73" spans="1:11" ht="76.5" x14ac:dyDescent="0.2">
      <c r="A73" s="133" t="s">
        <v>352</v>
      </c>
      <c r="B73" s="69" t="s">
        <v>353</v>
      </c>
      <c r="C73" s="134" t="s">
        <v>354</v>
      </c>
      <c r="D73" s="71" t="s">
        <v>355</v>
      </c>
      <c r="E73" s="135" t="s">
        <v>356</v>
      </c>
      <c r="F73" s="89" t="s">
        <v>0</v>
      </c>
      <c r="G73" s="89" t="s">
        <v>58</v>
      </c>
      <c r="H73" s="75" t="s">
        <v>59</v>
      </c>
      <c r="I73" s="76" t="s">
        <v>60</v>
      </c>
      <c r="J73" s="69" t="s">
        <v>61</v>
      </c>
      <c r="K73" s="69" t="s">
        <v>61</v>
      </c>
    </row>
  </sheetData>
  <autoFilter ref="A3:M73" xr:uid="{00000000-0001-0000-0200-000000000000}"/>
  <conditionalFormatting sqref="D4:D73">
    <cfRule type="duplicateValues" dxfId="3" priority="1"/>
  </conditionalFormatting>
  <printOptions horizontalCentered="1"/>
  <pageMargins left="0.25" right="0.25" top="0.75" bottom="0.75" header="0.3" footer="0.3"/>
  <pageSetup paperSize="17" scale="65" orientation="landscape" r:id="rId1"/>
  <headerFooter alignWithMargins="0">
    <oddHeader>&amp;LVIS-DI-002564/2&amp;C&amp;"Times New Roman,Bold"&amp;12Project Chroma Design Input Traceability Matrix (DITM)</oddHeader>
    <oddFooter>&amp;L&amp;"Times New Roman,Bold"&amp;9DITM&amp;C&amp;"Times New Roman,Bold"&amp;9VCF-2468 (15)&amp;K000000
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9306-384B-4213-8526-4BA7AE49E545}">
  <dimension ref="A1:B72"/>
  <sheetViews>
    <sheetView workbookViewId="0">
      <selection activeCell="B48" sqref="B48"/>
    </sheetView>
  </sheetViews>
  <sheetFormatPr defaultRowHeight="12.75" x14ac:dyDescent="0.2"/>
  <cols>
    <col min="1" max="1" width="24.7109375" style="137" customWidth="1"/>
    <col min="2" max="2" width="27.28515625" style="137" customWidth="1"/>
    <col min="3" max="16384" width="9.140625" style="137"/>
  </cols>
  <sheetData>
    <row r="1" spans="1:2" x14ac:dyDescent="0.2">
      <c r="A1" s="136" t="s">
        <v>54</v>
      </c>
      <c r="B1" s="136" t="s">
        <v>54</v>
      </c>
    </row>
    <row r="2" spans="1:2" x14ac:dyDescent="0.2">
      <c r="A2" s="136" t="s">
        <v>64</v>
      </c>
      <c r="B2" s="136" t="s">
        <v>64</v>
      </c>
    </row>
    <row r="3" spans="1:2" x14ac:dyDescent="0.2">
      <c r="A3" s="136" t="s">
        <v>69</v>
      </c>
      <c r="B3" s="136" t="s">
        <v>69</v>
      </c>
    </row>
    <row r="4" spans="1:2" x14ac:dyDescent="0.2">
      <c r="A4" s="136" t="s">
        <v>74</v>
      </c>
      <c r="B4" s="136" t="s">
        <v>74</v>
      </c>
    </row>
    <row r="5" spans="1:2" x14ac:dyDescent="0.2">
      <c r="A5" s="136" t="s">
        <v>78</v>
      </c>
      <c r="B5" s="136" t="s">
        <v>78</v>
      </c>
    </row>
    <row r="6" spans="1:2" x14ac:dyDescent="0.2">
      <c r="A6" s="136" t="s">
        <v>82</v>
      </c>
      <c r="B6" s="136" t="s">
        <v>82</v>
      </c>
    </row>
    <row r="7" spans="1:2" x14ac:dyDescent="0.2">
      <c r="A7" s="136" t="s">
        <v>86</v>
      </c>
      <c r="B7" s="136" t="s">
        <v>86</v>
      </c>
    </row>
    <row r="8" spans="1:2" x14ac:dyDescent="0.2">
      <c r="A8" s="136" t="s">
        <v>91</v>
      </c>
      <c r="B8" s="136" t="s">
        <v>91</v>
      </c>
    </row>
    <row r="9" spans="1:2" x14ac:dyDescent="0.2">
      <c r="A9" s="136" t="s">
        <v>97</v>
      </c>
      <c r="B9" s="136" t="s">
        <v>357</v>
      </c>
    </row>
    <row r="10" spans="1:2" x14ac:dyDescent="0.2">
      <c r="A10" s="136" t="s">
        <v>102</v>
      </c>
      <c r="B10" s="136" t="s">
        <v>97</v>
      </c>
    </row>
    <row r="11" spans="1:2" x14ac:dyDescent="0.2">
      <c r="A11" s="136" t="s">
        <v>105</v>
      </c>
      <c r="B11" s="136" t="s">
        <v>102</v>
      </c>
    </row>
    <row r="12" spans="1:2" x14ac:dyDescent="0.2">
      <c r="A12" s="136" t="s">
        <v>108</v>
      </c>
      <c r="B12" s="136" t="s">
        <v>105</v>
      </c>
    </row>
    <row r="13" spans="1:2" x14ac:dyDescent="0.2">
      <c r="A13" s="136" t="s">
        <v>113</v>
      </c>
      <c r="B13" s="136" t="s">
        <v>108</v>
      </c>
    </row>
    <row r="14" spans="1:2" x14ac:dyDescent="0.2">
      <c r="A14" s="136" t="s">
        <v>117</v>
      </c>
      <c r="B14" s="136" t="s">
        <v>113</v>
      </c>
    </row>
    <row r="15" spans="1:2" x14ac:dyDescent="0.2">
      <c r="A15" s="136" t="s">
        <v>121</v>
      </c>
      <c r="B15" s="136" t="s">
        <v>117</v>
      </c>
    </row>
    <row r="16" spans="1:2" x14ac:dyDescent="0.2">
      <c r="A16" s="136" t="s">
        <v>125</v>
      </c>
      <c r="B16" s="136" t="s">
        <v>121</v>
      </c>
    </row>
    <row r="17" spans="1:2" x14ac:dyDescent="0.2">
      <c r="A17" s="136" t="s">
        <v>129</v>
      </c>
      <c r="B17" s="136" t="s">
        <v>125</v>
      </c>
    </row>
    <row r="18" spans="1:2" x14ac:dyDescent="0.2">
      <c r="A18" s="136" t="s">
        <v>133</v>
      </c>
      <c r="B18" s="136" t="s">
        <v>129</v>
      </c>
    </row>
    <row r="19" spans="1:2" x14ac:dyDescent="0.2">
      <c r="A19" s="136" t="s">
        <v>137</v>
      </c>
      <c r="B19" s="136" t="s">
        <v>133</v>
      </c>
    </row>
    <row r="20" spans="1:2" x14ac:dyDescent="0.2">
      <c r="A20" s="136" t="s">
        <v>140</v>
      </c>
      <c r="B20" s="136" t="s">
        <v>137</v>
      </c>
    </row>
    <row r="21" spans="1:2" x14ac:dyDescent="0.2">
      <c r="A21" s="136" t="s">
        <v>143</v>
      </c>
      <c r="B21" s="136" t="s">
        <v>140</v>
      </c>
    </row>
    <row r="22" spans="1:2" x14ac:dyDescent="0.2">
      <c r="A22" s="136" t="s">
        <v>147</v>
      </c>
      <c r="B22" s="136" t="s">
        <v>143</v>
      </c>
    </row>
    <row r="23" spans="1:2" x14ac:dyDescent="0.2">
      <c r="A23" s="136" t="s">
        <v>151</v>
      </c>
      <c r="B23" s="136" t="s">
        <v>147</v>
      </c>
    </row>
    <row r="24" spans="1:2" x14ac:dyDescent="0.2">
      <c r="A24" s="136" t="s">
        <v>155</v>
      </c>
      <c r="B24" s="136" t="s">
        <v>151</v>
      </c>
    </row>
    <row r="25" spans="1:2" x14ac:dyDescent="0.2">
      <c r="A25" s="136" t="s">
        <v>158</v>
      </c>
      <c r="B25" s="136" t="s">
        <v>155</v>
      </c>
    </row>
    <row r="26" spans="1:2" x14ac:dyDescent="0.2">
      <c r="A26" s="136" t="s">
        <v>161</v>
      </c>
      <c r="B26" s="136" t="s">
        <v>158</v>
      </c>
    </row>
    <row r="27" spans="1:2" x14ac:dyDescent="0.2">
      <c r="A27" s="136" t="s">
        <v>164</v>
      </c>
      <c r="B27" s="136" t="s">
        <v>161</v>
      </c>
    </row>
    <row r="28" spans="1:2" x14ac:dyDescent="0.2">
      <c r="A28" s="136" t="s">
        <v>167</v>
      </c>
      <c r="B28" s="136" t="s">
        <v>164</v>
      </c>
    </row>
    <row r="29" spans="1:2" x14ac:dyDescent="0.2">
      <c r="A29" s="136" t="s">
        <v>171</v>
      </c>
      <c r="B29" s="136" t="s">
        <v>167</v>
      </c>
    </row>
    <row r="30" spans="1:2" x14ac:dyDescent="0.2">
      <c r="A30" s="136" t="s">
        <v>175</v>
      </c>
      <c r="B30" s="136" t="s">
        <v>171</v>
      </c>
    </row>
    <row r="31" spans="1:2" x14ac:dyDescent="0.2">
      <c r="A31" s="136" t="s">
        <v>179</v>
      </c>
      <c r="B31" s="136" t="s">
        <v>175</v>
      </c>
    </row>
    <row r="32" spans="1:2" x14ac:dyDescent="0.2">
      <c r="A32" s="136" t="s">
        <v>183</v>
      </c>
      <c r="B32" s="136" t="s">
        <v>179</v>
      </c>
    </row>
    <row r="33" spans="1:2" x14ac:dyDescent="0.2">
      <c r="A33" s="136" t="s">
        <v>187</v>
      </c>
      <c r="B33" s="136" t="s">
        <v>183</v>
      </c>
    </row>
    <row r="34" spans="1:2" x14ac:dyDescent="0.2">
      <c r="A34" s="136" t="s">
        <v>191</v>
      </c>
      <c r="B34" s="136" t="s">
        <v>187</v>
      </c>
    </row>
    <row r="35" spans="1:2" x14ac:dyDescent="0.2">
      <c r="A35" s="136" t="s">
        <v>195</v>
      </c>
      <c r="B35" s="136" t="s">
        <v>191</v>
      </c>
    </row>
    <row r="36" spans="1:2" x14ac:dyDescent="0.2">
      <c r="A36" s="136" t="s">
        <v>198</v>
      </c>
      <c r="B36" s="136" t="s">
        <v>195</v>
      </c>
    </row>
    <row r="37" spans="1:2" x14ac:dyDescent="0.2">
      <c r="A37" s="136" t="s">
        <v>201</v>
      </c>
      <c r="B37" s="136" t="s">
        <v>198</v>
      </c>
    </row>
    <row r="38" spans="1:2" x14ac:dyDescent="0.2">
      <c r="A38" s="136" t="s">
        <v>208</v>
      </c>
      <c r="B38" s="136" t="s">
        <v>201</v>
      </c>
    </row>
    <row r="39" spans="1:2" x14ac:dyDescent="0.2">
      <c r="A39" s="136" t="s">
        <v>212</v>
      </c>
      <c r="B39" s="136" t="s">
        <v>208</v>
      </c>
    </row>
    <row r="40" spans="1:2" x14ac:dyDescent="0.2">
      <c r="A40" s="136" t="s">
        <v>217</v>
      </c>
      <c r="B40" s="136" t="s">
        <v>212</v>
      </c>
    </row>
    <row r="41" spans="1:2" x14ac:dyDescent="0.2">
      <c r="A41" s="136" t="s">
        <v>224</v>
      </c>
      <c r="B41" s="136" t="s">
        <v>217</v>
      </c>
    </row>
    <row r="42" spans="1:2" x14ac:dyDescent="0.2">
      <c r="A42" s="136" t="s">
        <v>229</v>
      </c>
      <c r="B42" s="136" t="s">
        <v>224</v>
      </c>
    </row>
    <row r="43" spans="1:2" x14ac:dyDescent="0.2">
      <c r="A43" s="136" t="s">
        <v>235</v>
      </c>
      <c r="B43" s="136" t="s">
        <v>229</v>
      </c>
    </row>
    <row r="44" spans="1:2" x14ac:dyDescent="0.2">
      <c r="A44" s="136" t="s">
        <v>240</v>
      </c>
      <c r="B44" s="136" t="s">
        <v>235</v>
      </c>
    </row>
    <row r="45" spans="1:2" x14ac:dyDescent="0.2">
      <c r="A45" s="136" t="s">
        <v>243</v>
      </c>
      <c r="B45" s="136" t="s">
        <v>240</v>
      </c>
    </row>
    <row r="46" spans="1:2" x14ac:dyDescent="0.2">
      <c r="A46" s="136" t="s">
        <v>246</v>
      </c>
      <c r="B46" s="136" t="s">
        <v>243</v>
      </c>
    </row>
    <row r="47" spans="1:2" x14ac:dyDescent="0.2">
      <c r="A47" s="136" t="s">
        <v>251</v>
      </c>
      <c r="B47" s="136" t="s">
        <v>246</v>
      </c>
    </row>
    <row r="48" spans="1:2" x14ac:dyDescent="0.2">
      <c r="A48" s="136" t="s">
        <v>255</v>
      </c>
      <c r="B48" s="136" t="s">
        <v>358</v>
      </c>
    </row>
    <row r="49" spans="1:2" x14ac:dyDescent="0.2">
      <c r="A49" s="136" t="s">
        <v>259</v>
      </c>
      <c r="B49" s="136" t="s">
        <v>251</v>
      </c>
    </row>
    <row r="50" spans="1:2" x14ac:dyDescent="0.2">
      <c r="A50" s="136" t="s">
        <v>263</v>
      </c>
      <c r="B50" s="136" t="s">
        <v>255</v>
      </c>
    </row>
    <row r="51" spans="1:2" x14ac:dyDescent="0.2">
      <c r="A51" s="136" t="s">
        <v>267</v>
      </c>
      <c r="B51" s="136" t="s">
        <v>259</v>
      </c>
    </row>
    <row r="52" spans="1:2" x14ac:dyDescent="0.2">
      <c r="A52" s="136" t="s">
        <v>271</v>
      </c>
      <c r="B52" s="136" t="s">
        <v>263</v>
      </c>
    </row>
    <row r="53" spans="1:2" x14ac:dyDescent="0.2">
      <c r="A53" s="136" t="s">
        <v>275</v>
      </c>
      <c r="B53" s="136" t="s">
        <v>267</v>
      </c>
    </row>
    <row r="54" spans="1:2" x14ac:dyDescent="0.2">
      <c r="A54" s="136" t="s">
        <v>279</v>
      </c>
      <c r="B54" s="136" t="s">
        <v>271</v>
      </c>
    </row>
    <row r="55" spans="1:2" x14ac:dyDescent="0.2">
      <c r="A55" s="136" t="s">
        <v>282</v>
      </c>
      <c r="B55" s="136" t="s">
        <v>275</v>
      </c>
    </row>
    <row r="56" spans="1:2" x14ac:dyDescent="0.2">
      <c r="A56" s="136" t="s">
        <v>287</v>
      </c>
      <c r="B56" s="136" t="s">
        <v>279</v>
      </c>
    </row>
    <row r="57" spans="1:2" x14ac:dyDescent="0.2">
      <c r="A57" s="136" t="s">
        <v>292</v>
      </c>
      <c r="B57" s="136" t="s">
        <v>282</v>
      </c>
    </row>
    <row r="58" spans="1:2" x14ac:dyDescent="0.2">
      <c r="A58" s="136" t="s">
        <v>298</v>
      </c>
      <c r="B58" s="136" t="s">
        <v>287</v>
      </c>
    </row>
    <row r="59" spans="1:2" x14ac:dyDescent="0.2">
      <c r="A59" s="136" t="s">
        <v>304</v>
      </c>
      <c r="B59" s="136" t="s">
        <v>292</v>
      </c>
    </row>
    <row r="60" spans="1:2" x14ac:dyDescent="0.2">
      <c r="A60" s="136" t="s">
        <v>309</v>
      </c>
      <c r="B60" s="136" t="s">
        <v>298</v>
      </c>
    </row>
    <row r="61" spans="1:2" x14ac:dyDescent="0.2">
      <c r="A61" s="136" t="s">
        <v>312</v>
      </c>
      <c r="B61" s="136" t="s">
        <v>304</v>
      </c>
    </row>
    <row r="62" spans="1:2" x14ac:dyDescent="0.2">
      <c r="A62" s="136" t="s">
        <v>315</v>
      </c>
      <c r="B62" s="136" t="s">
        <v>309</v>
      </c>
    </row>
    <row r="63" spans="1:2" x14ac:dyDescent="0.2">
      <c r="A63" s="136" t="s">
        <v>318</v>
      </c>
      <c r="B63" s="136" t="s">
        <v>312</v>
      </c>
    </row>
    <row r="64" spans="1:2" x14ac:dyDescent="0.2">
      <c r="A64" s="136" t="s">
        <v>323</v>
      </c>
      <c r="B64" s="136" t="s">
        <v>315</v>
      </c>
    </row>
    <row r="65" spans="1:2" x14ac:dyDescent="0.2">
      <c r="A65" s="136" t="s">
        <v>329</v>
      </c>
      <c r="B65" s="136" t="s">
        <v>318</v>
      </c>
    </row>
    <row r="66" spans="1:2" x14ac:dyDescent="0.2">
      <c r="A66" s="136" t="s">
        <v>336</v>
      </c>
      <c r="B66" s="136" t="s">
        <v>323</v>
      </c>
    </row>
    <row r="67" spans="1:2" x14ac:dyDescent="0.2">
      <c r="A67" s="136" t="s">
        <v>341</v>
      </c>
      <c r="B67" s="136" t="s">
        <v>329</v>
      </c>
    </row>
    <row r="68" spans="1:2" x14ac:dyDescent="0.2">
      <c r="A68" s="136" t="s">
        <v>346</v>
      </c>
      <c r="B68" s="136" t="s">
        <v>336</v>
      </c>
    </row>
    <row r="69" spans="1:2" x14ac:dyDescent="0.2">
      <c r="A69" s="138" t="s">
        <v>349</v>
      </c>
      <c r="B69" s="136" t="s">
        <v>341</v>
      </c>
    </row>
    <row r="70" spans="1:2" x14ac:dyDescent="0.2">
      <c r="A70" s="139" t="s">
        <v>354</v>
      </c>
      <c r="B70" s="136" t="s">
        <v>346</v>
      </c>
    </row>
    <row r="71" spans="1:2" x14ac:dyDescent="0.2">
      <c r="B71" s="138" t="s">
        <v>349</v>
      </c>
    </row>
    <row r="72" spans="1:2" x14ac:dyDescent="0.2">
      <c r="B72" s="139" t="s">
        <v>354</v>
      </c>
    </row>
  </sheetData>
  <conditionalFormatting sqref="A1:B1048576">
    <cfRule type="duplicateValues" dxfId="2"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E374E-875F-4D61-8951-3AF4C8032FA3}">
  <dimension ref="A1:G74"/>
  <sheetViews>
    <sheetView topLeftCell="A39" workbookViewId="0">
      <selection activeCell="B2" sqref="B2:B71"/>
    </sheetView>
  </sheetViews>
  <sheetFormatPr defaultRowHeight="12.75" x14ac:dyDescent="0.2"/>
  <cols>
    <col min="1" max="2" width="29.28515625" style="137" customWidth="1"/>
    <col min="3" max="3" width="9.140625" style="137"/>
    <col min="4" max="4" width="27.5703125" style="137" customWidth="1"/>
    <col min="5" max="5" width="22.5703125" style="137" customWidth="1"/>
    <col min="6" max="16384" width="9.140625" style="137"/>
  </cols>
  <sheetData>
    <row r="1" spans="1:7" x14ac:dyDescent="0.2">
      <c r="D1" s="140" t="s">
        <v>359</v>
      </c>
      <c r="E1" s="140" t="s">
        <v>1</v>
      </c>
    </row>
    <row r="2" spans="1:7" x14ac:dyDescent="0.2">
      <c r="A2" s="136" t="s">
        <v>54</v>
      </c>
      <c r="B2" s="137" t="s">
        <v>55</v>
      </c>
      <c r="D2" s="141" t="s">
        <v>54</v>
      </c>
      <c r="E2" s="142" t="s">
        <v>55</v>
      </c>
      <c r="G2" s="137" t="str">
        <f>VLOOKUP(A2,D2:E73,2,0)</f>
        <v>CHR-10</v>
      </c>
    </row>
    <row r="3" spans="1:7" x14ac:dyDescent="0.2">
      <c r="A3" s="136" t="s">
        <v>64</v>
      </c>
      <c r="B3" s="137" t="s">
        <v>65</v>
      </c>
      <c r="D3" s="141" t="s">
        <v>64</v>
      </c>
      <c r="E3" s="142" t="s">
        <v>65</v>
      </c>
      <c r="G3" s="137" t="str">
        <f t="shared" ref="G3:G66" si="0">VLOOKUP(A3,D3:E74,2,0)</f>
        <v>CHR-11</v>
      </c>
    </row>
    <row r="4" spans="1:7" x14ac:dyDescent="0.2">
      <c r="A4" s="136" t="s">
        <v>69</v>
      </c>
      <c r="B4" s="137" t="s">
        <v>70</v>
      </c>
      <c r="D4" s="141" t="s">
        <v>69</v>
      </c>
      <c r="E4" s="142" t="s">
        <v>70</v>
      </c>
      <c r="G4" s="137" t="str">
        <f t="shared" si="0"/>
        <v>CHR-12</v>
      </c>
    </row>
    <row r="5" spans="1:7" x14ac:dyDescent="0.2">
      <c r="A5" s="136" t="s">
        <v>74</v>
      </c>
      <c r="B5" s="137" t="s">
        <v>75</v>
      </c>
      <c r="D5" s="141" t="s">
        <v>74</v>
      </c>
      <c r="E5" s="142" t="s">
        <v>75</v>
      </c>
      <c r="G5" s="137" t="str">
        <f t="shared" si="0"/>
        <v>CHR-13</v>
      </c>
    </row>
    <row r="6" spans="1:7" x14ac:dyDescent="0.2">
      <c r="A6" s="136" t="s">
        <v>78</v>
      </c>
      <c r="B6" s="137" t="s">
        <v>79</v>
      </c>
      <c r="D6" s="141" t="s">
        <v>78</v>
      </c>
      <c r="E6" s="142" t="s">
        <v>79</v>
      </c>
      <c r="G6" s="137" t="str">
        <f t="shared" si="0"/>
        <v>CHR-14</v>
      </c>
    </row>
    <row r="7" spans="1:7" x14ac:dyDescent="0.2">
      <c r="A7" s="136" t="s">
        <v>82</v>
      </c>
      <c r="B7" s="137" t="s">
        <v>83</v>
      </c>
      <c r="D7" s="141" t="s">
        <v>82</v>
      </c>
      <c r="E7" s="142" t="s">
        <v>83</v>
      </c>
      <c r="G7" s="137" t="str">
        <f t="shared" si="0"/>
        <v>CHR-15</v>
      </c>
    </row>
    <row r="8" spans="1:7" x14ac:dyDescent="0.2">
      <c r="A8" s="136" t="s">
        <v>86</v>
      </c>
      <c r="B8" s="137" t="s">
        <v>87</v>
      </c>
      <c r="D8" s="141" t="s">
        <v>86</v>
      </c>
      <c r="E8" s="142" t="s">
        <v>87</v>
      </c>
      <c r="G8" s="137" t="str">
        <f t="shared" si="0"/>
        <v>CHR-16</v>
      </c>
    </row>
    <row r="9" spans="1:7" x14ac:dyDescent="0.2">
      <c r="A9" s="136" t="s">
        <v>91</v>
      </c>
      <c r="B9" s="137" t="s">
        <v>92</v>
      </c>
      <c r="D9" s="141" t="s">
        <v>91</v>
      </c>
      <c r="E9" s="142" t="s">
        <v>92</v>
      </c>
      <c r="G9" s="137" t="str">
        <f t="shared" si="0"/>
        <v>CHR-17</v>
      </c>
    </row>
    <row r="10" spans="1:7" x14ac:dyDescent="0.2">
      <c r="A10" s="136" t="s">
        <v>97</v>
      </c>
      <c r="B10" s="137" t="s">
        <v>98</v>
      </c>
      <c r="D10" s="141" t="s">
        <v>357</v>
      </c>
      <c r="E10" s="142" t="s">
        <v>360</v>
      </c>
      <c r="G10" s="137" t="str">
        <f t="shared" si="0"/>
        <v>CHR-19</v>
      </c>
    </row>
    <row r="11" spans="1:7" x14ac:dyDescent="0.2">
      <c r="A11" s="136" t="s">
        <v>102</v>
      </c>
      <c r="B11" s="137" t="s">
        <v>103</v>
      </c>
      <c r="D11" s="141" t="s">
        <v>97</v>
      </c>
      <c r="E11" s="142" t="s">
        <v>98</v>
      </c>
      <c r="G11" s="137" t="str">
        <f t="shared" si="0"/>
        <v>CHR-20</v>
      </c>
    </row>
    <row r="12" spans="1:7" x14ac:dyDescent="0.2">
      <c r="A12" s="136" t="s">
        <v>105</v>
      </c>
      <c r="B12" s="137" t="s">
        <v>106</v>
      </c>
      <c r="D12" s="141" t="s">
        <v>102</v>
      </c>
      <c r="E12" s="142" t="s">
        <v>103</v>
      </c>
      <c r="G12" s="137" t="str">
        <f t="shared" si="0"/>
        <v>CHR-21</v>
      </c>
    </row>
    <row r="13" spans="1:7" x14ac:dyDescent="0.2">
      <c r="A13" s="136" t="s">
        <v>108</v>
      </c>
      <c r="B13" s="137" t="s">
        <v>109</v>
      </c>
      <c r="D13" s="141" t="s">
        <v>105</v>
      </c>
      <c r="E13" s="142" t="s">
        <v>106</v>
      </c>
      <c r="G13" s="137" t="str">
        <f t="shared" si="0"/>
        <v>CHR-22</v>
      </c>
    </row>
    <row r="14" spans="1:7" x14ac:dyDescent="0.2">
      <c r="A14" s="136" t="s">
        <v>113</v>
      </c>
      <c r="B14" s="137" t="s">
        <v>114</v>
      </c>
      <c r="D14" s="141" t="s">
        <v>108</v>
      </c>
      <c r="E14" s="142" t="s">
        <v>109</v>
      </c>
      <c r="G14" s="137" t="str">
        <f t="shared" si="0"/>
        <v>CHR-23</v>
      </c>
    </row>
    <row r="15" spans="1:7" x14ac:dyDescent="0.2">
      <c r="A15" s="136" t="s">
        <v>117</v>
      </c>
      <c r="B15" s="137" t="s">
        <v>118</v>
      </c>
      <c r="D15" s="141" t="s">
        <v>113</v>
      </c>
      <c r="E15" s="142" t="s">
        <v>114</v>
      </c>
      <c r="G15" s="137" t="str">
        <f t="shared" si="0"/>
        <v>CHR-24</v>
      </c>
    </row>
    <row r="16" spans="1:7" x14ac:dyDescent="0.2">
      <c r="A16" s="136" t="s">
        <v>121</v>
      </c>
      <c r="B16" s="137" t="s">
        <v>122</v>
      </c>
      <c r="D16" s="141" t="s">
        <v>117</v>
      </c>
      <c r="E16" s="142" t="s">
        <v>118</v>
      </c>
      <c r="G16" s="137" t="str">
        <f t="shared" si="0"/>
        <v>CHR-25</v>
      </c>
    </row>
    <row r="17" spans="1:7" x14ac:dyDescent="0.2">
      <c r="A17" s="136" t="s">
        <v>125</v>
      </c>
      <c r="B17" s="137" t="s">
        <v>126</v>
      </c>
      <c r="D17" s="141" t="s">
        <v>121</v>
      </c>
      <c r="E17" s="142" t="s">
        <v>122</v>
      </c>
      <c r="G17" s="137" t="str">
        <f t="shared" si="0"/>
        <v>CHR-26</v>
      </c>
    </row>
    <row r="18" spans="1:7" x14ac:dyDescent="0.2">
      <c r="A18" s="136" t="s">
        <v>129</v>
      </c>
      <c r="B18" s="137" t="s">
        <v>130</v>
      </c>
      <c r="D18" s="141" t="s">
        <v>125</v>
      </c>
      <c r="E18" s="142" t="s">
        <v>126</v>
      </c>
      <c r="G18" s="137" t="str">
        <f t="shared" si="0"/>
        <v>CHR-27</v>
      </c>
    </row>
    <row r="19" spans="1:7" x14ac:dyDescent="0.2">
      <c r="A19" s="136" t="s">
        <v>133</v>
      </c>
      <c r="B19" s="137" t="s">
        <v>134</v>
      </c>
      <c r="D19" s="141" t="s">
        <v>129</v>
      </c>
      <c r="E19" s="142" t="s">
        <v>130</v>
      </c>
      <c r="G19" s="137" t="str">
        <f t="shared" si="0"/>
        <v>CHR-28</v>
      </c>
    </row>
    <row r="20" spans="1:7" x14ac:dyDescent="0.2">
      <c r="A20" s="136" t="s">
        <v>137</v>
      </c>
      <c r="B20" s="137" t="s">
        <v>138</v>
      </c>
      <c r="D20" s="141" t="s">
        <v>133</v>
      </c>
      <c r="E20" s="142" t="s">
        <v>134</v>
      </c>
      <c r="G20" s="137" t="str">
        <f t="shared" si="0"/>
        <v>CHR-29</v>
      </c>
    </row>
    <row r="21" spans="1:7" x14ac:dyDescent="0.2">
      <c r="A21" s="136" t="s">
        <v>140</v>
      </c>
      <c r="B21" s="137" t="s">
        <v>141</v>
      </c>
      <c r="D21" s="141" t="s">
        <v>137</v>
      </c>
      <c r="E21" s="142" t="s">
        <v>138</v>
      </c>
      <c r="G21" s="137" t="str">
        <f t="shared" si="0"/>
        <v>CHR-30</v>
      </c>
    </row>
    <row r="22" spans="1:7" x14ac:dyDescent="0.2">
      <c r="A22" s="136" t="s">
        <v>143</v>
      </c>
      <c r="B22" s="137" t="s">
        <v>144</v>
      </c>
      <c r="D22" s="141" t="s">
        <v>140</v>
      </c>
      <c r="E22" s="142" t="s">
        <v>141</v>
      </c>
      <c r="G22" s="137" t="str">
        <f t="shared" si="0"/>
        <v>CHR-31</v>
      </c>
    </row>
    <row r="23" spans="1:7" x14ac:dyDescent="0.2">
      <c r="A23" s="136" t="s">
        <v>147</v>
      </c>
      <c r="B23" s="137" t="s">
        <v>148</v>
      </c>
      <c r="D23" s="141" t="s">
        <v>143</v>
      </c>
      <c r="E23" s="142" t="s">
        <v>144</v>
      </c>
      <c r="G23" s="137" t="str">
        <f t="shared" si="0"/>
        <v>CHR-32</v>
      </c>
    </row>
    <row r="24" spans="1:7" x14ac:dyDescent="0.2">
      <c r="A24" s="136" t="s">
        <v>151</v>
      </c>
      <c r="B24" s="137" t="s">
        <v>152</v>
      </c>
      <c r="D24" s="141" t="s">
        <v>147</v>
      </c>
      <c r="E24" s="142" t="s">
        <v>148</v>
      </c>
      <c r="G24" s="137" t="str">
        <f t="shared" si="0"/>
        <v>CHR-33</v>
      </c>
    </row>
    <row r="25" spans="1:7" x14ac:dyDescent="0.2">
      <c r="A25" s="136" t="s">
        <v>155</v>
      </c>
      <c r="B25" s="137" t="s">
        <v>156</v>
      </c>
      <c r="D25" s="141" t="s">
        <v>151</v>
      </c>
      <c r="E25" s="142" t="s">
        <v>152</v>
      </c>
      <c r="G25" s="137" t="str">
        <f t="shared" si="0"/>
        <v>CHR-34</v>
      </c>
    </row>
    <row r="26" spans="1:7" x14ac:dyDescent="0.2">
      <c r="A26" s="136" t="s">
        <v>158</v>
      </c>
      <c r="B26" s="137" t="s">
        <v>159</v>
      </c>
      <c r="D26" s="141" t="s">
        <v>155</v>
      </c>
      <c r="E26" s="142" t="s">
        <v>156</v>
      </c>
      <c r="G26" s="137" t="str">
        <f t="shared" si="0"/>
        <v>CHR-35</v>
      </c>
    </row>
    <row r="27" spans="1:7" x14ac:dyDescent="0.2">
      <c r="A27" s="136" t="s">
        <v>161</v>
      </c>
      <c r="B27" s="137" t="s">
        <v>162</v>
      </c>
      <c r="D27" s="141" t="s">
        <v>158</v>
      </c>
      <c r="E27" s="142" t="s">
        <v>159</v>
      </c>
      <c r="G27" s="137" t="str">
        <f t="shared" si="0"/>
        <v>CHR-36</v>
      </c>
    </row>
    <row r="28" spans="1:7" x14ac:dyDescent="0.2">
      <c r="A28" s="136" t="s">
        <v>164</v>
      </c>
      <c r="B28" s="137" t="s">
        <v>165</v>
      </c>
      <c r="D28" s="141" t="s">
        <v>161</v>
      </c>
      <c r="E28" s="142" t="s">
        <v>162</v>
      </c>
      <c r="G28" s="137" t="str">
        <f t="shared" si="0"/>
        <v>CHR-37</v>
      </c>
    </row>
    <row r="29" spans="1:7" x14ac:dyDescent="0.2">
      <c r="A29" s="136" t="s">
        <v>167</v>
      </c>
      <c r="B29" s="137" t="s">
        <v>168</v>
      </c>
      <c r="D29" s="141" t="s">
        <v>164</v>
      </c>
      <c r="E29" s="142" t="s">
        <v>165</v>
      </c>
      <c r="G29" s="137" t="str">
        <f t="shared" si="0"/>
        <v>CHR-38</v>
      </c>
    </row>
    <row r="30" spans="1:7" x14ac:dyDescent="0.2">
      <c r="A30" s="136" t="s">
        <v>171</v>
      </c>
      <c r="B30" s="137" t="s">
        <v>172</v>
      </c>
      <c r="D30" s="141" t="s">
        <v>167</v>
      </c>
      <c r="E30" s="142" t="s">
        <v>168</v>
      </c>
      <c r="G30" s="137" t="str">
        <f t="shared" si="0"/>
        <v>CHR-39</v>
      </c>
    </row>
    <row r="31" spans="1:7" x14ac:dyDescent="0.2">
      <c r="A31" s="136" t="s">
        <v>175</v>
      </c>
      <c r="B31" s="137" t="s">
        <v>176</v>
      </c>
      <c r="D31" s="141" t="s">
        <v>171</v>
      </c>
      <c r="E31" s="142" t="s">
        <v>172</v>
      </c>
      <c r="G31" s="137" t="str">
        <f t="shared" si="0"/>
        <v>CHR-40</v>
      </c>
    </row>
    <row r="32" spans="1:7" x14ac:dyDescent="0.2">
      <c r="A32" s="136" t="s">
        <v>179</v>
      </c>
      <c r="B32" s="137" t="s">
        <v>180</v>
      </c>
      <c r="D32" s="141" t="s">
        <v>175</v>
      </c>
      <c r="E32" s="142" t="s">
        <v>176</v>
      </c>
      <c r="G32" s="137" t="str">
        <f t="shared" si="0"/>
        <v>CHR-41</v>
      </c>
    </row>
    <row r="33" spans="1:7" x14ac:dyDescent="0.2">
      <c r="A33" s="136" t="s">
        <v>183</v>
      </c>
      <c r="B33" s="137" t="s">
        <v>184</v>
      </c>
      <c r="D33" s="141" t="s">
        <v>179</v>
      </c>
      <c r="E33" s="142" t="s">
        <v>180</v>
      </c>
      <c r="G33" s="137" t="str">
        <f t="shared" si="0"/>
        <v>CHR-42</v>
      </c>
    </row>
    <row r="34" spans="1:7" x14ac:dyDescent="0.2">
      <c r="A34" s="136" t="s">
        <v>187</v>
      </c>
      <c r="B34" s="137" t="s">
        <v>188</v>
      </c>
      <c r="D34" s="141" t="s">
        <v>183</v>
      </c>
      <c r="E34" s="142" t="s">
        <v>184</v>
      </c>
      <c r="G34" s="137" t="str">
        <f t="shared" si="0"/>
        <v>CHR-43</v>
      </c>
    </row>
    <row r="35" spans="1:7" x14ac:dyDescent="0.2">
      <c r="A35" s="136" t="s">
        <v>191</v>
      </c>
      <c r="B35" s="137" t="s">
        <v>192</v>
      </c>
      <c r="D35" s="141" t="s">
        <v>187</v>
      </c>
      <c r="E35" s="142" t="s">
        <v>188</v>
      </c>
      <c r="G35" s="137" t="str">
        <f t="shared" si="0"/>
        <v>CHR-44</v>
      </c>
    </row>
    <row r="36" spans="1:7" x14ac:dyDescent="0.2">
      <c r="A36" s="136" t="s">
        <v>195</v>
      </c>
      <c r="B36" s="137" t="s">
        <v>196</v>
      </c>
      <c r="D36" s="141" t="s">
        <v>191</v>
      </c>
      <c r="E36" s="142" t="s">
        <v>192</v>
      </c>
      <c r="G36" s="137" t="str">
        <f t="shared" si="0"/>
        <v>CHR-45</v>
      </c>
    </row>
    <row r="37" spans="1:7" x14ac:dyDescent="0.2">
      <c r="A37" s="136" t="s">
        <v>198</v>
      </c>
      <c r="B37" s="137" t="s">
        <v>199</v>
      </c>
      <c r="D37" s="141" t="s">
        <v>195</v>
      </c>
      <c r="E37" s="142" t="s">
        <v>196</v>
      </c>
      <c r="G37" s="137" t="str">
        <f t="shared" si="0"/>
        <v>CHR-46</v>
      </c>
    </row>
    <row r="38" spans="1:7" x14ac:dyDescent="0.2">
      <c r="A38" s="136" t="s">
        <v>201</v>
      </c>
      <c r="B38" s="137" t="s">
        <v>202</v>
      </c>
      <c r="D38" s="141" t="s">
        <v>198</v>
      </c>
      <c r="E38" s="142" t="s">
        <v>199</v>
      </c>
      <c r="G38" s="137" t="str">
        <f t="shared" si="0"/>
        <v>CHR-47</v>
      </c>
    </row>
    <row r="39" spans="1:7" x14ac:dyDescent="0.2">
      <c r="A39" s="136" t="s">
        <v>208</v>
      </c>
      <c r="B39" s="137" t="s">
        <v>209</v>
      </c>
      <c r="D39" s="141" t="s">
        <v>201</v>
      </c>
      <c r="E39" s="142" t="s">
        <v>202</v>
      </c>
      <c r="G39" s="137" t="str">
        <f t="shared" si="0"/>
        <v>CHR-48</v>
      </c>
    </row>
    <row r="40" spans="1:7" x14ac:dyDescent="0.2">
      <c r="A40" s="136" t="s">
        <v>212</v>
      </c>
      <c r="B40" s="137" t="s">
        <v>213</v>
      </c>
      <c r="D40" s="141" t="s">
        <v>208</v>
      </c>
      <c r="E40" s="142" t="s">
        <v>209</v>
      </c>
      <c r="G40" s="137" t="str">
        <f t="shared" si="0"/>
        <v>CHR-49</v>
      </c>
    </row>
    <row r="41" spans="1:7" x14ac:dyDescent="0.2">
      <c r="A41" s="136" t="s">
        <v>217</v>
      </c>
      <c r="B41" s="137" t="s">
        <v>218</v>
      </c>
      <c r="D41" s="141" t="s">
        <v>212</v>
      </c>
      <c r="E41" s="142" t="s">
        <v>213</v>
      </c>
      <c r="G41" s="137" t="str">
        <f t="shared" si="0"/>
        <v>CHR-50</v>
      </c>
    </row>
    <row r="42" spans="1:7" x14ac:dyDescent="0.2">
      <c r="A42" s="136" t="s">
        <v>224</v>
      </c>
      <c r="B42" s="137" t="s">
        <v>225</v>
      </c>
      <c r="D42" s="141" t="s">
        <v>217</v>
      </c>
      <c r="E42" s="142" t="s">
        <v>218</v>
      </c>
      <c r="G42" s="137" t="str">
        <f t="shared" si="0"/>
        <v>CHR-51</v>
      </c>
    </row>
    <row r="43" spans="1:7" x14ac:dyDescent="0.2">
      <c r="A43" s="136" t="s">
        <v>229</v>
      </c>
      <c r="B43" s="137" t="s">
        <v>230</v>
      </c>
      <c r="D43" s="141" t="s">
        <v>224</v>
      </c>
      <c r="E43" s="142" t="s">
        <v>225</v>
      </c>
      <c r="G43" s="137" t="str">
        <f t="shared" si="0"/>
        <v>CHR-52</v>
      </c>
    </row>
    <row r="44" spans="1:7" x14ac:dyDescent="0.2">
      <c r="A44" s="136" t="s">
        <v>235</v>
      </c>
      <c r="B44" s="137" t="s">
        <v>236</v>
      </c>
      <c r="D44" s="141" t="s">
        <v>229</v>
      </c>
      <c r="E44" s="142" t="s">
        <v>230</v>
      </c>
      <c r="G44" s="137" t="str">
        <f t="shared" si="0"/>
        <v>CHR-53</v>
      </c>
    </row>
    <row r="45" spans="1:7" x14ac:dyDescent="0.2">
      <c r="A45" s="136" t="s">
        <v>240</v>
      </c>
      <c r="B45" s="137" t="s">
        <v>241</v>
      </c>
      <c r="D45" s="141" t="s">
        <v>235</v>
      </c>
      <c r="E45" s="142" t="s">
        <v>236</v>
      </c>
      <c r="G45" s="137" t="str">
        <f t="shared" si="0"/>
        <v>CHR-54</v>
      </c>
    </row>
    <row r="46" spans="1:7" x14ac:dyDescent="0.2">
      <c r="A46" s="136" t="s">
        <v>243</v>
      </c>
      <c r="B46" s="137" t="s">
        <v>244</v>
      </c>
      <c r="D46" s="141" t="s">
        <v>240</v>
      </c>
      <c r="E46" s="142" t="s">
        <v>241</v>
      </c>
      <c r="G46" s="137" t="str">
        <f t="shared" si="0"/>
        <v>CHR-55</v>
      </c>
    </row>
    <row r="47" spans="1:7" x14ac:dyDescent="0.2">
      <c r="A47" s="136" t="s">
        <v>246</v>
      </c>
      <c r="B47" s="137" t="s">
        <v>247</v>
      </c>
      <c r="D47" s="141" t="s">
        <v>243</v>
      </c>
      <c r="E47" s="142" t="s">
        <v>244</v>
      </c>
      <c r="G47" s="137" t="str">
        <f t="shared" si="0"/>
        <v>CHR-56</v>
      </c>
    </row>
    <row r="48" spans="1:7" x14ac:dyDescent="0.2">
      <c r="A48" s="136" t="s">
        <v>251</v>
      </c>
      <c r="B48" s="137" t="s">
        <v>252</v>
      </c>
      <c r="D48" s="141" t="s">
        <v>246</v>
      </c>
      <c r="E48" s="142" t="s">
        <v>247</v>
      </c>
      <c r="G48" s="137" t="str">
        <f t="shared" si="0"/>
        <v>CHR-58</v>
      </c>
    </row>
    <row r="49" spans="1:7" x14ac:dyDescent="0.2">
      <c r="A49" s="136" t="s">
        <v>255</v>
      </c>
      <c r="B49" s="137" t="s">
        <v>256</v>
      </c>
      <c r="D49" s="141" t="s">
        <v>358</v>
      </c>
      <c r="E49" s="142" t="s">
        <v>361</v>
      </c>
      <c r="G49" s="137" t="str">
        <f t="shared" si="0"/>
        <v>CHR-59</v>
      </c>
    </row>
    <row r="50" spans="1:7" x14ac:dyDescent="0.2">
      <c r="A50" s="136" t="s">
        <v>259</v>
      </c>
      <c r="B50" s="137" t="s">
        <v>260</v>
      </c>
      <c r="D50" s="141" t="s">
        <v>251</v>
      </c>
      <c r="E50" s="142" t="s">
        <v>252</v>
      </c>
      <c r="G50" s="137" t="str">
        <f t="shared" si="0"/>
        <v>CHR-60</v>
      </c>
    </row>
    <row r="51" spans="1:7" x14ac:dyDescent="0.2">
      <c r="A51" s="136" t="s">
        <v>263</v>
      </c>
      <c r="B51" s="137" t="s">
        <v>264</v>
      </c>
      <c r="D51" s="141" t="s">
        <v>255</v>
      </c>
      <c r="E51" s="142" t="s">
        <v>256</v>
      </c>
      <c r="G51" s="137" t="str">
        <f t="shared" si="0"/>
        <v>CHR-61</v>
      </c>
    </row>
    <row r="52" spans="1:7" x14ac:dyDescent="0.2">
      <c r="A52" s="136" t="s">
        <v>267</v>
      </c>
      <c r="B52" s="137" t="s">
        <v>268</v>
      </c>
      <c r="D52" s="141" t="s">
        <v>259</v>
      </c>
      <c r="E52" s="142" t="s">
        <v>260</v>
      </c>
      <c r="G52" s="137" t="str">
        <f t="shared" si="0"/>
        <v>CHR-62</v>
      </c>
    </row>
    <row r="53" spans="1:7" x14ac:dyDescent="0.2">
      <c r="A53" s="136" t="s">
        <v>271</v>
      </c>
      <c r="B53" s="137" t="s">
        <v>272</v>
      </c>
      <c r="D53" s="141" t="s">
        <v>263</v>
      </c>
      <c r="E53" s="142" t="s">
        <v>264</v>
      </c>
      <c r="G53" s="137" t="str">
        <f t="shared" si="0"/>
        <v>CHR-63</v>
      </c>
    </row>
    <row r="54" spans="1:7" x14ac:dyDescent="0.2">
      <c r="A54" s="136" t="s">
        <v>275</v>
      </c>
      <c r="B54" s="137" t="s">
        <v>276</v>
      </c>
      <c r="D54" s="141" t="s">
        <v>267</v>
      </c>
      <c r="E54" s="142" t="s">
        <v>268</v>
      </c>
      <c r="G54" s="137" t="str">
        <f t="shared" si="0"/>
        <v>CHR-64</v>
      </c>
    </row>
    <row r="55" spans="1:7" x14ac:dyDescent="0.2">
      <c r="A55" s="136" t="s">
        <v>279</v>
      </c>
      <c r="B55" s="137" t="s">
        <v>280</v>
      </c>
      <c r="D55" s="141" t="s">
        <v>271</v>
      </c>
      <c r="E55" s="142" t="s">
        <v>272</v>
      </c>
      <c r="G55" s="137" t="str">
        <f t="shared" si="0"/>
        <v>CHR-65</v>
      </c>
    </row>
    <row r="56" spans="1:7" x14ac:dyDescent="0.2">
      <c r="A56" s="136" t="s">
        <v>282</v>
      </c>
      <c r="B56" s="137" t="s">
        <v>283</v>
      </c>
      <c r="D56" s="141" t="s">
        <v>275</v>
      </c>
      <c r="E56" s="142" t="s">
        <v>276</v>
      </c>
      <c r="G56" s="137" t="str">
        <f t="shared" si="0"/>
        <v>CHR-66</v>
      </c>
    </row>
    <row r="57" spans="1:7" x14ac:dyDescent="0.2">
      <c r="A57" s="136" t="s">
        <v>287</v>
      </c>
      <c r="B57" s="137" t="s">
        <v>288</v>
      </c>
      <c r="D57" s="141" t="s">
        <v>279</v>
      </c>
      <c r="E57" s="142" t="s">
        <v>280</v>
      </c>
      <c r="G57" s="137" t="str">
        <f t="shared" si="0"/>
        <v>CHR-67</v>
      </c>
    </row>
    <row r="58" spans="1:7" x14ac:dyDescent="0.2">
      <c r="A58" s="136" t="s">
        <v>292</v>
      </c>
      <c r="B58" s="137" t="s">
        <v>293</v>
      </c>
      <c r="D58" s="141" t="s">
        <v>282</v>
      </c>
      <c r="E58" s="142" t="s">
        <v>283</v>
      </c>
      <c r="G58" s="137" t="str">
        <f t="shared" si="0"/>
        <v>CHR-68</v>
      </c>
    </row>
    <row r="59" spans="1:7" x14ac:dyDescent="0.2">
      <c r="A59" s="136" t="s">
        <v>298</v>
      </c>
      <c r="B59" s="137" t="s">
        <v>299</v>
      </c>
      <c r="D59" s="141" t="s">
        <v>287</v>
      </c>
      <c r="E59" s="142" t="s">
        <v>288</v>
      </c>
      <c r="G59" s="137" t="str">
        <f t="shared" si="0"/>
        <v>CHR-69</v>
      </c>
    </row>
    <row r="60" spans="1:7" x14ac:dyDescent="0.2">
      <c r="A60" s="136" t="s">
        <v>304</v>
      </c>
      <c r="B60" s="137" t="s">
        <v>305</v>
      </c>
      <c r="D60" s="141" t="s">
        <v>292</v>
      </c>
      <c r="E60" s="142" t="s">
        <v>293</v>
      </c>
      <c r="G60" s="137" t="str">
        <f t="shared" si="0"/>
        <v>CHR-70</v>
      </c>
    </row>
    <row r="61" spans="1:7" x14ac:dyDescent="0.2">
      <c r="A61" s="136" t="s">
        <v>309</v>
      </c>
      <c r="B61" s="137" t="s">
        <v>310</v>
      </c>
      <c r="D61" s="141" t="s">
        <v>298</v>
      </c>
      <c r="E61" s="142" t="s">
        <v>299</v>
      </c>
      <c r="G61" s="137" t="str">
        <f t="shared" si="0"/>
        <v>CHR-71</v>
      </c>
    </row>
    <row r="62" spans="1:7" x14ac:dyDescent="0.2">
      <c r="A62" s="136" t="s">
        <v>312</v>
      </c>
      <c r="B62" s="137" t="s">
        <v>313</v>
      </c>
      <c r="D62" s="141" t="s">
        <v>304</v>
      </c>
      <c r="E62" s="142" t="s">
        <v>305</v>
      </c>
      <c r="G62" s="137" t="str">
        <f t="shared" si="0"/>
        <v>CHR-72</v>
      </c>
    </row>
    <row r="63" spans="1:7" x14ac:dyDescent="0.2">
      <c r="A63" s="136" t="s">
        <v>315</v>
      </c>
      <c r="B63" s="137" t="s">
        <v>316</v>
      </c>
      <c r="D63" s="141" t="s">
        <v>309</v>
      </c>
      <c r="E63" s="142" t="s">
        <v>310</v>
      </c>
      <c r="G63" s="137" t="str">
        <f t="shared" si="0"/>
        <v>CHR-73</v>
      </c>
    </row>
    <row r="64" spans="1:7" x14ac:dyDescent="0.2">
      <c r="A64" s="136" t="s">
        <v>318</v>
      </c>
      <c r="B64" s="137" t="s">
        <v>319</v>
      </c>
      <c r="D64" s="141" t="s">
        <v>312</v>
      </c>
      <c r="E64" s="142" t="s">
        <v>313</v>
      </c>
      <c r="G64" s="137" t="str">
        <f t="shared" si="0"/>
        <v>CHR-74</v>
      </c>
    </row>
    <row r="65" spans="1:7" x14ac:dyDescent="0.2">
      <c r="A65" s="136" t="s">
        <v>323</v>
      </c>
      <c r="B65" s="137" t="s">
        <v>324</v>
      </c>
      <c r="D65" s="141" t="s">
        <v>315</v>
      </c>
      <c r="E65" s="142" t="s">
        <v>316</v>
      </c>
      <c r="G65" s="137" t="str">
        <f t="shared" si="0"/>
        <v>CHR-75</v>
      </c>
    </row>
    <row r="66" spans="1:7" x14ac:dyDescent="0.2">
      <c r="A66" s="136" t="s">
        <v>329</v>
      </c>
      <c r="B66" s="137" t="s">
        <v>330</v>
      </c>
      <c r="D66" s="141" t="s">
        <v>318</v>
      </c>
      <c r="E66" s="142" t="s">
        <v>319</v>
      </c>
      <c r="G66" s="137" t="str">
        <f t="shared" si="0"/>
        <v>CHR-76</v>
      </c>
    </row>
    <row r="67" spans="1:7" x14ac:dyDescent="0.2">
      <c r="A67" s="136" t="s">
        <v>336</v>
      </c>
      <c r="B67" s="137" t="s">
        <v>337</v>
      </c>
      <c r="D67" s="141" t="s">
        <v>323</v>
      </c>
      <c r="E67" s="142" t="s">
        <v>324</v>
      </c>
      <c r="G67" s="137" t="str">
        <f t="shared" ref="G67:G73" si="1">VLOOKUP(A67,D67:E138,2,0)</f>
        <v>CHR-77</v>
      </c>
    </row>
    <row r="68" spans="1:7" x14ac:dyDescent="0.2">
      <c r="A68" s="136" t="s">
        <v>341</v>
      </c>
      <c r="B68" s="137" t="s">
        <v>342</v>
      </c>
      <c r="D68" s="141" t="s">
        <v>329</v>
      </c>
      <c r="E68" s="142" t="s">
        <v>330</v>
      </c>
      <c r="G68" s="137" t="str">
        <f t="shared" si="1"/>
        <v>CHR-78</v>
      </c>
    </row>
    <row r="69" spans="1:7" x14ac:dyDescent="0.2">
      <c r="A69" s="136" t="s">
        <v>346</v>
      </c>
      <c r="B69" s="137" t="s">
        <v>347</v>
      </c>
      <c r="D69" s="141" t="s">
        <v>336</v>
      </c>
      <c r="E69" s="142" t="s">
        <v>337</v>
      </c>
      <c r="G69" s="137" t="str">
        <f t="shared" si="1"/>
        <v>CHR-79</v>
      </c>
    </row>
    <row r="70" spans="1:7" x14ac:dyDescent="0.2">
      <c r="A70" s="138" t="s">
        <v>349</v>
      </c>
      <c r="B70" s="137" t="s">
        <v>350</v>
      </c>
      <c r="D70" s="141" t="s">
        <v>341</v>
      </c>
      <c r="E70" s="142" t="s">
        <v>342</v>
      </c>
      <c r="G70" s="137" t="str">
        <f t="shared" si="1"/>
        <v>CHR-88</v>
      </c>
    </row>
    <row r="71" spans="1:7" x14ac:dyDescent="0.2">
      <c r="A71" s="139" t="s">
        <v>354</v>
      </c>
      <c r="B71" s="137" t="s">
        <v>355</v>
      </c>
      <c r="D71" s="141" t="s">
        <v>346</v>
      </c>
      <c r="E71" s="142" t="s">
        <v>347</v>
      </c>
      <c r="G71" s="137" t="str">
        <f t="shared" si="1"/>
        <v>CHR-89</v>
      </c>
    </row>
    <row r="72" spans="1:7" x14ac:dyDescent="0.2">
      <c r="D72" s="141" t="s">
        <v>349</v>
      </c>
      <c r="E72" s="142" t="s">
        <v>350</v>
      </c>
      <c r="G72" s="137" t="e">
        <f t="shared" si="1"/>
        <v>#N/A</v>
      </c>
    </row>
    <row r="73" spans="1:7" x14ac:dyDescent="0.2">
      <c r="D73" s="141" t="s">
        <v>354</v>
      </c>
      <c r="E73" s="142" t="s">
        <v>355</v>
      </c>
      <c r="G73" s="137" t="e">
        <f t="shared" si="1"/>
        <v>#N/A</v>
      </c>
    </row>
    <row r="74" spans="1:7" x14ac:dyDescent="0.2">
      <c r="D74" s="142"/>
      <c r="E74" s="142"/>
    </row>
  </sheetData>
  <conditionalFormatting sqref="B1:B1048576 E1:E1048576">
    <cfRule type="duplicateValues" dxfId="1"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566A5-BD90-4069-A93C-749D2C37746C}">
  <sheetPr>
    <pageSetUpPr fitToPage="1"/>
  </sheetPr>
  <dimension ref="A1:BR32"/>
  <sheetViews>
    <sheetView workbookViewId="0">
      <pane xSplit="1" topLeftCell="B1" activePane="topRight" state="frozen"/>
      <selection pane="topRight" activeCell="K3" sqref="K1:K1048576"/>
    </sheetView>
  </sheetViews>
  <sheetFormatPr defaultRowHeight="12.75" x14ac:dyDescent="0.2"/>
  <cols>
    <col min="1" max="1" width="42.42578125" style="137" customWidth="1"/>
    <col min="2" max="16384" width="9.140625" style="137"/>
  </cols>
  <sheetData>
    <row r="1" spans="1:70" ht="15" thickBot="1" x14ac:dyDescent="0.25">
      <c r="A1" s="143" t="s">
        <v>362</v>
      </c>
      <c r="B1" s="144" t="s">
        <v>363</v>
      </c>
      <c r="C1" s="145"/>
      <c r="D1" s="145"/>
      <c r="E1" s="145"/>
      <c r="F1" s="145"/>
      <c r="G1" s="145"/>
      <c r="H1" s="145"/>
      <c r="I1" s="145"/>
      <c r="J1" s="145"/>
      <c r="K1" s="145"/>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c r="AO1" s="145"/>
      <c r="AP1" s="145"/>
      <c r="AQ1" s="145"/>
      <c r="AR1" s="145"/>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6"/>
    </row>
    <row r="2" spans="1:70" ht="15.75" thickBot="1" x14ac:dyDescent="0.3">
      <c r="A2" s="147" t="s">
        <v>364</v>
      </c>
      <c r="B2" s="148" t="s">
        <v>365</v>
      </c>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c r="BA2" s="148"/>
      <c r="BB2" s="148"/>
      <c r="BC2" s="148"/>
      <c r="BD2" s="148"/>
      <c r="BE2" s="148"/>
      <c r="BF2" s="148"/>
      <c r="BG2" s="148"/>
      <c r="BH2" s="148"/>
      <c r="BI2" s="148"/>
      <c r="BJ2" s="148"/>
      <c r="BK2" s="148"/>
      <c r="BL2" s="148"/>
      <c r="BM2" s="148"/>
      <c r="BN2" s="148"/>
      <c r="BO2" s="148"/>
      <c r="BP2" s="148"/>
      <c r="BQ2" s="148"/>
      <c r="BR2" s="149"/>
    </row>
    <row r="3" spans="1:70" s="153" customFormat="1" ht="331.5" customHeight="1" thickBot="1" x14ac:dyDescent="0.3">
      <c r="A3" s="150" t="s">
        <v>366</v>
      </c>
      <c r="B3" s="151" t="s">
        <v>367</v>
      </c>
      <c r="C3" s="152" t="s">
        <v>368</v>
      </c>
      <c r="D3" s="152" t="s">
        <v>369</v>
      </c>
      <c r="E3" s="152" t="s">
        <v>370</v>
      </c>
      <c r="F3" s="152" t="s">
        <v>371</v>
      </c>
      <c r="G3" s="152" t="s">
        <v>372</v>
      </c>
      <c r="H3" s="152" t="s">
        <v>373</v>
      </c>
      <c r="I3" s="152" t="s">
        <v>374</v>
      </c>
      <c r="J3" s="152" t="s">
        <v>375</v>
      </c>
      <c r="K3" s="152" t="s">
        <v>376</v>
      </c>
      <c r="L3" s="152" t="s">
        <v>377</v>
      </c>
      <c r="M3" s="152" t="s">
        <v>378</v>
      </c>
      <c r="N3" s="152" t="s">
        <v>379</v>
      </c>
      <c r="O3" s="152" t="s">
        <v>380</v>
      </c>
      <c r="P3" s="152" t="s">
        <v>381</v>
      </c>
      <c r="Q3" s="152" t="s">
        <v>382</v>
      </c>
      <c r="R3" s="152" t="s">
        <v>383</v>
      </c>
      <c r="S3" s="152" t="s">
        <v>384</v>
      </c>
      <c r="T3" s="152" t="s">
        <v>385</v>
      </c>
      <c r="U3" s="152" t="s">
        <v>386</v>
      </c>
      <c r="V3" s="152" t="s">
        <v>387</v>
      </c>
      <c r="W3" s="152" t="s">
        <v>388</v>
      </c>
      <c r="X3" s="152" t="s">
        <v>389</v>
      </c>
      <c r="Y3" s="152" t="s">
        <v>390</v>
      </c>
      <c r="Z3" s="152" t="s">
        <v>391</v>
      </c>
      <c r="AA3" s="152" t="s">
        <v>392</v>
      </c>
      <c r="AB3" s="152" t="s">
        <v>393</v>
      </c>
      <c r="AC3" s="152" t="s">
        <v>394</v>
      </c>
      <c r="AD3" s="152" t="s">
        <v>395</v>
      </c>
      <c r="AE3" s="152" t="s">
        <v>396</v>
      </c>
      <c r="AF3" s="152" t="s">
        <v>397</v>
      </c>
      <c r="AG3" s="152" t="s">
        <v>398</v>
      </c>
      <c r="AH3" s="152" t="s">
        <v>399</v>
      </c>
      <c r="AI3" s="152" t="s">
        <v>400</v>
      </c>
      <c r="AJ3" s="152" t="s">
        <v>401</v>
      </c>
      <c r="AK3" s="152" t="s">
        <v>402</v>
      </c>
      <c r="AL3" s="152" t="s">
        <v>403</v>
      </c>
      <c r="AM3" s="152" t="s">
        <v>404</v>
      </c>
      <c r="AN3" s="152" t="s">
        <v>405</v>
      </c>
      <c r="AO3" s="152" t="s">
        <v>406</v>
      </c>
      <c r="AP3" s="152" t="s">
        <v>407</v>
      </c>
      <c r="AQ3" s="152" t="s">
        <v>408</v>
      </c>
      <c r="AR3" s="152" t="s">
        <v>409</v>
      </c>
      <c r="AS3" s="152" t="s">
        <v>410</v>
      </c>
      <c r="AT3" s="152" t="s">
        <v>411</v>
      </c>
      <c r="AU3" s="152" t="s">
        <v>412</v>
      </c>
      <c r="AV3" s="152" t="s">
        <v>413</v>
      </c>
      <c r="AW3" s="152" t="s">
        <v>414</v>
      </c>
      <c r="AX3" s="152" t="s">
        <v>415</v>
      </c>
      <c r="AY3" s="152" t="s">
        <v>416</v>
      </c>
      <c r="AZ3" s="152" t="s">
        <v>417</v>
      </c>
      <c r="BA3" s="152" t="s">
        <v>418</v>
      </c>
      <c r="BB3" s="152" t="s">
        <v>419</v>
      </c>
      <c r="BC3" s="152" t="s">
        <v>420</v>
      </c>
      <c r="BD3" s="152" t="s">
        <v>421</v>
      </c>
      <c r="BE3" s="152" t="s">
        <v>422</v>
      </c>
      <c r="BF3" s="152" t="s">
        <v>423</v>
      </c>
      <c r="BG3" s="152" t="s">
        <v>424</v>
      </c>
      <c r="BH3" s="152" t="s">
        <v>425</v>
      </c>
      <c r="BI3" s="152" t="s">
        <v>426</v>
      </c>
      <c r="BJ3" s="152" t="s">
        <v>427</v>
      </c>
      <c r="BK3" s="152" t="s">
        <v>428</v>
      </c>
      <c r="BL3" s="152" t="s">
        <v>429</v>
      </c>
      <c r="BM3" s="152" t="s">
        <v>430</v>
      </c>
      <c r="BN3" s="152" t="s">
        <v>431</v>
      </c>
      <c r="BO3" s="152" t="s">
        <v>432</v>
      </c>
      <c r="BP3" s="152" t="s">
        <v>433</v>
      </c>
      <c r="BQ3" s="152" t="s">
        <v>434</v>
      </c>
      <c r="BR3" s="152" t="s">
        <v>435</v>
      </c>
    </row>
    <row r="4" spans="1:70" ht="15" x14ac:dyDescent="0.25">
      <c r="A4" s="154" t="s">
        <v>436</v>
      </c>
      <c r="B4" s="155">
        <v>9</v>
      </c>
      <c r="C4" s="156"/>
      <c r="D4" s="156">
        <v>1</v>
      </c>
      <c r="E4" s="156">
        <v>1</v>
      </c>
      <c r="F4" s="157">
        <v>3</v>
      </c>
      <c r="G4" s="156">
        <v>1</v>
      </c>
      <c r="H4" s="156"/>
      <c r="I4" s="156"/>
      <c r="J4" s="156"/>
      <c r="K4" s="156"/>
      <c r="L4" s="156"/>
      <c r="M4" s="156"/>
      <c r="N4" s="156"/>
      <c r="O4" s="156"/>
      <c r="P4" s="156"/>
      <c r="Q4" s="156">
        <v>9</v>
      </c>
      <c r="R4" s="156"/>
      <c r="S4" s="156"/>
      <c r="T4" s="156"/>
      <c r="U4" s="156"/>
      <c r="V4" s="156"/>
      <c r="W4" s="156"/>
      <c r="X4" s="156"/>
      <c r="Y4" s="156"/>
      <c r="Z4" s="156"/>
      <c r="AA4" s="156"/>
      <c r="AB4" s="156"/>
      <c r="AC4" s="156"/>
      <c r="AD4" s="156"/>
      <c r="AE4" s="156"/>
      <c r="AF4" s="156"/>
      <c r="AG4" s="156"/>
      <c r="AH4" s="156"/>
      <c r="AI4" s="156"/>
      <c r="AJ4" s="156"/>
      <c r="AK4" s="156"/>
      <c r="AL4" s="156"/>
      <c r="AM4" s="156"/>
      <c r="AN4" s="156">
        <v>3</v>
      </c>
      <c r="AO4" s="156"/>
      <c r="AP4" s="156"/>
      <c r="AQ4" s="156">
        <v>3</v>
      </c>
      <c r="AR4" s="156">
        <v>3</v>
      </c>
      <c r="AS4" s="156">
        <v>1</v>
      </c>
      <c r="AT4" s="156">
        <v>1</v>
      </c>
      <c r="AU4" s="156"/>
      <c r="AV4" s="156"/>
      <c r="AW4" s="156"/>
      <c r="AX4" s="156">
        <v>1</v>
      </c>
      <c r="AY4" s="156"/>
      <c r="AZ4" s="156"/>
      <c r="BA4" s="156"/>
      <c r="BB4" s="156"/>
      <c r="BC4" s="156"/>
      <c r="BD4" s="156"/>
      <c r="BE4" s="156"/>
      <c r="BF4" s="156"/>
      <c r="BG4" s="156"/>
      <c r="BH4" s="156"/>
      <c r="BI4" s="156"/>
      <c r="BJ4" s="156"/>
      <c r="BK4" s="156"/>
      <c r="BL4" s="156"/>
      <c r="BM4" s="156"/>
      <c r="BN4" s="156"/>
      <c r="BO4" s="156">
        <v>1</v>
      </c>
      <c r="BP4" s="156"/>
      <c r="BQ4" s="156"/>
      <c r="BR4" s="158"/>
    </row>
    <row r="5" spans="1:70" ht="15" x14ac:dyDescent="0.25">
      <c r="A5" s="159" t="s">
        <v>437</v>
      </c>
      <c r="B5" s="155">
        <v>9</v>
      </c>
      <c r="C5" s="156"/>
      <c r="D5" s="156">
        <v>1</v>
      </c>
      <c r="E5" s="156">
        <v>1</v>
      </c>
      <c r="F5" s="157">
        <v>3</v>
      </c>
      <c r="G5" s="156">
        <v>1</v>
      </c>
      <c r="H5" s="156">
        <v>1</v>
      </c>
      <c r="I5" s="156">
        <v>1</v>
      </c>
      <c r="J5" s="156"/>
      <c r="K5" s="156"/>
      <c r="L5" s="156"/>
      <c r="M5" s="156"/>
      <c r="N5" s="156"/>
      <c r="O5" s="156"/>
      <c r="P5" s="156"/>
      <c r="Q5" s="156">
        <v>9</v>
      </c>
      <c r="R5" s="156"/>
      <c r="S5" s="156"/>
      <c r="T5" s="156"/>
      <c r="U5" s="156"/>
      <c r="V5" s="156"/>
      <c r="W5" s="156"/>
      <c r="X5" s="156"/>
      <c r="Y5" s="156"/>
      <c r="Z5" s="156"/>
      <c r="AA5" s="156"/>
      <c r="AB5" s="156"/>
      <c r="AC5" s="156"/>
      <c r="AD5" s="156"/>
      <c r="AE5" s="156"/>
      <c r="AF5" s="156"/>
      <c r="AG5" s="156"/>
      <c r="AH5" s="156"/>
      <c r="AI5" s="156"/>
      <c r="AJ5" s="156"/>
      <c r="AK5" s="156"/>
      <c r="AL5" s="156"/>
      <c r="AM5" s="156"/>
      <c r="AN5" s="156"/>
      <c r="AO5" s="156"/>
      <c r="AP5" s="156"/>
      <c r="AQ5" s="156">
        <v>3</v>
      </c>
      <c r="AR5" s="156">
        <v>3</v>
      </c>
      <c r="AS5" s="156">
        <v>1</v>
      </c>
      <c r="AT5" s="156">
        <v>1</v>
      </c>
      <c r="AU5" s="156"/>
      <c r="AV5" s="156"/>
      <c r="AW5" s="156"/>
      <c r="AX5" s="156">
        <v>1</v>
      </c>
      <c r="AY5" s="156"/>
      <c r="AZ5" s="156"/>
      <c r="BA5" s="156"/>
      <c r="BB5" s="156"/>
      <c r="BC5" s="156"/>
      <c r="BD5" s="156"/>
      <c r="BE5" s="156"/>
      <c r="BF5" s="156"/>
      <c r="BG5" s="156"/>
      <c r="BH5" s="156"/>
      <c r="BI5" s="156"/>
      <c r="BJ5" s="156"/>
      <c r="BK5" s="156"/>
      <c r="BL5" s="156"/>
      <c r="BM5" s="156"/>
      <c r="BN5" s="156"/>
      <c r="BO5" s="156"/>
      <c r="BP5" s="156"/>
      <c r="BQ5" s="156"/>
      <c r="BR5" s="158"/>
    </row>
    <row r="6" spans="1:70" ht="15" x14ac:dyDescent="0.25">
      <c r="A6" s="159" t="s">
        <v>438</v>
      </c>
      <c r="B6" s="155"/>
      <c r="C6" s="156">
        <v>3</v>
      </c>
      <c r="D6" s="156">
        <v>3</v>
      </c>
      <c r="E6" s="156">
        <v>9</v>
      </c>
      <c r="F6" s="157">
        <v>9</v>
      </c>
      <c r="G6" s="156"/>
      <c r="H6" s="156"/>
      <c r="I6" s="156"/>
      <c r="J6" s="156"/>
      <c r="K6" s="156">
        <v>9</v>
      </c>
      <c r="L6" s="156">
        <v>1</v>
      </c>
      <c r="M6" s="156">
        <v>1</v>
      </c>
      <c r="N6" s="156">
        <v>1</v>
      </c>
      <c r="O6" s="156"/>
      <c r="P6" s="156"/>
      <c r="Q6" s="156"/>
      <c r="R6" s="156"/>
      <c r="S6" s="156"/>
      <c r="T6" s="156"/>
      <c r="U6" s="156"/>
      <c r="V6" s="156"/>
      <c r="W6" s="156"/>
      <c r="X6" s="156"/>
      <c r="Y6" s="156"/>
      <c r="Z6" s="156"/>
      <c r="AA6" s="156"/>
      <c r="AB6" s="156"/>
      <c r="AC6" s="156"/>
      <c r="AD6" s="156"/>
      <c r="AE6" s="156"/>
      <c r="AF6" s="156"/>
      <c r="AG6" s="156"/>
      <c r="AH6" s="156"/>
      <c r="AI6" s="156"/>
      <c r="AJ6" s="156"/>
      <c r="AK6" s="156"/>
      <c r="AL6" s="156"/>
      <c r="AM6" s="156"/>
      <c r="AN6" s="156">
        <v>3</v>
      </c>
      <c r="AO6" s="156"/>
      <c r="AP6" s="156"/>
      <c r="AQ6" s="156"/>
      <c r="AR6" s="156"/>
      <c r="AS6" s="156">
        <v>3</v>
      </c>
      <c r="AT6" s="156">
        <v>3</v>
      </c>
      <c r="AU6" s="156"/>
      <c r="AV6" s="156"/>
      <c r="AW6" s="156"/>
      <c r="AX6" s="156"/>
      <c r="AY6" s="156"/>
      <c r="AZ6" s="156"/>
      <c r="BA6" s="156"/>
      <c r="BB6" s="156"/>
      <c r="BC6" s="156"/>
      <c r="BD6" s="156"/>
      <c r="BE6" s="156"/>
      <c r="BF6" s="156"/>
      <c r="BG6" s="156"/>
      <c r="BH6" s="156">
        <v>1</v>
      </c>
      <c r="BI6" s="156"/>
      <c r="BJ6" s="156"/>
      <c r="BK6" s="156"/>
      <c r="BL6" s="156"/>
      <c r="BM6" s="156"/>
      <c r="BN6" s="156"/>
      <c r="BO6" s="156"/>
      <c r="BP6" s="156"/>
      <c r="BQ6" s="156"/>
      <c r="BR6" s="158"/>
    </row>
    <row r="7" spans="1:70" ht="15" x14ac:dyDescent="0.25">
      <c r="A7" s="159" t="s">
        <v>439</v>
      </c>
      <c r="B7" s="155"/>
      <c r="C7" s="156">
        <v>1</v>
      </c>
      <c r="D7" s="156">
        <v>1</v>
      </c>
      <c r="E7" s="156">
        <v>1</v>
      </c>
      <c r="F7" s="157">
        <v>1</v>
      </c>
      <c r="G7" s="156"/>
      <c r="H7" s="156"/>
      <c r="I7" s="156"/>
      <c r="J7" s="156"/>
      <c r="K7" s="156">
        <v>9</v>
      </c>
      <c r="L7" s="156">
        <v>1</v>
      </c>
      <c r="M7" s="156">
        <v>1</v>
      </c>
      <c r="N7" s="156">
        <v>1</v>
      </c>
      <c r="O7" s="156">
        <v>3</v>
      </c>
      <c r="P7" s="156">
        <v>3</v>
      </c>
      <c r="Q7" s="156"/>
      <c r="R7" s="156"/>
      <c r="S7" s="156"/>
      <c r="T7" s="156"/>
      <c r="U7" s="156"/>
      <c r="V7" s="156"/>
      <c r="W7" s="156"/>
      <c r="X7" s="156">
        <v>1</v>
      </c>
      <c r="Y7" s="156">
        <v>1</v>
      </c>
      <c r="Z7" s="156">
        <v>1</v>
      </c>
      <c r="AA7" s="156">
        <v>1</v>
      </c>
      <c r="AB7" s="156">
        <v>1</v>
      </c>
      <c r="AC7" s="156">
        <v>1</v>
      </c>
      <c r="AD7" s="156">
        <v>1</v>
      </c>
      <c r="AE7" s="156">
        <v>1</v>
      </c>
      <c r="AF7" s="156">
        <v>1</v>
      </c>
      <c r="AG7" s="156">
        <v>1</v>
      </c>
      <c r="AH7" s="156">
        <v>1</v>
      </c>
      <c r="AI7" s="156">
        <v>1</v>
      </c>
      <c r="AJ7" s="156">
        <v>1</v>
      </c>
      <c r="AK7" s="156">
        <v>1</v>
      </c>
      <c r="AL7" s="156">
        <v>1</v>
      </c>
      <c r="AM7" s="156">
        <v>1</v>
      </c>
      <c r="AN7" s="156">
        <v>3</v>
      </c>
      <c r="AO7" s="156"/>
      <c r="AP7" s="156"/>
      <c r="AQ7" s="156"/>
      <c r="AR7" s="156"/>
      <c r="AS7" s="156"/>
      <c r="AT7" s="156"/>
      <c r="AU7" s="156"/>
      <c r="AV7" s="156"/>
      <c r="AW7" s="156"/>
      <c r="AX7" s="156"/>
      <c r="AY7" s="156"/>
      <c r="AZ7" s="156"/>
      <c r="BA7" s="156"/>
      <c r="BB7" s="156"/>
      <c r="BC7" s="156"/>
      <c r="BD7" s="156"/>
      <c r="BE7" s="156">
        <v>3</v>
      </c>
      <c r="BF7" s="156"/>
      <c r="BG7" s="156"/>
      <c r="BH7" s="156"/>
      <c r="BI7" s="156">
        <v>1</v>
      </c>
      <c r="BJ7" s="156"/>
      <c r="BK7" s="156"/>
      <c r="BL7" s="156"/>
      <c r="BM7" s="156"/>
      <c r="BN7" s="156"/>
      <c r="BO7" s="156"/>
      <c r="BP7" s="156">
        <v>9</v>
      </c>
      <c r="BQ7" s="156">
        <v>9</v>
      </c>
      <c r="BR7" s="156">
        <v>9</v>
      </c>
    </row>
    <row r="8" spans="1:70" ht="15" x14ac:dyDescent="0.25">
      <c r="A8" s="159" t="s">
        <v>440</v>
      </c>
      <c r="B8" s="155"/>
      <c r="C8" s="156"/>
      <c r="D8" s="156"/>
      <c r="E8" s="156">
        <v>3</v>
      </c>
      <c r="F8" s="157">
        <v>3</v>
      </c>
      <c r="G8" s="156"/>
      <c r="H8" s="156"/>
      <c r="I8" s="156"/>
      <c r="J8" s="156">
        <v>1</v>
      </c>
      <c r="K8" s="156">
        <v>9</v>
      </c>
      <c r="L8" s="156">
        <v>1</v>
      </c>
      <c r="M8" s="156">
        <v>1</v>
      </c>
      <c r="N8" s="156">
        <v>1</v>
      </c>
      <c r="O8" s="156">
        <v>3</v>
      </c>
      <c r="P8" s="156">
        <v>3</v>
      </c>
      <c r="Q8" s="156"/>
      <c r="R8" s="156">
        <v>3</v>
      </c>
      <c r="S8" s="156">
        <v>3</v>
      </c>
      <c r="T8" s="156">
        <v>3</v>
      </c>
      <c r="U8" s="156">
        <v>3</v>
      </c>
      <c r="V8" s="156">
        <v>3</v>
      </c>
      <c r="W8" s="156">
        <v>1</v>
      </c>
      <c r="X8" s="156">
        <v>3</v>
      </c>
      <c r="Y8" s="156">
        <v>3</v>
      </c>
      <c r="Z8" s="156">
        <v>3</v>
      </c>
      <c r="AA8" s="156">
        <v>3</v>
      </c>
      <c r="AB8" s="156">
        <v>3</v>
      </c>
      <c r="AC8" s="156">
        <v>3</v>
      </c>
      <c r="AD8" s="156">
        <v>3</v>
      </c>
      <c r="AE8" s="156">
        <v>3</v>
      </c>
      <c r="AF8" s="156">
        <v>3</v>
      </c>
      <c r="AG8" s="156">
        <v>3</v>
      </c>
      <c r="AH8" s="156">
        <v>3</v>
      </c>
      <c r="AI8" s="156">
        <v>3</v>
      </c>
      <c r="AJ8" s="156">
        <v>3</v>
      </c>
      <c r="AK8" s="156">
        <v>3</v>
      </c>
      <c r="AL8" s="156">
        <v>3</v>
      </c>
      <c r="AM8" s="156">
        <v>3</v>
      </c>
      <c r="AN8" s="156">
        <v>3</v>
      </c>
      <c r="AO8" s="156">
        <v>9</v>
      </c>
      <c r="AP8" s="156">
        <v>9</v>
      </c>
      <c r="AQ8" s="156">
        <v>3</v>
      </c>
      <c r="AR8" s="156">
        <v>3</v>
      </c>
      <c r="AS8" s="156">
        <v>3</v>
      </c>
      <c r="AT8" s="156">
        <v>3</v>
      </c>
      <c r="AU8" s="156">
        <v>1</v>
      </c>
      <c r="AV8" s="156">
        <v>1</v>
      </c>
      <c r="AW8" s="156">
        <v>9</v>
      </c>
      <c r="AX8" s="156">
        <v>1</v>
      </c>
      <c r="AY8" s="156">
        <v>9</v>
      </c>
      <c r="AZ8" s="156">
        <v>9</v>
      </c>
      <c r="BA8" s="156">
        <v>9</v>
      </c>
      <c r="BB8" s="156">
        <v>9</v>
      </c>
      <c r="BC8" s="156">
        <v>9</v>
      </c>
      <c r="BD8" s="156">
        <v>9</v>
      </c>
      <c r="BE8" s="156">
        <v>9</v>
      </c>
      <c r="BF8" s="156">
        <v>1</v>
      </c>
      <c r="BG8" s="156">
        <v>1</v>
      </c>
      <c r="BH8" s="156"/>
      <c r="BI8" s="156">
        <v>1</v>
      </c>
      <c r="BJ8" s="156"/>
      <c r="BK8" s="156"/>
      <c r="BL8" s="156"/>
      <c r="BM8" s="156"/>
      <c r="BN8" s="156">
        <v>1</v>
      </c>
      <c r="BO8" s="156">
        <v>1</v>
      </c>
      <c r="BP8" s="156">
        <v>9</v>
      </c>
      <c r="BQ8" s="156">
        <v>9</v>
      </c>
      <c r="BR8" s="156">
        <v>9</v>
      </c>
    </row>
    <row r="9" spans="1:70" ht="15" x14ac:dyDescent="0.25">
      <c r="A9" s="159" t="s">
        <v>441</v>
      </c>
      <c r="B9" s="155"/>
      <c r="C9" s="156">
        <v>3</v>
      </c>
      <c r="D9" s="156">
        <v>3</v>
      </c>
      <c r="E9" s="156">
        <v>1</v>
      </c>
      <c r="F9" s="157">
        <v>3</v>
      </c>
      <c r="G9" s="156"/>
      <c r="H9" s="156"/>
      <c r="I9" s="156"/>
      <c r="J9" s="156"/>
      <c r="K9" s="156">
        <v>1</v>
      </c>
      <c r="L9" s="156">
        <v>1</v>
      </c>
      <c r="M9" s="156">
        <v>1</v>
      </c>
      <c r="N9" s="156">
        <v>1</v>
      </c>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8"/>
    </row>
    <row r="10" spans="1:70" s="161" customFormat="1" ht="15" x14ac:dyDescent="0.25">
      <c r="A10" s="160" t="s">
        <v>442</v>
      </c>
      <c r="B10" s="155"/>
      <c r="C10" s="156">
        <v>3</v>
      </c>
      <c r="D10" s="156">
        <v>3</v>
      </c>
      <c r="E10" s="156">
        <v>1</v>
      </c>
      <c r="F10" s="157">
        <v>3</v>
      </c>
      <c r="G10" s="156"/>
      <c r="H10" s="156"/>
      <c r="I10" s="156"/>
      <c r="J10" s="156"/>
      <c r="K10" s="156">
        <v>1</v>
      </c>
      <c r="L10" s="156">
        <v>1</v>
      </c>
      <c r="M10" s="156">
        <v>1</v>
      </c>
      <c r="N10" s="156">
        <v>1</v>
      </c>
      <c r="O10" s="156"/>
      <c r="P10" s="156"/>
      <c r="Q10" s="156"/>
      <c r="R10" s="156"/>
      <c r="S10" s="156"/>
      <c r="T10" s="156"/>
      <c r="U10" s="156"/>
      <c r="V10" s="156"/>
      <c r="W10" s="156"/>
      <c r="X10" s="156"/>
      <c r="Y10" s="156"/>
      <c r="Z10" s="156"/>
      <c r="AA10" s="156"/>
      <c r="AB10" s="156"/>
      <c r="AC10" s="156"/>
      <c r="AD10" s="156"/>
      <c r="AE10" s="156"/>
      <c r="AF10" s="156"/>
      <c r="AG10" s="156"/>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v>9</v>
      </c>
      <c r="BK10" s="156">
        <v>3</v>
      </c>
      <c r="BL10" s="156">
        <v>1</v>
      </c>
      <c r="BM10" s="156">
        <v>3</v>
      </c>
      <c r="BN10" s="156"/>
      <c r="BO10" s="156"/>
      <c r="BP10" s="156"/>
      <c r="BQ10" s="156"/>
      <c r="BR10" s="158"/>
    </row>
    <row r="11" spans="1:70" ht="15.75" thickBot="1" x14ac:dyDescent="0.3">
      <c r="A11" s="162" t="s">
        <v>443</v>
      </c>
      <c r="B11" s="163"/>
      <c r="C11" s="164"/>
      <c r="D11" s="164"/>
      <c r="E11" s="164"/>
      <c r="F11" s="165"/>
      <c r="G11" s="164"/>
      <c r="H11" s="166"/>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v>1</v>
      </c>
      <c r="BK11" s="166">
        <v>1</v>
      </c>
      <c r="BL11" s="166">
        <v>1</v>
      </c>
      <c r="BM11" s="166">
        <v>1</v>
      </c>
      <c r="BN11" s="166">
        <v>1</v>
      </c>
      <c r="BO11" s="166"/>
      <c r="BP11" s="166"/>
      <c r="BQ11" s="166"/>
      <c r="BR11" s="167"/>
    </row>
    <row r="15" spans="1:70" x14ac:dyDescent="0.2">
      <c r="D15" s="168" t="s">
        <v>444</v>
      </c>
      <c r="E15" s="168"/>
      <c r="F15" s="168"/>
      <c r="G15" s="168"/>
      <c r="H15" s="168"/>
      <c r="I15" s="168"/>
      <c r="J15" s="168"/>
    </row>
    <row r="16" spans="1:70" x14ac:dyDescent="0.2">
      <c r="D16" s="169" t="s">
        <v>445</v>
      </c>
      <c r="E16" s="170" t="s">
        <v>446</v>
      </c>
      <c r="F16" s="170"/>
      <c r="G16" s="170"/>
      <c r="H16" s="170"/>
      <c r="I16" s="170"/>
      <c r="J16" s="170"/>
    </row>
    <row r="17" spans="4:10" x14ac:dyDescent="0.2">
      <c r="D17" s="169">
        <v>1</v>
      </c>
      <c r="E17" s="170" t="s">
        <v>447</v>
      </c>
      <c r="F17" s="170"/>
      <c r="G17" s="170"/>
      <c r="H17" s="170"/>
      <c r="I17" s="170"/>
      <c r="J17" s="170"/>
    </row>
    <row r="18" spans="4:10" x14ac:dyDescent="0.2">
      <c r="D18" s="169">
        <v>3</v>
      </c>
      <c r="E18" s="170" t="s">
        <v>448</v>
      </c>
      <c r="F18" s="170"/>
      <c r="G18" s="170"/>
      <c r="H18" s="170"/>
      <c r="I18" s="170"/>
      <c r="J18" s="170"/>
    </row>
    <row r="19" spans="4:10" x14ac:dyDescent="0.2">
      <c r="D19" s="169">
        <v>9</v>
      </c>
      <c r="E19" s="170" t="s">
        <v>449</v>
      </c>
      <c r="F19" s="170"/>
      <c r="G19" s="170"/>
      <c r="H19" s="170"/>
      <c r="I19" s="170"/>
      <c r="J19" s="170"/>
    </row>
    <row r="22" spans="4:10" x14ac:dyDescent="0.2">
      <c r="D22" s="171" t="s">
        <v>450</v>
      </c>
      <c r="E22" s="172"/>
      <c r="F22" s="172"/>
      <c r="G22" s="172"/>
      <c r="H22" s="172"/>
      <c r="I22" s="172"/>
      <c r="J22" s="172"/>
    </row>
    <row r="23" spans="4:10" x14ac:dyDescent="0.2">
      <c r="D23" s="172"/>
      <c r="E23" s="172"/>
      <c r="F23" s="172"/>
      <c r="G23" s="172"/>
      <c r="H23" s="172"/>
      <c r="I23" s="172"/>
      <c r="J23" s="172"/>
    </row>
    <row r="24" spans="4:10" x14ac:dyDescent="0.2">
      <c r="D24" s="172"/>
      <c r="E24" s="172"/>
      <c r="F24" s="172"/>
      <c r="G24" s="172"/>
      <c r="H24" s="172"/>
      <c r="I24" s="172"/>
      <c r="J24" s="172"/>
    </row>
    <row r="25" spans="4:10" x14ac:dyDescent="0.2">
      <c r="D25" s="172"/>
      <c r="E25" s="172"/>
      <c r="F25" s="172"/>
      <c r="G25" s="172"/>
      <c r="H25" s="172"/>
      <c r="I25" s="172"/>
      <c r="J25" s="172"/>
    </row>
    <row r="26" spans="4:10" x14ac:dyDescent="0.2">
      <c r="D26" s="172"/>
      <c r="E26" s="172"/>
      <c r="F26" s="172"/>
      <c r="G26" s="172"/>
      <c r="H26" s="172"/>
      <c r="I26" s="172"/>
      <c r="J26" s="172"/>
    </row>
    <row r="27" spans="4:10" x14ac:dyDescent="0.2">
      <c r="D27" s="172"/>
      <c r="E27" s="172"/>
      <c r="F27" s="172"/>
      <c r="G27" s="172"/>
      <c r="H27" s="172"/>
      <c r="I27" s="172"/>
      <c r="J27" s="172"/>
    </row>
    <row r="28" spans="4:10" x14ac:dyDescent="0.2">
      <c r="D28" s="172"/>
      <c r="E28" s="172"/>
      <c r="F28" s="172"/>
      <c r="G28" s="172"/>
      <c r="H28" s="172"/>
      <c r="I28" s="172"/>
      <c r="J28" s="172"/>
    </row>
    <row r="29" spans="4:10" x14ac:dyDescent="0.2">
      <c r="D29" s="172"/>
      <c r="E29" s="172"/>
      <c r="F29" s="172"/>
      <c r="G29" s="172"/>
      <c r="H29" s="172"/>
      <c r="I29" s="172"/>
      <c r="J29" s="172"/>
    </row>
    <row r="30" spans="4:10" x14ac:dyDescent="0.2">
      <c r="D30" s="172"/>
      <c r="E30" s="172"/>
      <c r="F30" s="172"/>
      <c r="G30" s="172"/>
      <c r="H30" s="172"/>
      <c r="I30" s="172"/>
      <c r="J30" s="172"/>
    </row>
    <row r="31" spans="4:10" x14ac:dyDescent="0.2">
      <c r="D31" s="172"/>
      <c r="E31" s="172"/>
      <c r="F31" s="172"/>
      <c r="G31" s="172"/>
      <c r="H31" s="172"/>
      <c r="I31" s="172"/>
      <c r="J31" s="172"/>
    </row>
    <row r="32" spans="4:10" x14ac:dyDescent="0.2">
      <c r="D32" s="172"/>
      <c r="E32" s="172"/>
      <c r="F32" s="172"/>
      <c r="G32" s="172"/>
      <c r="H32" s="172"/>
      <c r="I32" s="172"/>
      <c r="J32" s="172"/>
    </row>
  </sheetData>
  <mergeCells count="8">
    <mergeCell ref="E19:J19"/>
    <mergeCell ref="D22:J32"/>
    <mergeCell ref="B1:BR1"/>
    <mergeCell ref="B2:BR2"/>
    <mergeCell ref="D15:J15"/>
    <mergeCell ref="E16:J16"/>
    <mergeCell ref="E17:J17"/>
    <mergeCell ref="E18:J18"/>
  </mergeCells>
  <pageMargins left="0.25" right="0.25" top="0.75" bottom="0.75" header="0.3" footer="0.3"/>
  <pageSetup paperSize="17" scale="30" fitToHeight="0" orientation="landscape" r:id="rId1"/>
  <headerFooter>
    <oddHeader>&amp;LVIS-DI-002564/2 Attachment A</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Sheet1</vt:lpstr>
      <vt:lpstr>Sheet2</vt:lpstr>
      <vt:lpstr>Title Page</vt:lpstr>
      <vt:lpstr>Background</vt:lpstr>
      <vt:lpstr>DO</vt:lpstr>
      <vt:lpstr>DITM</vt:lpstr>
      <vt:lpstr>Sheet1 (2)</vt:lpstr>
      <vt:lpstr>Sheet2 (2)</vt:lpstr>
      <vt:lpstr>CTQ Flowdown (HOQ2)</vt:lpstr>
      <vt:lpstr>DITM!Print_Titles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Jameel, Rashid [VISAP Non-J&amp;J]</dc:creator>
  <cp:lastModifiedBy>Sinha, Shivam [ETHUS Non-J&amp;J]</cp:lastModifiedBy>
  <dcterms:created xsi:type="dcterms:W3CDTF">2023-09-12T13:34:48Z</dcterms:created>
  <dcterms:modified xsi:type="dcterms:W3CDTF">2024-04-19T10:49:50Z</dcterms:modified>
</cp:coreProperties>
</file>